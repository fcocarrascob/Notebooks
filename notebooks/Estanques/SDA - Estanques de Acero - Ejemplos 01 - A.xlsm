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omments3.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822" codeName="{28389E77-7640-9E18-AD5C-E98E2F4A8B83}"/>
  <workbookPr codeName="ThisWorkbook"/>
  <mc:AlternateContent xmlns:mc="http://schemas.openxmlformats.org/markup-compatibility/2006">
    <mc:Choice Requires="x15">
      <x15ac:absPath xmlns:x15ac="http://schemas.microsoft.com/office/spreadsheetml/2010/11/ac" url="C:\Users\francisco.carrasco\Python\Notebooks\notebooks\Estanques\"/>
    </mc:Choice>
  </mc:AlternateContent>
  <xr:revisionPtr revIDLastSave="0" documentId="13_ncr:1_{4A2DAC81-3763-4973-82B4-13B2213F2F86}" xr6:coauthVersionLast="47" xr6:coauthVersionMax="47" xr10:uidLastSave="{00000000-0000-0000-0000-000000000000}"/>
  <bookViews>
    <workbookView xWindow="-120" yWindow="-120" windowWidth="29040" windowHeight="15720" tabRatio="842" activeTab="1" xr2:uid="{00000000-000D-0000-FFFF-FFFF00000000}"/>
  </bookViews>
  <sheets>
    <sheet name="Estanque Anillo Continuo" sheetId="2" r:id="rId1"/>
    <sheet name="Estanque Silla Aislada" sheetId="5" r:id="rId2"/>
    <sheet name="Estanque No Anclado" sheetId="4" r:id="rId3"/>
  </sheets>
  <functionGroups builtInGroupCount="19"/>
  <definedNames>
    <definedName name="_xlnm.Print_Area" localSheetId="0">'Estanque Anillo Continuo'!$A$7:$I$521</definedName>
    <definedName name="_xlnm.Print_Area" localSheetId="2">'Estanque No Anclado'!$A$7:$I$319</definedName>
    <definedName name="_xlnm.Print_Area" localSheetId="1">'Estanque Silla Aislada'!$A$7:$I$522</definedName>
    <definedName name="limcount" hidden="1">1</definedName>
    <definedName name="solver_adj" localSheetId="0" hidden="1">'Estanque Anillo Continuo'!#REF!</definedName>
    <definedName name="solver_adj" localSheetId="2" hidden="1">'Estanque No Anclado'!$H$266</definedName>
    <definedName name="solver_adj" localSheetId="1" hidden="1">'Estanque Silla Aislada'!$H$431</definedName>
    <definedName name="solver_cvg" localSheetId="0" hidden="1">0.0001</definedName>
    <definedName name="solver_cvg" localSheetId="2" hidden="1">0.0001</definedName>
    <definedName name="solver_cvg" localSheetId="1" hidden="1">0.0001</definedName>
    <definedName name="solver_drv" localSheetId="0" hidden="1">1</definedName>
    <definedName name="solver_drv" localSheetId="2" hidden="1">1</definedName>
    <definedName name="solver_drv" localSheetId="1" hidden="1">1</definedName>
    <definedName name="solver_est" localSheetId="0" hidden="1">1</definedName>
    <definedName name="solver_est" localSheetId="2" hidden="1">1</definedName>
    <definedName name="solver_est" localSheetId="1" hidden="1">1</definedName>
    <definedName name="solver_itr" localSheetId="0" hidden="1">100</definedName>
    <definedName name="solver_itr" localSheetId="2" hidden="1">100</definedName>
    <definedName name="solver_itr" localSheetId="1" hidden="1">100</definedName>
    <definedName name="solver_lhs1" localSheetId="0" hidden="1">'Estanque Anillo Continuo'!#REF!</definedName>
    <definedName name="solver_lhs2" localSheetId="0" hidden="1">'Estanque Anillo Continuo'!#REF!</definedName>
    <definedName name="solver_lhs3" localSheetId="0" hidden="1">'Estanque Anillo Continuo'!#REF!</definedName>
    <definedName name="solver_lhs4" localSheetId="0" hidden="1">'Estanque Anillo Continuo'!#REF!</definedName>
    <definedName name="solver_lin" localSheetId="0" hidden="1">2</definedName>
    <definedName name="solver_lin" localSheetId="2" hidden="1">2</definedName>
    <definedName name="solver_lin" localSheetId="1" hidden="1">2</definedName>
    <definedName name="solver_neg" localSheetId="0" hidden="1">2</definedName>
    <definedName name="solver_neg" localSheetId="2" hidden="1">2</definedName>
    <definedName name="solver_neg" localSheetId="1" hidden="1">2</definedName>
    <definedName name="solver_num" localSheetId="0" hidden="1">1</definedName>
    <definedName name="solver_num" localSheetId="2" hidden="1">0</definedName>
    <definedName name="solver_num" localSheetId="1" hidden="1">0</definedName>
    <definedName name="solver_nwt" localSheetId="0" hidden="1">1</definedName>
    <definedName name="solver_nwt" localSheetId="2" hidden="1">1</definedName>
    <definedName name="solver_nwt" localSheetId="1" hidden="1">1</definedName>
    <definedName name="solver_opt" localSheetId="0" hidden="1">'Estanque Anillo Continuo'!#REF!</definedName>
    <definedName name="solver_opt" localSheetId="2" hidden="1">'Estanque No Anclado'!$H$273</definedName>
    <definedName name="solver_opt" localSheetId="1" hidden="1">'Estanque Silla Aislada'!$C$477</definedName>
    <definedName name="solver_pre" localSheetId="0" hidden="1">0.000001</definedName>
    <definedName name="solver_pre" localSheetId="2" hidden="1">0.000001</definedName>
    <definedName name="solver_pre" localSheetId="1" hidden="1">0.000001</definedName>
    <definedName name="solver_rel1" localSheetId="0" hidden="1">2</definedName>
    <definedName name="solver_rel2" localSheetId="0" hidden="1">3</definedName>
    <definedName name="solver_rel3" localSheetId="0" hidden="1">3</definedName>
    <definedName name="solver_rel4" localSheetId="0" hidden="1">3</definedName>
    <definedName name="solver_rhs1" localSheetId="0" hidden="1">0</definedName>
    <definedName name="solver_rhs2" localSheetId="0" hidden="1">0</definedName>
    <definedName name="solver_rhs3" localSheetId="0" hidden="1">1</definedName>
    <definedName name="solver_rhs4" localSheetId="0" hidden="1">0</definedName>
    <definedName name="solver_scl" localSheetId="0" hidden="1">2</definedName>
    <definedName name="solver_scl" localSheetId="2" hidden="1">2</definedName>
    <definedName name="solver_scl" localSheetId="1" hidden="1">2</definedName>
    <definedName name="solver_sho" localSheetId="0" hidden="1">2</definedName>
    <definedName name="solver_sho" localSheetId="2" hidden="1">2</definedName>
    <definedName name="solver_sho" localSheetId="1" hidden="1">2</definedName>
    <definedName name="solver_tim" localSheetId="0" hidden="1">100</definedName>
    <definedName name="solver_tim" localSheetId="2" hidden="1">100</definedName>
    <definedName name="solver_tim" localSheetId="1" hidden="1">100</definedName>
    <definedName name="solver_tol" localSheetId="0" hidden="1">0.05</definedName>
    <definedName name="solver_tol" localSheetId="2" hidden="1">0.05</definedName>
    <definedName name="solver_tol" localSheetId="1" hidden="1">0.05</definedName>
    <definedName name="solver_typ" localSheetId="0" hidden="1">3</definedName>
    <definedName name="solver_typ" localSheetId="2" hidden="1">3</definedName>
    <definedName name="solver_typ" localSheetId="1" hidden="1">3</definedName>
    <definedName name="solver_val" localSheetId="0" hidden="1">0</definedName>
    <definedName name="solver_val" localSheetId="2" hidden="1">0</definedName>
    <definedName name="solver_val" localSheetId="1" hidden="1">0.8</definedName>
    <definedName name="_xlnm.Print_Titles" localSheetId="0">'Estanque Anillo Continuo'!$1:$6</definedName>
    <definedName name="_xlnm.Print_Titles" localSheetId="2">'Estanque No Anclado'!$1:$6</definedName>
    <definedName name="_xlnm.Print_Titles" localSheetId="1">'Estanque Silla Aislada'!$1:$6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7" i="4" l="1"/>
  <c r="E167" i="4"/>
  <c r="C167" i="4"/>
  <c r="H166" i="4"/>
  <c r="E166" i="4"/>
  <c r="C166" i="4"/>
  <c r="H165" i="4"/>
  <c r="E165" i="4"/>
  <c r="C165" i="4"/>
  <c r="H164" i="4"/>
  <c r="E164" i="4"/>
  <c r="C164" i="4"/>
  <c r="H163" i="4"/>
  <c r="E163" i="4"/>
  <c r="C163" i="4"/>
  <c r="H162" i="4"/>
  <c r="E162" i="4"/>
  <c r="C162" i="4"/>
  <c r="H161" i="4"/>
  <c r="E161" i="4"/>
  <c r="C161" i="4"/>
  <c r="H160" i="4"/>
  <c r="E160" i="4"/>
  <c r="C160" i="4"/>
  <c r="H159" i="4"/>
  <c r="E159" i="4"/>
  <c r="C159" i="4"/>
  <c r="H158" i="4"/>
  <c r="E158" i="4"/>
  <c r="C158" i="4"/>
  <c r="H167" i="2"/>
  <c r="E167" i="2"/>
  <c r="C167" i="2"/>
  <c r="H166" i="2"/>
  <c r="E166" i="2"/>
  <c r="C166" i="2"/>
  <c r="H165" i="2"/>
  <c r="E165" i="2"/>
  <c r="C165" i="2"/>
  <c r="H164" i="2"/>
  <c r="E164" i="2"/>
  <c r="C164" i="2"/>
  <c r="H163" i="2"/>
  <c r="E163" i="2"/>
  <c r="C163" i="2"/>
  <c r="H162" i="2"/>
  <c r="E162" i="2"/>
  <c r="C162" i="2"/>
  <c r="H161" i="2"/>
  <c r="E161" i="2"/>
  <c r="C161" i="2"/>
  <c r="H160" i="2"/>
  <c r="E160" i="2"/>
  <c r="C160" i="2"/>
  <c r="H159" i="2"/>
  <c r="E159" i="2"/>
  <c r="C159" i="2"/>
  <c r="H158" i="2"/>
  <c r="E158" i="2"/>
  <c r="C158" i="2"/>
  <c r="J167" i="2" l="1"/>
  <c r="J165" i="4"/>
  <c r="J167" i="4"/>
  <c r="J166" i="4"/>
  <c r="H192" i="5"/>
  <c r="H127" i="5"/>
  <c r="H130" i="5" s="1"/>
  <c r="E144" i="4"/>
  <c r="H90" i="4"/>
  <c r="H127" i="4"/>
  <c r="H130" i="4" s="1"/>
  <c r="H117" i="4"/>
  <c r="H119" i="4" s="1"/>
  <c r="H181" i="5"/>
  <c r="H399" i="5" s="1"/>
  <c r="D459" i="2"/>
  <c r="H181" i="2"/>
  <c r="H268" i="4"/>
  <c r="H269" i="4" s="1"/>
  <c r="H190" i="4"/>
  <c r="H195" i="4"/>
  <c r="H196" i="4" s="1"/>
  <c r="H201" i="4" s="1"/>
  <c r="H90" i="2"/>
  <c r="T93" i="2"/>
  <c r="E144" i="2"/>
  <c r="K99" i="2"/>
  <c r="K100" i="2" s="1"/>
  <c r="H106" i="2" s="1"/>
  <c r="K105" i="2"/>
  <c r="K106" i="2" s="1"/>
  <c r="M106" i="2"/>
  <c r="H127" i="2"/>
  <c r="H130" i="2" s="1"/>
  <c r="H117" i="2"/>
  <c r="H119" i="2" s="1"/>
  <c r="H190" i="2"/>
  <c r="H195" i="2"/>
  <c r="H196" i="2" s="1"/>
  <c r="K111" i="2"/>
  <c r="L158" i="2"/>
  <c r="L159" i="2"/>
  <c r="L160" i="2" s="1"/>
  <c r="L161" i="2" s="1"/>
  <c r="L162" i="2" s="1"/>
  <c r="L163" i="2" s="1"/>
  <c r="L164" i="2" s="1"/>
  <c r="L165" i="2" s="1"/>
  <c r="G353" i="2"/>
  <c r="L79" i="2"/>
  <c r="H93" i="2" s="1"/>
  <c r="K370" i="2" s="1"/>
  <c r="M79" i="2"/>
  <c r="K294" i="2"/>
  <c r="K295" i="2" s="1"/>
  <c r="K296" i="2" s="1"/>
  <c r="K325" i="2"/>
  <c r="K326" i="2" s="1"/>
  <c r="H345" i="2" s="1"/>
  <c r="F374" i="2"/>
  <c r="C368" i="2"/>
  <c r="M105" i="2"/>
  <c r="H385" i="2"/>
  <c r="H300" i="2"/>
  <c r="H304" i="2" s="1"/>
  <c r="M293" i="2"/>
  <c r="N293" i="2" s="1"/>
  <c r="B304" i="2"/>
  <c r="O296" i="2"/>
  <c r="R296" i="2" s="1"/>
  <c r="O293" i="2"/>
  <c r="M296" i="2"/>
  <c r="N296" i="2" s="1"/>
  <c r="J94" i="2"/>
  <c r="I180" i="2" s="1"/>
  <c r="H382" i="2"/>
  <c r="H391" i="2" s="1"/>
  <c r="H356" i="2"/>
  <c r="Z93" i="2"/>
  <c r="U92" i="2"/>
  <c r="Y92" i="2"/>
  <c r="X92" i="2"/>
  <c r="W92" i="2"/>
  <c r="V92" i="2"/>
  <c r="O92" i="2"/>
  <c r="S92" i="2"/>
  <c r="R92" i="2"/>
  <c r="Q92" i="2"/>
  <c r="P92" i="2"/>
  <c r="N92" i="2"/>
  <c r="M92" i="2"/>
  <c r="L92" i="2"/>
  <c r="U91" i="2"/>
  <c r="Y91" i="2"/>
  <c r="X91" i="2"/>
  <c r="W91" i="2"/>
  <c r="V91" i="2"/>
  <c r="O91" i="2"/>
  <c r="S91" i="2"/>
  <c r="R91" i="2"/>
  <c r="Q91" i="2"/>
  <c r="P91" i="2"/>
  <c r="N91" i="2"/>
  <c r="M91" i="2"/>
  <c r="L91" i="2"/>
  <c r="U90" i="2"/>
  <c r="Y90" i="2"/>
  <c r="X90" i="2"/>
  <c r="W90" i="2"/>
  <c r="V90" i="2"/>
  <c r="O90" i="2"/>
  <c r="S90" i="2"/>
  <c r="R90" i="2"/>
  <c r="Q90" i="2"/>
  <c r="P90" i="2"/>
  <c r="N90" i="2"/>
  <c r="M90" i="2"/>
  <c r="L90" i="2"/>
  <c r="U89" i="2"/>
  <c r="Y89" i="2"/>
  <c r="X89" i="2"/>
  <c r="W89" i="2"/>
  <c r="V89" i="2"/>
  <c r="O89" i="2"/>
  <c r="S89" i="2"/>
  <c r="R89" i="2"/>
  <c r="Q89" i="2"/>
  <c r="P89" i="2"/>
  <c r="N89" i="2"/>
  <c r="M89" i="2"/>
  <c r="L89" i="2"/>
  <c r="U88" i="2"/>
  <c r="Y88" i="2"/>
  <c r="X88" i="2"/>
  <c r="W88" i="2"/>
  <c r="V88" i="2"/>
  <c r="O88" i="2"/>
  <c r="S88" i="2"/>
  <c r="R88" i="2"/>
  <c r="Q88" i="2"/>
  <c r="P88" i="2"/>
  <c r="N88" i="2"/>
  <c r="M88" i="2"/>
  <c r="L88" i="2"/>
  <c r="U87" i="2"/>
  <c r="Y87" i="2"/>
  <c r="X87" i="2"/>
  <c r="W87" i="2"/>
  <c r="V87" i="2"/>
  <c r="O87" i="2"/>
  <c r="S87" i="2"/>
  <c r="R87" i="2"/>
  <c r="Q87" i="2"/>
  <c r="P87" i="2"/>
  <c r="N87" i="2"/>
  <c r="M87" i="2"/>
  <c r="L87" i="2"/>
  <c r="U86" i="2"/>
  <c r="V86" i="2"/>
  <c r="Y86" i="2"/>
  <c r="X86" i="2"/>
  <c r="W86" i="2"/>
  <c r="O86" i="2"/>
  <c r="S86" i="2"/>
  <c r="R86" i="2"/>
  <c r="Q86" i="2"/>
  <c r="P86" i="2"/>
  <c r="N86" i="2"/>
  <c r="U85" i="2"/>
  <c r="V85" i="2"/>
  <c r="Y85" i="2"/>
  <c r="X85" i="2"/>
  <c r="W85" i="2"/>
  <c r="O85" i="2"/>
  <c r="S85" i="2"/>
  <c r="R85" i="2"/>
  <c r="Q85" i="2"/>
  <c r="P85" i="2"/>
  <c r="N85" i="2"/>
  <c r="U84" i="2"/>
  <c r="V84" i="2"/>
  <c r="Y84" i="2"/>
  <c r="X84" i="2"/>
  <c r="W84" i="2"/>
  <c r="O84" i="2"/>
  <c r="S84" i="2"/>
  <c r="R84" i="2"/>
  <c r="Q84" i="2"/>
  <c r="P84" i="2"/>
  <c r="N84" i="2"/>
  <c r="U83" i="2"/>
  <c r="V83" i="2"/>
  <c r="Y83" i="2"/>
  <c r="X83" i="2"/>
  <c r="W83" i="2"/>
  <c r="L83" i="2"/>
  <c r="Q83" i="2" s="1"/>
  <c r="M83" i="2"/>
  <c r="U82" i="2"/>
  <c r="V82" i="2"/>
  <c r="Y82" i="2"/>
  <c r="X82" i="2"/>
  <c r="W82" i="2"/>
  <c r="L82" i="2"/>
  <c r="R82" i="2" s="1"/>
  <c r="M82" i="2"/>
  <c r="U81" i="2"/>
  <c r="V81" i="2"/>
  <c r="Y81" i="2"/>
  <c r="X81" i="2"/>
  <c r="W81" i="2"/>
  <c r="L81" i="2"/>
  <c r="R81" i="2" s="1"/>
  <c r="M81" i="2"/>
  <c r="U80" i="2"/>
  <c r="V80" i="2"/>
  <c r="Y80" i="2"/>
  <c r="X80" i="2"/>
  <c r="W80" i="2"/>
  <c r="L80" i="2"/>
  <c r="S80" i="2" s="1"/>
  <c r="M80" i="2"/>
  <c r="R80" i="2"/>
  <c r="U79" i="2"/>
  <c r="V79" i="2"/>
  <c r="Y79" i="2"/>
  <c r="X79" i="2"/>
  <c r="W79" i="2"/>
  <c r="S79" i="2"/>
  <c r="AA93" i="2"/>
  <c r="H285" i="2"/>
  <c r="H286" i="2" s="1"/>
  <c r="H384" i="2"/>
  <c r="E368" i="2"/>
  <c r="V296" i="2"/>
  <c r="V293" i="2"/>
  <c r="V299" i="2"/>
  <c r="V298" i="2"/>
  <c r="V297" i="2"/>
  <c r="V295" i="2"/>
  <c r="V294" i="2"/>
  <c r="B332" i="2"/>
  <c r="B333" i="2"/>
  <c r="I353" i="2"/>
  <c r="N477" i="2"/>
  <c r="N478" i="2" s="1"/>
  <c r="O479" i="2"/>
  <c r="L471" i="2"/>
  <c r="L472" i="2" s="1"/>
  <c r="L473" i="2" s="1"/>
  <c r="L474" i="2" s="1"/>
  <c r="L475" i="2" s="1"/>
  <c r="L476" i="2" s="1"/>
  <c r="L477" i="2" s="1"/>
  <c r="M471" i="2"/>
  <c r="M472" i="2" s="1"/>
  <c r="M473" i="2" s="1"/>
  <c r="N471" i="2"/>
  <c r="O471" i="2"/>
  <c r="O472" i="2" s="1"/>
  <c r="O474" i="2"/>
  <c r="O475" i="2" s="1"/>
  <c r="O476" i="2"/>
  <c r="O477" i="2" s="1"/>
  <c r="N473" i="2"/>
  <c r="N475" i="2"/>
  <c r="M476" i="2"/>
  <c r="L464" i="2"/>
  <c r="M464" i="2" s="1"/>
  <c r="N464" i="2" s="1"/>
  <c r="O464" i="2" s="1"/>
  <c r="L465" i="2"/>
  <c r="M465" i="2" s="1"/>
  <c r="N465" i="2" s="1"/>
  <c r="O465" i="2" s="1"/>
  <c r="P465" i="2" s="1"/>
  <c r="H406" i="2"/>
  <c r="O297" i="2"/>
  <c r="H329" i="2"/>
  <c r="H331" i="2"/>
  <c r="N304" i="2"/>
  <c r="N311" i="2" s="1"/>
  <c r="H309" i="2" s="1"/>
  <c r="N310" i="2"/>
  <c r="N309" i="2"/>
  <c r="N308" i="2"/>
  <c r="N307" i="2"/>
  <c r="N306" i="2"/>
  <c r="N305" i="2"/>
  <c r="B512" i="2"/>
  <c r="B511" i="2"/>
  <c r="O310" i="2"/>
  <c r="O309" i="2"/>
  <c r="O308" i="2"/>
  <c r="O295" i="2"/>
  <c r="T295" i="2"/>
  <c r="T296" i="2"/>
  <c r="T293" i="2"/>
  <c r="T297" i="2"/>
  <c r="T299" i="2"/>
  <c r="T298" i="2"/>
  <c r="T294" i="2"/>
  <c r="F333" i="2"/>
  <c r="P295" i="2"/>
  <c r="Q295" i="2" s="1"/>
  <c r="M298" i="2"/>
  <c r="N298" i="2" s="1"/>
  <c r="O298" i="2" s="1"/>
  <c r="R298" i="2" s="1"/>
  <c r="P297" i="2"/>
  <c r="Q297" i="2"/>
  <c r="Q294" i="2"/>
  <c r="P298" i="2"/>
  <c r="Q298" i="2" s="1"/>
  <c r="O294" i="2"/>
  <c r="R293" i="2"/>
  <c r="P293" i="2"/>
  <c r="Q293" i="2"/>
  <c r="O307" i="2"/>
  <c r="O306" i="2"/>
  <c r="O305" i="2"/>
  <c r="O304" i="2"/>
  <c r="M299" i="2"/>
  <c r="N299" i="2"/>
  <c r="O299" i="2" s="1"/>
  <c r="R299" i="2" s="1"/>
  <c r="M297" i="2"/>
  <c r="N297" i="2"/>
  <c r="M295" i="2"/>
  <c r="N295" i="2" s="1"/>
  <c r="M294" i="2"/>
  <c r="N294" i="2" s="1"/>
  <c r="L463" i="2"/>
  <c r="M463" i="2" s="1"/>
  <c r="M325" i="2"/>
  <c r="K308" i="2"/>
  <c r="K309" i="2" s="1"/>
  <c r="K310" i="2" s="1"/>
  <c r="G95" i="2"/>
  <c r="D151" i="2"/>
  <c r="I417" i="2"/>
  <c r="I419" i="2"/>
  <c r="I423" i="2"/>
  <c r="R449" i="2"/>
  <c r="H426" i="2"/>
  <c r="G427" i="2"/>
  <c r="R468" i="2"/>
  <c r="P471" i="2"/>
  <c r="Q471" i="2"/>
  <c r="Q472" i="2" s="1"/>
  <c r="Q473" i="2" s="1"/>
  <c r="Q474" i="2" s="1"/>
  <c r="Q475" i="2" s="1"/>
  <c r="Q476" i="2" s="1"/>
  <c r="Q477" i="2" s="1"/>
  <c r="Q478" i="2" s="1"/>
  <c r="Q479" i="2" s="1"/>
  <c r="Q480" i="2" s="1"/>
  <c r="P472" i="2"/>
  <c r="P473" i="2" s="1"/>
  <c r="P474" i="2" s="1"/>
  <c r="P475" i="2" s="1"/>
  <c r="P476" i="2" s="1"/>
  <c r="P477" i="2" s="1"/>
  <c r="P478" i="2" s="1"/>
  <c r="P479" i="2" s="1"/>
  <c r="P480" i="2" s="1"/>
  <c r="M324" i="2"/>
  <c r="M326" i="2"/>
  <c r="P299" i="2"/>
  <c r="Q299" i="2" s="1"/>
  <c r="P296" i="2"/>
  <c r="Q296" i="2"/>
  <c r="M104" i="2"/>
  <c r="H88" i="2"/>
  <c r="K99" i="4"/>
  <c r="K100" i="4"/>
  <c r="H106" i="4" s="1"/>
  <c r="K105" i="4"/>
  <c r="K106" i="4" s="1"/>
  <c r="M106" i="4"/>
  <c r="M104" i="4" s="1"/>
  <c r="K111" i="4"/>
  <c r="K112" i="4" s="1"/>
  <c r="K113" i="4" s="1"/>
  <c r="L79" i="4"/>
  <c r="O79" i="4" s="1"/>
  <c r="M79" i="4"/>
  <c r="T93" i="4"/>
  <c r="O88" i="4"/>
  <c r="N88" i="4"/>
  <c r="H181" i="4"/>
  <c r="H288" i="4" s="1"/>
  <c r="H267" i="4"/>
  <c r="H270" i="4" s="1"/>
  <c r="U79" i="4"/>
  <c r="Z93" i="4"/>
  <c r="V79" i="4"/>
  <c r="U88" i="4"/>
  <c r="H278" i="4"/>
  <c r="H277" i="4"/>
  <c r="L88" i="4"/>
  <c r="L82" i="4"/>
  <c r="P82" i="4" s="1"/>
  <c r="M82" i="4"/>
  <c r="J94" i="4"/>
  <c r="I180" i="4" s="1"/>
  <c r="L80" i="4"/>
  <c r="P80" i="4" s="1"/>
  <c r="M80" i="4"/>
  <c r="O90" i="4"/>
  <c r="U90" i="4"/>
  <c r="U80" i="4"/>
  <c r="V80" i="4"/>
  <c r="U82" i="4"/>
  <c r="V82" i="4"/>
  <c r="V92" i="4"/>
  <c r="W92" i="4"/>
  <c r="U92" i="4"/>
  <c r="Y92" i="4"/>
  <c r="X92" i="4"/>
  <c r="P92" i="4"/>
  <c r="Q92" i="4"/>
  <c r="O92" i="4"/>
  <c r="S92" i="4"/>
  <c r="R92" i="4"/>
  <c r="N92" i="4"/>
  <c r="M92" i="4"/>
  <c r="L92" i="4"/>
  <c r="V91" i="4"/>
  <c r="W91" i="4"/>
  <c r="U91" i="4"/>
  <c r="Y91" i="4"/>
  <c r="X91" i="4"/>
  <c r="P91" i="4"/>
  <c r="Q91" i="4"/>
  <c r="O91" i="4"/>
  <c r="S91" i="4"/>
  <c r="R91" i="4"/>
  <c r="N91" i="4"/>
  <c r="M91" i="4"/>
  <c r="L91" i="4"/>
  <c r="V90" i="4"/>
  <c r="W90" i="4"/>
  <c r="Y90" i="4"/>
  <c r="X90" i="4"/>
  <c r="P90" i="4"/>
  <c r="Q90" i="4"/>
  <c r="S90" i="4"/>
  <c r="R90" i="4"/>
  <c r="N90" i="4"/>
  <c r="M90" i="4"/>
  <c r="L90" i="4"/>
  <c r="V89" i="4"/>
  <c r="W89" i="4"/>
  <c r="U89" i="4"/>
  <c r="Y89" i="4"/>
  <c r="X89" i="4"/>
  <c r="P89" i="4"/>
  <c r="Q89" i="4"/>
  <c r="O89" i="4"/>
  <c r="S89" i="4"/>
  <c r="R89" i="4"/>
  <c r="N89" i="4"/>
  <c r="M89" i="4"/>
  <c r="L89" i="4"/>
  <c r="V88" i="4"/>
  <c r="W88" i="4"/>
  <c r="Y88" i="4"/>
  <c r="X88" i="4"/>
  <c r="P88" i="4"/>
  <c r="Q88" i="4"/>
  <c r="S88" i="4"/>
  <c r="R88" i="4"/>
  <c r="M88" i="4"/>
  <c r="V87" i="4"/>
  <c r="W87" i="4"/>
  <c r="U87" i="4"/>
  <c r="Y87" i="4"/>
  <c r="X87" i="4"/>
  <c r="P87" i="4"/>
  <c r="Q87" i="4"/>
  <c r="O87" i="4"/>
  <c r="S87" i="4"/>
  <c r="R87" i="4"/>
  <c r="N87" i="4"/>
  <c r="M87" i="4"/>
  <c r="L87" i="4"/>
  <c r="V86" i="4"/>
  <c r="W86" i="4"/>
  <c r="U86" i="4"/>
  <c r="Y86" i="4"/>
  <c r="X86" i="4"/>
  <c r="P86" i="4"/>
  <c r="Q86" i="4"/>
  <c r="O86" i="4"/>
  <c r="S86" i="4"/>
  <c r="R86" i="4"/>
  <c r="N86" i="4"/>
  <c r="V85" i="4"/>
  <c r="W85" i="4"/>
  <c r="U85" i="4"/>
  <c r="Y85" i="4"/>
  <c r="X85" i="4"/>
  <c r="P85" i="4"/>
  <c r="Q85" i="4"/>
  <c r="O85" i="4"/>
  <c r="S85" i="4"/>
  <c r="R85" i="4"/>
  <c r="N85" i="4"/>
  <c r="V84" i="4"/>
  <c r="W84" i="4"/>
  <c r="U84" i="4"/>
  <c r="Y84" i="4"/>
  <c r="X84" i="4"/>
  <c r="P84" i="4"/>
  <c r="Q84" i="4"/>
  <c r="O84" i="4"/>
  <c r="S84" i="4"/>
  <c r="R84" i="4"/>
  <c r="N84" i="4"/>
  <c r="V83" i="4"/>
  <c r="W83" i="4"/>
  <c r="U83" i="4"/>
  <c r="Y83" i="4"/>
  <c r="X83" i="4"/>
  <c r="L83" i="4"/>
  <c r="Q83" i="4" s="1"/>
  <c r="M83" i="4"/>
  <c r="S83" i="4"/>
  <c r="W82" i="4"/>
  <c r="Y82" i="4"/>
  <c r="X82" i="4"/>
  <c r="S82" i="4"/>
  <c r="V81" i="4"/>
  <c r="W81" i="4"/>
  <c r="U81" i="4"/>
  <c r="Y81" i="4"/>
  <c r="X81" i="4"/>
  <c r="L81" i="4"/>
  <c r="P81" i="4" s="1"/>
  <c r="Q81" i="4"/>
  <c r="M81" i="4"/>
  <c r="W80" i="4"/>
  <c r="Y80" i="4"/>
  <c r="X80" i="4"/>
  <c r="S80" i="4"/>
  <c r="R80" i="4"/>
  <c r="W79" i="4"/>
  <c r="Y79" i="4"/>
  <c r="X79" i="4"/>
  <c r="R79" i="4"/>
  <c r="M105" i="4"/>
  <c r="L158" i="4"/>
  <c r="L159" i="4" s="1"/>
  <c r="L160" i="4" s="1"/>
  <c r="L161" i="4" s="1"/>
  <c r="L162" i="4" s="1"/>
  <c r="L163" i="4" s="1"/>
  <c r="L164" i="4" s="1"/>
  <c r="L165" i="4" s="1"/>
  <c r="L166" i="4" s="1"/>
  <c r="L167" i="4" s="1"/>
  <c r="L168" i="4" s="1"/>
  <c r="L169" i="4" s="1"/>
  <c r="L170" i="4" s="1"/>
  <c r="L171" i="4" s="1"/>
  <c r="L172" i="4" s="1"/>
  <c r="D151" i="4"/>
  <c r="H113" i="4"/>
  <c r="G95" i="4"/>
  <c r="H88" i="4"/>
  <c r="I266" i="4"/>
  <c r="H305" i="4"/>
  <c r="H306" i="4" s="1"/>
  <c r="K99" i="5"/>
  <c r="K100" i="5" s="1"/>
  <c r="H106" i="5" s="1"/>
  <c r="K105" i="5"/>
  <c r="K106" i="5"/>
  <c r="H104" i="5" s="1"/>
  <c r="M106" i="5"/>
  <c r="H110" i="5" s="1"/>
  <c r="H207" i="5" s="1"/>
  <c r="H90" i="5"/>
  <c r="H117" i="5"/>
  <c r="H119" i="5" s="1"/>
  <c r="H190" i="5"/>
  <c r="H195" i="5"/>
  <c r="H196" i="5" s="1"/>
  <c r="K111" i="5"/>
  <c r="K112" i="5" s="1"/>
  <c r="K113" i="5" s="1"/>
  <c r="H112" i="5"/>
  <c r="L158" i="5"/>
  <c r="L159" i="5" s="1"/>
  <c r="L160" i="5" s="1"/>
  <c r="L161" i="5" s="1"/>
  <c r="L162" i="5" s="1"/>
  <c r="L163" i="5" s="1"/>
  <c r="L164" i="5" s="1"/>
  <c r="L165" i="5" s="1"/>
  <c r="L79" i="5"/>
  <c r="H332" i="5" s="1"/>
  <c r="I333" i="5" s="1"/>
  <c r="M79" i="5"/>
  <c r="T93" i="5"/>
  <c r="E144" i="5"/>
  <c r="M436" i="5"/>
  <c r="D459" i="5"/>
  <c r="E368" i="5"/>
  <c r="K294" i="5"/>
  <c r="K295" i="5" s="1"/>
  <c r="K296" i="5" s="1"/>
  <c r="N88" i="5"/>
  <c r="L88" i="5"/>
  <c r="G353" i="5"/>
  <c r="H300" i="5"/>
  <c r="H304" i="5" s="1"/>
  <c r="B304" i="5"/>
  <c r="M299" i="5"/>
  <c r="N299" i="5" s="1"/>
  <c r="O299" i="5" s="1"/>
  <c r="R299" i="5" s="1"/>
  <c r="O293" i="5"/>
  <c r="M293" i="5"/>
  <c r="N293" i="5" s="1"/>
  <c r="J94" i="5"/>
  <c r="I180" i="5"/>
  <c r="H356" i="5"/>
  <c r="L92" i="5"/>
  <c r="Z93" i="5"/>
  <c r="V92" i="5"/>
  <c r="W92" i="5"/>
  <c r="Y92" i="5"/>
  <c r="X92" i="5"/>
  <c r="U92" i="5"/>
  <c r="P92" i="5"/>
  <c r="Q92" i="5"/>
  <c r="S92" i="5"/>
  <c r="R92" i="5"/>
  <c r="O92" i="5"/>
  <c r="N92" i="5"/>
  <c r="M92" i="5"/>
  <c r="V91" i="5"/>
  <c r="W91" i="5"/>
  <c r="Y91" i="5"/>
  <c r="X91" i="5"/>
  <c r="U91" i="5"/>
  <c r="P91" i="5"/>
  <c r="Q91" i="5"/>
  <c r="S91" i="5"/>
  <c r="R91" i="5"/>
  <c r="O91" i="5"/>
  <c r="N91" i="5"/>
  <c r="M91" i="5"/>
  <c r="L91" i="5"/>
  <c r="V90" i="5"/>
  <c r="W90" i="5"/>
  <c r="Y90" i="5"/>
  <c r="X90" i="5"/>
  <c r="U90" i="5"/>
  <c r="P90" i="5"/>
  <c r="Q90" i="5"/>
  <c r="S90" i="5"/>
  <c r="R90" i="5"/>
  <c r="O90" i="5"/>
  <c r="N90" i="5"/>
  <c r="M90" i="5"/>
  <c r="L90" i="5"/>
  <c r="V89" i="5"/>
  <c r="W89" i="5"/>
  <c r="Y89" i="5"/>
  <c r="X89" i="5"/>
  <c r="U89" i="5"/>
  <c r="P89" i="5"/>
  <c r="Q89" i="5"/>
  <c r="S89" i="5"/>
  <c r="R89" i="5"/>
  <c r="O89" i="5"/>
  <c r="N89" i="5"/>
  <c r="M89" i="5"/>
  <c r="L89" i="5"/>
  <c r="V88" i="5"/>
  <c r="W88" i="5"/>
  <c r="Y88" i="5"/>
  <c r="X88" i="5"/>
  <c r="U88" i="5"/>
  <c r="P88" i="5"/>
  <c r="Q88" i="5"/>
  <c r="S88" i="5"/>
  <c r="R88" i="5"/>
  <c r="O88" i="5"/>
  <c r="M88" i="5"/>
  <c r="V87" i="5"/>
  <c r="W87" i="5"/>
  <c r="Y87" i="5"/>
  <c r="X87" i="5"/>
  <c r="U87" i="5"/>
  <c r="P87" i="5"/>
  <c r="Q87" i="5"/>
  <c r="S87" i="5"/>
  <c r="R87" i="5"/>
  <c r="O87" i="5"/>
  <c r="N87" i="5"/>
  <c r="M87" i="5"/>
  <c r="L87" i="5"/>
  <c r="V86" i="5"/>
  <c r="W86" i="5"/>
  <c r="Y86" i="5"/>
  <c r="X86" i="5"/>
  <c r="U86" i="5"/>
  <c r="P86" i="5"/>
  <c r="Q86" i="5"/>
  <c r="S86" i="5"/>
  <c r="R86" i="5"/>
  <c r="O86" i="5"/>
  <c r="N86" i="5"/>
  <c r="V85" i="5"/>
  <c r="W85" i="5"/>
  <c r="Y85" i="5"/>
  <c r="X85" i="5"/>
  <c r="U85" i="5"/>
  <c r="P85" i="5"/>
  <c r="Q85" i="5"/>
  <c r="S85" i="5"/>
  <c r="R85" i="5"/>
  <c r="O85" i="5"/>
  <c r="N85" i="5"/>
  <c r="V84" i="5"/>
  <c r="W84" i="5"/>
  <c r="Y84" i="5"/>
  <c r="X84" i="5"/>
  <c r="U84" i="5"/>
  <c r="P84" i="5"/>
  <c r="Q84" i="5"/>
  <c r="S84" i="5"/>
  <c r="R84" i="5"/>
  <c r="O84" i="5"/>
  <c r="N84" i="5"/>
  <c r="V83" i="5"/>
  <c r="W83" i="5"/>
  <c r="Y83" i="5"/>
  <c r="X83" i="5"/>
  <c r="U83" i="5"/>
  <c r="L83" i="5"/>
  <c r="P83" i="5" s="1"/>
  <c r="Q83" i="5"/>
  <c r="R83" i="5"/>
  <c r="M83" i="5"/>
  <c r="V82" i="5"/>
  <c r="W82" i="5"/>
  <c r="Y82" i="5"/>
  <c r="X82" i="5"/>
  <c r="U82" i="5"/>
  <c r="L82" i="5"/>
  <c r="R82" i="5" s="1"/>
  <c r="Q82" i="5"/>
  <c r="M82" i="5"/>
  <c r="V81" i="5"/>
  <c r="W81" i="5"/>
  <c r="Y81" i="5"/>
  <c r="X81" i="5"/>
  <c r="U81" i="5"/>
  <c r="L81" i="5"/>
  <c r="S81" i="5" s="1"/>
  <c r="P81" i="5"/>
  <c r="Q81" i="5"/>
  <c r="R81" i="5"/>
  <c r="M81" i="5"/>
  <c r="O81" i="5" s="1"/>
  <c r="V80" i="5"/>
  <c r="W80" i="5"/>
  <c r="Y80" i="5"/>
  <c r="X80" i="5"/>
  <c r="U80" i="5"/>
  <c r="L80" i="5"/>
  <c r="Q80" i="5" s="1"/>
  <c r="M80" i="5"/>
  <c r="V79" i="5"/>
  <c r="W79" i="5"/>
  <c r="Y79" i="5"/>
  <c r="X79" i="5"/>
  <c r="U79" i="5"/>
  <c r="P79" i="5"/>
  <c r="R79" i="5"/>
  <c r="V296" i="5"/>
  <c r="V295" i="5"/>
  <c r="V299" i="5"/>
  <c r="V293" i="5"/>
  <c r="V298" i="5"/>
  <c r="V297" i="5"/>
  <c r="V294" i="5"/>
  <c r="H383" i="5"/>
  <c r="H384" i="5" s="1"/>
  <c r="O296" i="5"/>
  <c r="O295" i="5"/>
  <c r="L470" i="5"/>
  <c r="L471" i="5" s="1"/>
  <c r="L472" i="5" s="1"/>
  <c r="L473" i="5" s="1"/>
  <c r="L474" i="5" s="1"/>
  <c r="L475" i="5" s="1"/>
  <c r="L476" i="5" s="1"/>
  <c r="N474" i="5"/>
  <c r="O473" i="5"/>
  <c r="O474" i="5"/>
  <c r="O475" i="5" s="1"/>
  <c r="O476" i="5" s="1"/>
  <c r="M475" i="5"/>
  <c r="N476" i="5"/>
  <c r="N477" i="5" s="1"/>
  <c r="O478" i="5"/>
  <c r="M470" i="5"/>
  <c r="M471" i="5"/>
  <c r="M472" i="5" s="1"/>
  <c r="O470" i="5"/>
  <c r="O471" i="5" s="1"/>
  <c r="N472" i="5"/>
  <c r="N470" i="5"/>
  <c r="L462" i="5"/>
  <c r="M462" i="5" s="1"/>
  <c r="L463" i="5"/>
  <c r="M463" i="5" s="1"/>
  <c r="N463" i="5" s="1"/>
  <c r="O463" i="5" s="1"/>
  <c r="L464" i="5"/>
  <c r="M464" i="5" s="1"/>
  <c r="N464" i="5" s="1"/>
  <c r="O464" i="5" s="1"/>
  <c r="P464" i="5" s="1"/>
  <c r="O294" i="5"/>
  <c r="N304" i="5"/>
  <c r="N311" i="5" s="1"/>
  <c r="H309" i="5" s="1"/>
  <c r="H329" i="5"/>
  <c r="K325" i="5"/>
  <c r="K326" i="5" s="1"/>
  <c r="N310" i="5"/>
  <c r="N309" i="5"/>
  <c r="N308" i="5"/>
  <c r="N307" i="5"/>
  <c r="N306" i="5"/>
  <c r="N305" i="5"/>
  <c r="D151" i="5"/>
  <c r="G95" i="5"/>
  <c r="H88" i="5"/>
  <c r="O297" i="5"/>
  <c r="B512" i="5"/>
  <c r="B511" i="5"/>
  <c r="Q470" i="5"/>
  <c r="Q471" i="5" s="1"/>
  <c r="Q472" i="5" s="1"/>
  <c r="Q473" i="5" s="1"/>
  <c r="Q474" i="5" s="1"/>
  <c r="Q475" i="5" s="1"/>
  <c r="Q476" i="5" s="1"/>
  <c r="Q477" i="5" s="1"/>
  <c r="Q478" i="5" s="1"/>
  <c r="Q479" i="5" s="1"/>
  <c r="P470" i="5"/>
  <c r="P471" i="5" s="1"/>
  <c r="P472" i="5" s="1"/>
  <c r="P473" i="5" s="1"/>
  <c r="P474" i="5" s="1"/>
  <c r="P475" i="5" s="1"/>
  <c r="P476" i="5" s="1"/>
  <c r="P477" i="5" s="1"/>
  <c r="P478" i="5" s="1"/>
  <c r="P479" i="5" s="1"/>
  <c r="R467" i="5"/>
  <c r="R448" i="5"/>
  <c r="G424" i="5"/>
  <c r="H423" i="5"/>
  <c r="I420" i="5"/>
  <c r="I416" i="5"/>
  <c r="I414" i="5"/>
  <c r="F374" i="5"/>
  <c r="C368" i="5"/>
  <c r="F333" i="5"/>
  <c r="M326" i="5"/>
  <c r="M325" i="5"/>
  <c r="M324" i="5"/>
  <c r="O310" i="5"/>
  <c r="K308" i="5"/>
  <c r="K309" i="5" s="1"/>
  <c r="K310" i="5" s="1"/>
  <c r="O309" i="5"/>
  <c r="O308" i="5"/>
  <c r="O307" i="5"/>
  <c r="O306" i="5"/>
  <c r="O305" i="5"/>
  <c r="O304" i="5"/>
  <c r="T296" i="5"/>
  <c r="T297" i="5"/>
  <c r="T294" i="5"/>
  <c r="T295" i="5"/>
  <c r="T299" i="5"/>
  <c r="T293" i="5"/>
  <c r="P299" i="5"/>
  <c r="Q299" i="5" s="1"/>
  <c r="T298" i="5"/>
  <c r="M298" i="5"/>
  <c r="N298" i="5" s="1"/>
  <c r="O298" i="5" s="1"/>
  <c r="R298" i="5" s="1"/>
  <c r="P298" i="5"/>
  <c r="Q298" i="5" s="1"/>
  <c r="M297" i="5"/>
  <c r="N297" i="5" s="1"/>
  <c r="R297" i="5" s="1"/>
  <c r="P297" i="5"/>
  <c r="Q297" i="5" s="1"/>
  <c r="M296" i="5"/>
  <c r="N296" i="5" s="1"/>
  <c r="P296" i="5"/>
  <c r="Q296" i="5" s="1"/>
  <c r="M295" i="5"/>
  <c r="N295" i="5" s="1"/>
  <c r="R295" i="5" s="1"/>
  <c r="P295" i="5"/>
  <c r="Q295" i="5" s="1"/>
  <c r="M294" i="5"/>
  <c r="N294" i="5" s="1"/>
  <c r="R294" i="5" s="1"/>
  <c r="Q294" i="5"/>
  <c r="P293" i="5"/>
  <c r="Q293" i="5" s="1"/>
  <c r="H285" i="5"/>
  <c r="H286" i="5" s="1"/>
  <c r="Q82" i="4"/>
  <c r="O80" i="5"/>
  <c r="R80" i="5"/>
  <c r="O82" i="5"/>
  <c r="N81" i="4"/>
  <c r="P83" i="4"/>
  <c r="H112" i="4"/>
  <c r="N80" i="2"/>
  <c r="P81" i="2"/>
  <c r="N83" i="2"/>
  <c r="H342" i="2"/>
  <c r="H383" i="2"/>
  <c r="R83" i="2"/>
  <c r="P83" i="2"/>
  <c r="K112" i="2"/>
  <c r="K113" i="2" s="1"/>
  <c r="H111" i="2"/>
  <c r="H112" i="2"/>
  <c r="C167" i="5" l="1"/>
  <c r="C166" i="5"/>
  <c r="C165" i="5"/>
  <c r="C164" i="5"/>
  <c r="C163" i="5"/>
  <c r="C162" i="5"/>
  <c r="C161" i="5"/>
  <c r="C160" i="5"/>
  <c r="C159" i="5"/>
  <c r="C158" i="5"/>
  <c r="H128" i="4"/>
  <c r="G314" i="4" s="1"/>
  <c r="H198" i="2"/>
  <c r="H203" i="2" s="1"/>
  <c r="J166" i="2"/>
  <c r="I127" i="4"/>
  <c r="H198" i="4"/>
  <c r="H203" i="4" s="1"/>
  <c r="J164" i="4"/>
  <c r="H285" i="4"/>
  <c r="H286" i="4" s="1"/>
  <c r="H192" i="4"/>
  <c r="J158" i="4"/>
  <c r="J163" i="4"/>
  <c r="H307" i="4"/>
  <c r="H308" i="4" s="1"/>
  <c r="H309" i="4" s="1"/>
  <c r="I342" i="2"/>
  <c r="H389" i="2"/>
  <c r="H128" i="2"/>
  <c r="G506" i="2" s="1"/>
  <c r="H201" i="2"/>
  <c r="H287" i="2"/>
  <c r="H288" i="2" s="1"/>
  <c r="H289" i="2" s="1"/>
  <c r="H287" i="5"/>
  <c r="H288" i="5" s="1"/>
  <c r="H289" i="5" s="1"/>
  <c r="I127" i="5"/>
  <c r="D368" i="5"/>
  <c r="H272" i="5"/>
  <c r="H273" i="5" s="1"/>
  <c r="H406" i="5" s="1"/>
  <c r="H182" i="5"/>
  <c r="J174" i="5" s="1"/>
  <c r="H183" i="5" s="1"/>
  <c r="H261" i="5" s="1"/>
  <c r="H350" i="5" s="1"/>
  <c r="H382" i="5"/>
  <c r="H294" i="5"/>
  <c r="H297" i="5" s="1"/>
  <c r="F359" i="5" s="1"/>
  <c r="C418" i="5"/>
  <c r="H437" i="5"/>
  <c r="H438" i="5" s="1"/>
  <c r="H439" i="5" s="1"/>
  <c r="H128" i="5"/>
  <c r="I129" i="5" s="1"/>
  <c r="H131" i="5"/>
  <c r="H188" i="5" s="1"/>
  <c r="H357" i="2"/>
  <c r="H301" i="2"/>
  <c r="K297" i="2"/>
  <c r="K298" i="2" s="1"/>
  <c r="K299" i="2" s="1"/>
  <c r="H302" i="2"/>
  <c r="U300" i="2"/>
  <c r="H330" i="2"/>
  <c r="I128" i="2"/>
  <c r="R293" i="5"/>
  <c r="H357" i="5"/>
  <c r="S300" i="5"/>
  <c r="H302" i="5"/>
  <c r="K297" i="5"/>
  <c r="K298" i="5" s="1"/>
  <c r="K299" i="5" s="1"/>
  <c r="H330" i="5"/>
  <c r="G368" i="5"/>
  <c r="V300" i="5"/>
  <c r="U300" i="5"/>
  <c r="M104" i="5"/>
  <c r="S79" i="5"/>
  <c r="H93" i="5"/>
  <c r="K370" i="5" s="1"/>
  <c r="M105" i="5"/>
  <c r="O82" i="4"/>
  <c r="H200" i="5"/>
  <c r="H205" i="5" s="1"/>
  <c r="S79" i="4"/>
  <c r="Q80" i="4"/>
  <c r="H93" i="4"/>
  <c r="S81" i="2"/>
  <c r="B371" i="2"/>
  <c r="H200" i="4"/>
  <c r="H205" i="4" s="1"/>
  <c r="H199" i="2"/>
  <c r="H204" i="2" s="1"/>
  <c r="Q80" i="2"/>
  <c r="H111" i="4"/>
  <c r="R83" i="4"/>
  <c r="R82" i="4"/>
  <c r="I353" i="5"/>
  <c r="Q79" i="5"/>
  <c r="E255" i="4"/>
  <c r="Q79" i="4"/>
  <c r="S81" i="4"/>
  <c r="I127" i="2"/>
  <c r="P79" i="2"/>
  <c r="O79" i="2"/>
  <c r="O80" i="2"/>
  <c r="O81" i="2"/>
  <c r="N79" i="2"/>
  <c r="E150" i="2" s="1"/>
  <c r="T300" i="5"/>
  <c r="P79" i="4"/>
  <c r="Q79" i="2"/>
  <c r="N81" i="2"/>
  <c r="H332" i="2"/>
  <c r="I333" i="2" s="1"/>
  <c r="H197" i="2"/>
  <c r="H202" i="2" s="1"/>
  <c r="H131" i="4"/>
  <c r="H188" i="4" s="1"/>
  <c r="R79" i="2"/>
  <c r="P80" i="2"/>
  <c r="Q81" i="2"/>
  <c r="H199" i="4"/>
  <c r="H204" i="4" s="1"/>
  <c r="H343" i="2"/>
  <c r="H349" i="2"/>
  <c r="G352" i="2" s="1"/>
  <c r="B375" i="2"/>
  <c r="H342" i="5"/>
  <c r="L166" i="5"/>
  <c r="L167" i="5" s="1"/>
  <c r="L168" i="5" s="1"/>
  <c r="L169" i="5" s="1"/>
  <c r="H361" i="5"/>
  <c r="L166" i="2"/>
  <c r="L167" i="2" s="1"/>
  <c r="L168" i="2" s="1"/>
  <c r="L169" i="2" s="1"/>
  <c r="H361" i="2"/>
  <c r="R297" i="2"/>
  <c r="H110" i="2"/>
  <c r="H207" i="2" s="1"/>
  <c r="H104" i="2"/>
  <c r="R296" i="5"/>
  <c r="H345" i="5"/>
  <c r="O83" i="5"/>
  <c r="S83" i="5"/>
  <c r="N79" i="5"/>
  <c r="E150" i="5" s="1"/>
  <c r="R81" i="4"/>
  <c r="O81" i="4"/>
  <c r="O80" i="4"/>
  <c r="H182" i="4"/>
  <c r="N79" i="4"/>
  <c r="E150" i="4" s="1"/>
  <c r="H437" i="2"/>
  <c r="C427" i="2" s="1"/>
  <c r="H294" i="2"/>
  <c r="H297" i="2" s="1"/>
  <c r="F359" i="2" s="1"/>
  <c r="H182" i="2"/>
  <c r="J177" i="2" s="1"/>
  <c r="D368" i="2"/>
  <c r="C421" i="2"/>
  <c r="H272" i="2"/>
  <c r="H273" i="2" s="1"/>
  <c r="H402" i="2" s="1"/>
  <c r="H396" i="2"/>
  <c r="H333" i="5"/>
  <c r="L170" i="5"/>
  <c r="L171" i="5" s="1"/>
  <c r="L172" i="5" s="1"/>
  <c r="L173" i="5" s="1"/>
  <c r="L170" i="2"/>
  <c r="L171" i="2" s="1"/>
  <c r="L172" i="2" s="1"/>
  <c r="L173" i="2" s="1"/>
  <c r="H333" i="2"/>
  <c r="H301" i="5"/>
  <c r="P80" i="5"/>
  <c r="S80" i="5"/>
  <c r="N80" i="5"/>
  <c r="N81" i="5"/>
  <c r="P82" i="5"/>
  <c r="S82" i="5"/>
  <c r="N82" i="5"/>
  <c r="N83" i="5"/>
  <c r="H201" i="5"/>
  <c r="S82" i="2"/>
  <c r="O82" i="2"/>
  <c r="Q82" i="2"/>
  <c r="N82" i="2"/>
  <c r="S83" i="2"/>
  <c r="O83" i="2"/>
  <c r="H200" i="2"/>
  <c r="H205" i="2" s="1"/>
  <c r="H206" i="2" s="1"/>
  <c r="H208" i="2" s="1"/>
  <c r="G210" i="2" s="1"/>
  <c r="G507" i="2" s="1"/>
  <c r="H131" i="2"/>
  <c r="H188" i="2" s="1"/>
  <c r="O79" i="5"/>
  <c r="H199" i="5"/>
  <c r="H204" i="5" s="1"/>
  <c r="H198" i="5"/>
  <c r="H203" i="5" s="1"/>
  <c r="H197" i="5"/>
  <c r="H202" i="5" s="1"/>
  <c r="H111" i="5"/>
  <c r="I129" i="4"/>
  <c r="N80" i="4"/>
  <c r="N82" i="4"/>
  <c r="N83" i="4"/>
  <c r="O83" i="4"/>
  <c r="H104" i="4"/>
  <c r="H110" i="4"/>
  <c r="H207" i="4" s="1"/>
  <c r="R294" i="2"/>
  <c r="R295" i="2"/>
  <c r="P82" i="2"/>
  <c r="E369" i="2"/>
  <c r="V300" i="2"/>
  <c r="S300" i="2"/>
  <c r="T300" i="2"/>
  <c r="H192" i="2"/>
  <c r="H197" i="4"/>
  <c r="H202" i="4" s="1"/>
  <c r="T81" i="5"/>
  <c r="T81" i="2"/>
  <c r="T90" i="4"/>
  <c r="T89" i="2"/>
  <c r="L150" i="4"/>
  <c r="H388" i="2"/>
  <c r="Z86" i="5"/>
  <c r="T90" i="2"/>
  <c r="T80" i="4"/>
  <c r="L147" i="4"/>
  <c r="T91" i="5"/>
  <c r="T89" i="4"/>
  <c r="Z91" i="5"/>
  <c r="T84" i="5"/>
  <c r="L147" i="2"/>
  <c r="T84" i="2"/>
  <c r="T79" i="4"/>
  <c r="T88" i="2"/>
  <c r="T86" i="4"/>
  <c r="T92" i="2"/>
  <c r="T90" i="5"/>
  <c r="Z89" i="5"/>
  <c r="L151" i="2"/>
  <c r="Z89" i="4"/>
  <c r="Z81" i="2"/>
  <c r="Z89" i="2"/>
  <c r="Z83" i="2"/>
  <c r="L150" i="5"/>
  <c r="L145" i="5"/>
  <c r="T83" i="2"/>
  <c r="L151" i="4"/>
  <c r="L147" i="5"/>
  <c r="Z84" i="2"/>
  <c r="Z88" i="2"/>
  <c r="T88" i="4"/>
  <c r="T87" i="4"/>
  <c r="Z92" i="2"/>
  <c r="Z80" i="4"/>
  <c r="L146" i="5"/>
  <c r="T87" i="2"/>
  <c r="T91" i="2"/>
  <c r="Z85" i="4"/>
  <c r="Z83" i="4"/>
  <c r="Z85" i="2"/>
  <c r="T84" i="4"/>
  <c r="Z84" i="4"/>
  <c r="T83" i="4"/>
  <c r="Z82" i="5"/>
  <c r="L149" i="4"/>
  <c r="T85" i="4"/>
  <c r="Z82" i="2"/>
  <c r="Z90" i="5"/>
  <c r="Z86" i="2"/>
  <c r="T85" i="2"/>
  <c r="Z90" i="4"/>
  <c r="Z81" i="4"/>
  <c r="T82" i="2"/>
  <c r="L148" i="4"/>
  <c r="T87" i="5"/>
  <c r="L145" i="2"/>
  <c r="T85" i="5"/>
  <c r="L149" i="5"/>
  <c r="T86" i="5"/>
  <c r="T80" i="5"/>
  <c r="L146" i="2"/>
  <c r="L148" i="5"/>
  <c r="Z81" i="5"/>
  <c r="L151" i="5"/>
  <c r="Z84" i="5"/>
  <c r="T89" i="5"/>
  <c r="Z79" i="2"/>
  <c r="T81" i="4"/>
  <c r="L149" i="2"/>
  <c r="Z80" i="5"/>
  <c r="Z87" i="2"/>
  <c r="Z79" i="5"/>
  <c r="Z85" i="5"/>
  <c r="L146" i="4"/>
  <c r="Z88" i="5"/>
  <c r="Z92" i="4"/>
  <c r="Z91" i="4"/>
  <c r="Z82" i="4"/>
  <c r="T82" i="5"/>
  <c r="T88" i="5"/>
  <c r="T79" i="5"/>
  <c r="T91" i="4"/>
  <c r="Z87" i="5"/>
  <c r="Z83" i="5"/>
  <c r="T82" i="4"/>
  <c r="L148" i="2"/>
  <c r="T79" i="2"/>
  <c r="T83" i="5"/>
  <c r="Z90" i="2"/>
  <c r="Z79" i="4"/>
  <c r="T92" i="5"/>
  <c r="T92" i="4"/>
  <c r="L150" i="2"/>
  <c r="L145" i="4"/>
  <c r="T86" i="2"/>
  <c r="Z80" i="2"/>
  <c r="Z88" i="4"/>
  <c r="Z92" i="5"/>
  <c r="Z87" i="4"/>
  <c r="Z86" i="4"/>
  <c r="T80" i="2"/>
  <c r="Z91" i="2"/>
  <c r="AA91" i="2" s="1"/>
  <c r="E167" i="5" l="1"/>
  <c r="H167" i="5"/>
  <c r="J167" i="5" s="1"/>
  <c r="E166" i="5"/>
  <c r="H166" i="5"/>
  <c r="J166" i="5" s="1"/>
  <c r="E165" i="5"/>
  <c r="H165" i="5"/>
  <c r="J165" i="5" s="1"/>
  <c r="E164" i="5"/>
  <c r="H164" i="5"/>
  <c r="J164" i="5" s="1"/>
  <c r="E163" i="5"/>
  <c r="H163" i="5"/>
  <c r="J163" i="5" s="1"/>
  <c r="E162" i="5"/>
  <c r="H162" i="5"/>
  <c r="E161" i="5"/>
  <c r="H161" i="5"/>
  <c r="E160" i="5"/>
  <c r="H160" i="5"/>
  <c r="E159" i="5"/>
  <c r="H159" i="5"/>
  <c r="J159" i="5" s="1"/>
  <c r="E158" i="5"/>
  <c r="H158" i="5"/>
  <c r="I128" i="4"/>
  <c r="I129" i="2"/>
  <c r="H438" i="2"/>
  <c r="H440" i="2" s="1"/>
  <c r="H295" i="2"/>
  <c r="J176" i="2"/>
  <c r="H295" i="5"/>
  <c r="J161" i="5"/>
  <c r="J162" i="5"/>
  <c r="J158" i="5"/>
  <c r="J177" i="5"/>
  <c r="C416" i="5"/>
  <c r="J176" i="5"/>
  <c r="H441" i="5"/>
  <c r="J178" i="5"/>
  <c r="J175" i="5"/>
  <c r="C424" i="5"/>
  <c r="H440" i="5"/>
  <c r="H206" i="5"/>
  <c r="H208" i="5" s="1"/>
  <c r="G210" i="5" s="1"/>
  <c r="G507" i="5" s="1"/>
  <c r="I128" i="5"/>
  <c r="G506" i="5"/>
  <c r="G515" i="5"/>
  <c r="I328" i="5"/>
  <c r="E257" i="4"/>
  <c r="E256" i="4"/>
  <c r="G515" i="2"/>
  <c r="I328" i="2"/>
  <c r="H94" i="5"/>
  <c r="E149" i="5"/>
  <c r="H94" i="4"/>
  <c r="H291" i="4" s="1"/>
  <c r="E149" i="2"/>
  <c r="E149" i="4"/>
  <c r="H94" i="2"/>
  <c r="J177" i="4"/>
  <c r="J176" i="4"/>
  <c r="J178" i="4"/>
  <c r="J174" i="4"/>
  <c r="H183" i="4" s="1"/>
  <c r="J175" i="4"/>
  <c r="H386" i="5"/>
  <c r="J159" i="2"/>
  <c r="J163" i="2"/>
  <c r="J160" i="2"/>
  <c r="R468" i="5"/>
  <c r="R449" i="5"/>
  <c r="D377" i="2"/>
  <c r="J161" i="4"/>
  <c r="J162" i="4"/>
  <c r="J161" i="2"/>
  <c r="J158" i="2"/>
  <c r="J162" i="2"/>
  <c r="D363" i="2"/>
  <c r="E371" i="2"/>
  <c r="H398" i="5"/>
  <c r="D363" i="5"/>
  <c r="E371" i="5"/>
  <c r="H343" i="5"/>
  <c r="B375" i="5"/>
  <c r="I342" i="5"/>
  <c r="H349" i="5"/>
  <c r="G352" i="5" s="1"/>
  <c r="J175" i="2"/>
  <c r="J174" i="2"/>
  <c r="H183" i="2" s="1"/>
  <c r="H261" i="2" s="1"/>
  <c r="H350" i="2" s="1"/>
  <c r="I352" i="2" s="1"/>
  <c r="J178" i="2"/>
  <c r="J160" i="4"/>
  <c r="H279" i="4"/>
  <c r="H281" i="4"/>
  <c r="H206" i="4"/>
  <c r="J165" i="2"/>
  <c r="B371" i="5"/>
  <c r="B373" i="5" s="1"/>
  <c r="H358" i="5"/>
  <c r="B370" i="2"/>
  <c r="H358" i="2"/>
  <c r="B373" i="2"/>
  <c r="AA89" i="2"/>
  <c r="AA88" i="2"/>
  <c r="AA90" i="2"/>
  <c r="AA92" i="2"/>
  <c r="AA87" i="2"/>
  <c r="AA86" i="2"/>
  <c r="AA85" i="2"/>
  <c r="R475" i="5"/>
  <c r="R453" i="5"/>
  <c r="R484" i="5"/>
  <c r="R469" i="5"/>
  <c r="R488" i="5"/>
  <c r="R470" i="5"/>
  <c r="R478" i="5"/>
  <c r="R455" i="5"/>
  <c r="R457" i="5"/>
  <c r="R472" i="5"/>
  <c r="R450" i="5"/>
  <c r="R451" i="5"/>
  <c r="R463" i="5"/>
  <c r="R486" i="5"/>
  <c r="R476" i="5"/>
  <c r="R473" i="5"/>
  <c r="R454" i="5"/>
  <c r="R483" i="5"/>
  <c r="R456" i="5"/>
  <c r="R485" i="5"/>
  <c r="R452" i="5"/>
  <c r="R458" i="5"/>
  <c r="R462" i="5"/>
  <c r="R487" i="5"/>
  <c r="R464" i="5"/>
  <c r="R481" i="5"/>
  <c r="R479" i="5"/>
  <c r="R477" i="5"/>
  <c r="R459" i="5"/>
  <c r="R460" i="5"/>
  <c r="R474" i="5"/>
  <c r="R461" i="5"/>
  <c r="R471" i="5"/>
  <c r="R482" i="5"/>
  <c r="R480" i="5"/>
  <c r="D166" i="4" l="1"/>
  <c r="F166" i="4" s="1"/>
  <c r="D165" i="4"/>
  <c r="F165" i="4" s="1"/>
  <c r="D161" i="4"/>
  <c r="F161" i="4" s="1"/>
  <c r="D164" i="4"/>
  <c r="F164" i="4" s="1"/>
  <c r="D160" i="4"/>
  <c r="F160" i="4" s="1"/>
  <c r="D167" i="4"/>
  <c r="F167" i="4" s="1"/>
  <c r="D163" i="4"/>
  <c r="F163" i="4" s="1"/>
  <c r="D159" i="4"/>
  <c r="F159" i="4" s="1"/>
  <c r="D162" i="4"/>
  <c r="F162" i="4" s="1"/>
  <c r="D158" i="4"/>
  <c r="F158" i="4" s="1"/>
  <c r="D165" i="2"/>
  <c r="F165" i="2" s="1"/>
  <c r="D161" i="2"/>
  <c r="F161" i="2" s="1"/>
  <c r="D164" i="2"/>
  <c r="F164" i="2" s="1"/>
  <c r="D167" i="2"/>
  <c r="F167" i="2" s="1"/>
  <c r="D163" i="2"/>
  <c r="F163" i="2" s="1"/>
  <c r="D159" i="2"/>
  <c r="F159" i="2" s="1"/>
  <c r="D166" i="2"/>
  <c r="F166" i="2" s="1"/>
  <c r="D162" i="2"/>
  <c r="F162" i="2" s="1"/>
  <c r="D158" i="2"/>
  <c r="F158" i="2" s="1"/>
  <c r="D160" i="2"/>
  <c r="F160" i="2" s="1"/>
  <c r="H408" i="2"/>
  <c r="D167" i="5"/>
  <c r="F167" i="5" s="1"/>
  <c r="D163" i="5"/>
  <c r="F163" i="5" s="1"/>
  <c r="I163" i="5" s="1"/>
  <c r="D159" i="5"/>
  <c r="F159" i="5" s="1"/>
  <c r="I159" i="5" s="1"/>
  <c r="D166" i="5"/>
  <c r="F166" i="5" s="1"/>
  <c r="D162" i="5"/>
  <c r="F162" i="5" s="1"/>
  <c r="I162" i="5" s="1"/>
  <c r="D158" i="5"/>
  <c r="F158" i="5" s="1"/>
  <c r="I158" i="5" s="1"/>
  <c r="D165" i="5"/>
  <c r="F165" i="5" s="1"/>
  <c r="D161" i="5"/>
  <c r="F161" i="5" s="1"/>
  <c r="I161" i="5" s="1"/>
  <c r="D164" i="5"/>
  <c r="F164" i="5" s="1"/>
  <c r="I164" i="5" s="1"/>
  <c r="D160" i="5"/>
  <c r="F160" i="5" s="1"/>
  <c r="I160" i="5" s="1"/>
  <c r="I159" i="4"/>
  <c r="I158" i="4"/>
  <c r="I162" i="4"/>
  <c r="H261" i="4"/>
  <c r="H290" i="4" s="1"/>
  <c r="H300" i="4" s="1"/>
  <c r="G317" i="4" s="1"/>
  <c r="H317" i="4" s="1"/>
  <c r="I162" i="2"/>
  <c r="I158" i="2"/>
  <c r="I163" i="2"/>
  <c r="I161" i="2"/>
  <c r="I164" i="2"/>
  <c r="I160" i="2"/>
  <c r="I159" i="2"/>
  <c r="D364" i="2"/>
  <c r="E364" i="2" s="1"/>
  <c r="H441" i="2"/>
  <c r="H448" i="2"/>
  <c r="H439" i="2"/>
  <c r="R450" i="2" s="1"/>
  <c r="C419" i="2"/>
  <c r="D364" i="5"/>
  <c r="E364" i="5" s="1"/>
  <c r="I163" i="4"/>
  <c r="H402" i="5"/>
  <c r="H395" i="5"/>
  <c r="J160" i="5"/>
  <c r="J168" i="5" s="1"/>
  <c r="H168" i="5"/>
  <c r="H189" i="5" s="1"/>
  <c r="H398" i="2"/>
  <c r="I161" i="4"/>
  <c r="D377" i="5"/>
  <c r="I352" i="5"/>
  <c r="I435" i="2"/>
  <c r="G426" i="2"/>
  <c r="H208" i="4"/>
  <c r="G209" i="4" s="1"/>
  <c r="G315" i="4" s="1"/>
  <c r="H280" i="4"/>
  <c r="H283" i="4" s="1"/>
  <c r="H292" i="4" s="1"/>
  <c r="J159" i="4"/>
  <c r="J168" i="4" s="1"/>
  <c r="H168" i="4"/>
  <c r="H189" i="4" s="1"/>
  <c r="J164" i="2"/>
  <c r="J168" i="2" s="1"/>
  <c r="H168" i="2"/>
  <c r="H189" i="2" s="1"/>
  <c r="H287" i="4"/>
  <c r="H293" i="4" s="1"/>
  <c r="O163" i="4"/>
  <c r="O167" i="2"/>
  <c r="R456" i="2"/>
  <c r="R464" i="2"/>
  <c r="R463" i="2"/>
  <c r="O164" i="5"/>
  <c r="R453" i="2"/>
  <c r="R462" i="2"/>
  <c r="R461" i="2"/>
  <c r="O158" i="5"/>
  <c r="R458" i="2"/>
  <c r="R460" i="2"/>
  <c r="O165" i="4"/>
  <c r="O164" i="4"/>
  <c r="O158" i="2"/>
  <c r="O166" i="5"/>
  <c r="O167" i="4"/>
  <c r="O162" i="2"/>
  <c r="R457" i="2"/>
  <c r="O162" i="5"/>
  <c r="O159" i="5"/>
  <c r="O164" i="2"/>
  <c r="O163" i="5"/>
  <c r="O160" i="4"/>
  <c r="O160" i="5"/>
  <c r="R455" i="2"/>
  <c r="O159" i="2"/>
  <c r="O161" i="4"/>
  <c r="R459" i="2"/>
  <c r="O162" i="4"/>
  <c r="O161" i="5"/>
  <c r="O165" i="2"/>
  <c r="R452" i="2"/>
  <c r="O166" i="4"/>
  <c r="O159" i="4"/>
  <c r="O166" i="2"/>
  <c r="R465" i="2"/>
  <c r="R454" i="2"/>
  <c r="R451" i="2"/>
  <c r="O158" i="4"/>
  <c r="O167" i="5"/>
  <c r="O163" i="2"/>
  <c r="O160" i="2"/>
  <c r="O165" i="5"/>
  <c r="O161" i="2"/>
  <c r="H363" i="5" l="1"/>
  <c r="I164" i="4"/>
  <c r="I165" i="4"/>
  <c r="I166" i="4"/>
  <c r="I167" i="4"/>
  <c r="I300" i="4"/>
  <c r="I165" i="2"/>
  <c r="I167" i="5"/>
  <c r="I167" i="2"/>
  <c r="I166" i="5"/>
  <c r="I166" i="2"/>
  <c r="I165" i="5"/>
  <c r="H363" i="2"/>
  <c r="R469" i="2"/>
  <c r="H193" i="5"/>
  <c r="H253" i="5" s="1"/>
  <c r="H282" i="4"/>
  <c r="H296" i="4" s="1"/>
  <c r="H447" i="5"/>
  <c r="H254" i="5"/>
  <c r="H191" i="5"/>
  <c r="H260" i="5"/>
  <c r="I160" i="4"/>
  <c r="G423" i="5"/>
  <c r="H448" i="5"/>
  <c r="I436" i="5"/>
  <c r="H193" i="2"/>
  <c r="H253" i="2" s="1"/>
  <c r="H193" i="4"/>
  <c r="H250" i="4" s="1"/>
  <c r="H263" i="4" s="1"/>
  <c r="H294" i="4"/>
  <c r="H295" i="4" s="1"/>
  <c r="H254" i="2"/>
  <c r="H260" i="2"/>
  <c r="H191" i="2"/>
  <c r="H447" i="2"/>
  <c r="H271" i="4"/>
  <c r="H289" i="4" s="1"/>
  <c r="H191" i="4"/>
  <c r="H272" i="4"/>
  <c r="H251" i="4"/>
  <c r="R470" i="2"/>
  <c r="R489" i="2"/>
  <c r="R486" i="2"/>
  <c r="R484" i="2"/>
  <c r="R479" i="2"/>
  <c r="R488" i="2"/>
  <c r="R475" i="2"/>
  <c r="R477" i="2"/>
  <c r="R471" i="2"/>
  <c r="R483" i="2"/>
  <c r="R474" i="2"/>
  <c r="R481" i="2"/>
  <c r="R480" i="2"/>
  <c r="R476" i="2"/>
  <c r="R478" i="2"/>
  <c r="R472" i="2"/>
  <c r="R487" i="2"/>
  <c r="R482" i="2"/>
  <c r="R473" i="2"/>
  <c r="R485" i="2"/>
  <c r="H273" i="4" l="1"/>
  <c r="H267" i="5"/>
  <c r="H268" i="5" s="1"/>
  <c r="G509" i="5" s="1"/>
  <c r="H299" i="4"/>
  <c r="I299" i="4" s="1"/>
  <c r="H267" i="2"/>
  <c r="H268" i="2" s="1"/>
  <c r="G509" i="2" s="1"/>
  <c r="H307" i="5"/>
  <c r="H308" i="5" s="1"/>
  <c r="H446" i="5"/>
  <c r="H445" i="5" s="1"/>
  <c r="H262" i="5"/>
  <c r="H263" i="5" s="1"/>
  <c r="G508" i="5" s="1"/>
  <c r="H270" i="5"/>
  <c r="H271" i="5" s="1"/>
  <c r="H400" i="5" s="1"/>
  <c r="H401" i="5" s="1"/>
  <c r="H403" i="5" s="1"/>
  <c r="I403" i="5" s="1"/>
  <c r="H293" i="5"/>
  <c r="H468" i="5"/>
  <c r="H484" i="5"/>
  <c r="H449" i="5"/>
  <c r="D455" i="5" s="1"/>
  <c r="F455" i="5" s="1"/>
  <c r="H270" i="2"/>
  <c r="H271" i="2" s="1"/>
  <c r="H397" i="2" s="1"/>
  <c r="H446" i="2"/>
  <c r="H307" i="2"/>
  <c r="H308" i="2" s="1"/>
  <c r="H298" i="4"/>
  <c r="H483" i="2"/>
  <c r="K500" i="2" s="1"/>
  <c r="H467" i="2"/>
  <c r="K492" i="2" s="1"/>
  <c r="H449" i="2"/>
  <c r="D455" i="2" s="1"/>
  <c r="F455" i="2" s="1"/>
  <c r="H262" i="2"/>
  <c r="H263" i="2" s="1"/>
  <c r="G508" i="2" s="1"/>
  <c r="H293" i="2"/>
  <c r="H445" i="2"/>
  <c r="H274" i="5" l="1"/>
  <c r="I274" i="5" s="1"/>
  <c r="H344" i="5"/>
  <c r="H346" i="5" s="1"/>
  <c r="G513" i="5" s="1"/>
  <c r="H513" i="5" s="1"/>
  <c r="H405" i="5"/>
  <c r="H407" i="5" s="1"/>
  <c r="I407" i="5" s="1"/>
  <c r="K492" i="5"/>
  <c r="K501" i="5"/>
  <c r="H389" i="5"/>
  <c r="H298" i="5"/>
  <c r="P306" i="5"/>
  <c r="P304" i="5"/>
  <c r="P311" i="5" s="1"/>
  <c r="P308" i="5"/>
  <c r="P307" i="5"/>
  <c r="H310" i="5"/>
  <c r="I310" i="5" s="1"/>
  <c r="P310" i="5"/>
  <c r="P305" i="5"/>
  <c r="P309" i="5"/>
  <c r="K491" i="5"/>
  <c r="H469" i="5"/>
  <c r="H470" i="5" s="1"/>
  <c r="K500" i="5"/>
  <c r="H485" i="5"/>
  <c r="H486" i="5" s="1"/>
  <c r="H274" i="2"/>
  <c r="I274" i="2" s="1"/>
  <c r="H344" i="2"/>
  <c r="H346" i="2" s="1"/>
  <c r="G513" i="2" s="1"/>
  <c r="H513" i="2" s="1"/>
  <c r="H401" i="2"/>
  <c r="H403" i="2" s="1"/>
  <c r="I403" i="2" s="1"/>
  <c r="H399" i="2"/>
  <c r="H405" i="2"/>
  <c r="H407" i="2" s="1"/>
  <c r="H409" i="2" s="1"/>
  <c r="I409" i="2" s="1"/>
  <c r="H298" i="2"/>
  <c r="I298" i="4"/>
  <c r="G316" i="4"/>
  <c r="H316" i="4" s="1"/>
  <c r="K501" i="2"/>
  <c r="H484" i="2"/>
  <c r="H485" i="2" s="1"/>
  <c r="H468" i="2"/>
  <c r="H469" i="2" s="1"/>
  <c r="K493" i="2"/>
  <c r="P309" i="2"/>
  <c r="P306" i="2"/>
  <c r="P307" i="2"/>
  <c r="P304" i="2"/>
  <c r="P311" i="2" s="1"/>
  <c r="H310" i="2"/>
  <c r="I310" i="2" s="1"/>
  <c r="P310" i="2"/>
  <c r="P308" i="2"/>
  <c r="P305" i="2"/>
  <c r="C488" i="2"/>
  <c r="C471" i="2"/>
  <c r="C472" i="2"/>
  <c r="C487" i="2"/>
  <c r="C473" i="5"/>
  <c r="C489" i="5"/>
  <c r="C488" i="5"/>
  <c r="C472" i="5"/>
  <c r="G510" i="5" l="1"/>
  <c r="H510" i="5" s="1"/>
  <c r="I346" i="2"/>
  <c r="G510" i="2"/>
  <c r="H510" i="2" s="1"/>
  <c r="I346" i="5"/>
  <c r="H390" i="5"/>
  <c r="H334" i="5"/>
  <c r="H303" i="5"/>
  <c r="H305" i="5" s="1"/>
  <c r="H391" i="5"/>
  <c r="C490" i="5"/>
  <c r="C474" i="5"/>
  <c r="C491" i="5"/>
  <c r="G490" i="5" s="1"/>
  <c r="I490" i="5" s="1"/>
  <c r="C475" i="5"/>
  <c r="G474" i="5" s="1"/>
  <c r="I474" i="5" s="1"/>
  <c r="C473" i="2"/>
  <c r="C474" i="2"/>
  <c r="G473" i="2" s="1"/>
  <c r="C489" i="2"/>
  <c r="C490" i="2"/>
  <c r="G489" i="2" s="1"/>
  <c r="I489" i="2" s="1"/>
  <c r="H386" i="2"/>
  <c r="H387" i="2" s="1"/>
  <c r="H390" i="2" s="1"/>
  <c r="H392" i="2" s="1"/>
  <c r="H303" i="2"/>
  <c r="H305" i="2" s="1"/>
  <c r="H334" i="2"/>
  <c r="I399" i="2"/>
  <c r="G517" i="2"/>
  <c r="H517" i="2" s="1"/>
  <c r="H385" i="5" l="1"/>
  <c r="H387" i="5" s="1"/>
  <c r="H392" i="5"/>
  <c r="H394" i="5" s="1"/>
  <c r="H396" i="5" s="1"/>
  <c r="I396" i="5" s="1"/>
  <c r="G511" i="5"/>
  <c r="H511" i="5" s="1"/>
  <c r="I305" i="5"/>
  <c r="H359" i="5"/>
  <c r="H362" i="5" s="1"/>
  <c r="H364" i="5" s="1"/>
  <c r="H335" i="5"/>
  <c r="H336" i="5" s="1"/>
  <c r="G518" i="5"/>
  <c r="H518" i="5" s="1"/>
  <c r="K493" i="5"/>
  <c r="K495" i="5" s="1"/>
  <c r="K494" i="5"/>
  <c r="K496" i="5" s="1"/>
  <c r="K502" i="5"/>
  <c r="K504" i="5" s="1"/>
  <c r="K505" i="5"/>
  <c r="K503" i="5"/>
  <c r="G519" i="2"/>
  <c r="H519" i="2" s="1"/>
  <c r="I473" i="2"/>
  <c r="K503" i="2"/>
  <c r="K502" i="2"/>
  <c r="K504" i="2" s="1"/>
  <c r="K505" i="2"/>
  <c r="K494" i="2"/>
  <c r="K496" i="2" s="1"/>
  <c r="K495" i="2"/>
  <c r="K497" i="2" s="1"/>
  <c r="H335" i="2"/>
  <c r="H336" i="2" s="1"/>
  <c r="H359" i="2"/>
  <c r="H362" i="2" s="1"/>
  <c r="H364" i="2" s="1"/>
  <c r="G511" i="2"/>
  <c r="H511" i="2" s="1"/>
  <c r="I305" i="2"/>
  <c r="I392" i="2"/>
  <c r="G516" i="2"/>
  <c r="H516" i="2" s="1"/>
  <c r="G512" i="5" l="1"/>
  <c r="H512" i="5" s="1"/>
  <c r="I336" i="5"/>
  <c r="G514" i="5"/>
  <c r="H514" i="5" s="1"/>
  <c r="I364" i="5"/>
  <c r="I387" i="5"/>
  <c r="G516" i="5"/>
  <c r="H516" i="5" s="1"/>
  <c r="K506" i="5"/>
  <c r="C492" i="5" s="1"/>
  <c r="C493" i="5" s="1"/>
  <c r="B493" i="5" s="1"/>
  <c r="K497" i="5"/>
  <c r="C476" i="5" s="1"/>
  <c r="C477" i="5" s="1"/>
  <c r="K506" i="2"/>
  <c r="C491" i="2" s="1"/>
  <c r="C492" i="2" s="1"/>
  <c r="G488" i="2" s="1"/>
  <c r="I488" i="2" s="1"/>
  <c r="K498" i="2"/>
  <c r="C475" i="2" s="1"/>
  <c r="C476" i="2" s="1"/>
  <c r="I364" i="2"/>
  <c r="G514" i="2"/>
  <c r="H514" i="2" s="1"/>
  <c r="I336" i="2"/>
  <c r="H337" i="2"/>
  <c r="I337" i="2" s="1"/>
  <c r="G517" i="5" l="1"/>
  <c r="H517" i="5" s="1"/>
  <c r="G489" i="5"/>
  <c r="I489" i="5" s="1"/>
  <c r="B477" i="5"/>
  <c r="G473" i="5"/>
  <c r="I473" i="5" s="1"/>
  <c r="G512" i="2"/>
  <c r="H512" i="2" s="1"/>
  <c r="B492" i="2"/>
  <c r="B476" i="2"/>
  <c r="G472" i="2"/>
  <c r="I472" i="2" l="1"/>
  <c r="G518" i="2"/>
  <c r="H51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200-000001000000}">
      <text>
        <r>
          <rPr>
            <b/>
            <sz val="8"/>
            <color indexed="81"/>
            <rFont val="Tahoma"/>
            <family val="2"/>
          </rPr>
          <t>Incluye sobreespesor de corrosion.</t>
        </r>
      </text>
    </comment>
    <comment ref="H196" authorId="0" shapeId="0" xr:uid="{00000000-0006-0000-0200-000002000000}">
      <text>
        <r>
          <rPr>
            <b/>
            <sz val="8"/>
            <color indexed="81"/>
            <rFont val="Tahoma"/>
            <family val="2"/>
          </rPr>
          <t>Ecuación extraida del ACI 350.</t>
        </r>
      </text>
    </comment>
    <comment ref="H197" authorId="0" shapeId="0" xr:uid="{00000000-0006-0000-0200-000003000000}">
      <text>
        <r>
          <rPr>
            <b/>
            <sz val="8"/>
            <color indexed="81"/>
            <rFont val="Tahoma"/>
            <family val="2"/>
          </rPr>
          <t>Ecuación extraida del ACI 350.</t>
        </r>
      </text>
    </comment>
    <comment ref="H198" authorId="0" shapeId="0" xr:uid="{00000000-0006-0000-0200-000004000000}">
      <text>
        <r>
          <rPr>
            <b/>
            <sz val="8"/>
            <color indexed="81"/>
            <rFont val="Tahoma"/>
            <family val="2"/>
          </rPr>
          <t>Ecuación extraida del ACI 350.</t>
        </r>
      </text>
    </comment>
    <comment ref="H199" authorId="0" shapeId="0" xr:uid="{00000000-0006-0000-0200-000005000000}">
      <text>
        <r>
          <rPr>
            <b/>
            <sz val="8"/>
            <color indexed="81"/>
            <rFont val="Tahoma"/>
            <family val="2"/>
          </rPr>
          <t>Ecuación extraida del ACI 350.</t>
        </r>
      </text>
    </comment>
    <comment ref="F334" authorId="0" shapeId="0" xr:uid="{00000000-0006-0000-0200-000006000000}">
      <text>
        <r>
          <rPr>
            <b/>
            <sz val="8"/>
            <color indexed="81"/>
            <rFont val="Tahoma"/>
            <family val="2"/>
          </rPr>
          <t>Se recomienda diseñar anclajes para carga de trabajo del perno.</t>
        </r>
      </text>
    </comment>
    <comment ref="B349" authorId="0" shapeId="0" xr:uid="{00000000-0006-0000-0200-000007000000}">
      <text>
        <r>
          <rPr>
            <b/>
            <sz val="8"/>
            <color indexed="81"/>
            <rFont val="Tahoma"/>
            <family val="2"/>
          </rPr>
          <t>Este ancho interno corresponde al minimo requerido para el buen soporte de la columna de liquido en condición estática.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300-000001000000}">
      <text>
        <r>
          <rPr>
            <b/>
            <sz val="8"/>
            <color indexed="81"/>
            <rFont val="Tahoma"/>
            <family val="2"/>
          </rPr>
          <t>Incluye sobreespesor de corrosion.</t>
        </r>
      </text>
    </comment>
    <comment ref="H196" authorId="0" shapeId="0" xr:uid="{00000000-0006-0000-0300-000002000000}">
      <text>
        <r>
          <rPr>
            <b/>
            <sz val="8"/>
            <color indexed="81"/>
            <rFont val="Tahoma"/>
            <family val="2"/>
          </rPr>
          <t>Ecuación extraida del ACI 350.</t>
        </r>
      </text>
    </comment>
    <comment ref="H197" authorId="0" shapeId="0" xr:uid="{00000000-0006-0000-0300-000003000000}">
      <text>
        <r>
          <rPr>
            <b/>
            <sz val="8"/>
            <color indexed="81"/>
            <rFont val="Tahoma"/>
            <family val="2"/>
          </rPr>
          <t>Ecuación extraida del ACI 350.</t>
        </r>
      </text>
    </comment>
    <comment ref="H198" authorId="0" shapeId="0" xr:uid="{00000000-0006-0000-0300-000004000000}">
      <text>
        <r>
          <rPr>
            <b/>
            <sz val="8"/>
            <color indexed="81"/>
            <rFont val="Tahoma"/>
            <family val="2"/>
          </rPr>
          <t>Ecuación extraida del ACI 350.</t>
        </r>
      </text>
    </comment>
    <comment ref="H199" authorId="0" shapeId="0" xr:uid="{00000000-0006-0000-0300-000005000000}">
      <text>
        <r>
          <rPr>
            <b/>
            <sz val="8"/>
            <color indexed="81"/>
            <rFont val="Tahoma"/>
            <family val="2"/>
          </rPr>
          <t>Ecuación extraida del ACI 350.</t>
        </r>
      </text>
    </comment>
    <comment ref="A291" authorId="0" shapeId="0" xr:uid="{00000000-0006-0000-0300-000006000000}">
      <text>
        <r>
          <rPr>
            <b/>
            <sz val="8"/>
            <color indexed="81"/>
            <rFont val="Tahoma"/>
            <family val="2"/>
          </rPr>
          <t>El metodo API 650 para la definición de los pernos de anclaje es conservador sobre los resultados de la teoria elastica. Mas adelante se usará la teoria elastica para la definición de la placa base del estanque.</t>
        </r>
      </text>
    </comment>
    <comment ref="F334" authorId="0" shapeId="0" xr:uid="{00000000-0006-0000-0300-000007000000}">
      <text>
        <r>
          <rPr>
            <b/>
            <sz val="8"/>
            <color indexed="81"/>
            <rFont val="Tahoma"/>
            <family val="2"/>
          </rPr>
          <t>Se recomienda diseñar anclajes para carga de trabajo del perno.</t>
        </r>
        <r>
          <rPr>
            <sz val="8"/>
            <color indexed="81"/>
            <rFont val="Tahoma"/>
            <family val="2"/>
          </rPr>
          <t xml:space="preserve">
</t>
        </r>
      </text>
    </comment>
    <comment ref="B349" authorId="0" shapeId="0" xr:uid="{00000000-0006-0000-0300-000008000000}">
      <text>
        <r>
          <rPr>
            <b/>
            <sz val="8"/>
            <color indexed="81"/>
            <rFont val="Tahoma"/>
            <family val="2"/>
          </rPr>
          <t>Este ancho interno corresponde al minimo requerido para el buen soporte de la columna de liquido en condición estática.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cpena</author>
  </authors>
  <commentList>
    <comment ref="H183" authorId="0" shapeId="0" xr:uid="{00000000-0006-0000-0400-000001000000}">
      <text>
        <r>
          <rPr>
            <b/>
            <sz val="8"/>
            <color indexed="81"/>
            <rFont val="Tahoma"/>
            <family val="2"/>
          </rPr>
          <t>Incluye sobreespesor de corrosion.</t>
        </r>
      </text>
    </comment>
    <comment ref="H196" authorId="0" shapeId="0" xr:uid="{00000000-0006-0000-0400-000002000000}">
      <text>
        <r>
          <rPr>
            <b/>
            <sz val="8"/>
            <color indexed="81"/>
            <rFont val="Tahoma"/>
            <family val="2"/>
          </rPr>
          <t>Ecuación extraida del ACI 350.</t>
        </r>
      </text>
    </comment>
    <comment ref="H197" authorId="0" shapeId="0" xr:uid="{00000000-0006-0000-0400-000003000000}">
      <text>
        <r>
          <rPr>
            <b/>
            <sz val="8"/>
            <color indexed="81"/>
            <rFont val="Tahoma"/>
            <family val="2"/>
          </rPr>
          <t>Ecuación extraida del ACI 350.</t>
        </r>
      </text>
    </comment>
    <comment ref="H198" authorId="0" shapeId="0" xr:uid="{00000000-0006-0000-0400-000004000000}">
      <text>
        <r>
          <rPr>
            <b/>
            <sz val="8"/>
            <color indexed="81"/>
            <rFont val="Tahoma"/>
            <family val="2"/>
          </rPr>
          <t>Ecuación extraida del ACI 350.</t>
        </r>
      </text>
    </comment>
    <comment ref="H199" authorId="0" shapeId="0" xr:uid="{00000000-0006-0000-0400-000005000000}">
      <text>
        <r>
          <rPr>
            <b/>
            <sz val="8"/>
            <color indexed="81"/>
            <rFont val="Tahoma"/>
            <family val="2"/>
          </rPr>
          <t>Ecuación extraida del ACI 350.</t>
        </r>
      </text>
    </comment>
  </commentList>
</comments>
</file>

<file path=xl/sharedStrings.xml><?xml version="1.0" encoding="utf-8"?>
<sst xmlns="http://schemas.openxmlformats.org/spreadsheetml/2006/main" count="2501" uniqueCount="670">
  <si>
    <t>Diámetro</t>
  </si>
  <si>
    <t>D</t>
  </si>
  <si>
    <t>=</t>
  </si>
  <si>
    <t>m</t>
  </si>
  <si>
    <t>Altura de líquido</t>
  </si>
  <si>
    <t>H</t>
  </si>
  <si>
    <t>Revancha (valor estimado a corregir según altura de ola)</t>
  </si>
  <si>
    <t>r</t>
  </si>
  <si>
    <t>Altura manto (H + r)</t>
  </si>
  <si>
    <t>Altura techo</t>
  </si>
  <si>
    <t>q</t>
  </si>
  <si>
    <t>mm</t>
  </si>
  <si>
    <t>Gravedad específica</t>
  </si>
  <si>
    <t>G</t>
  </si>
  <si>
    <t xml:space="preserve">t </t>
  </si>
  <si>
    <t>Sobrecarga de techo especificada  (boquillas, otros)</t>
  </si>
  <si>
    <t>Sobrecarga de techo de cálculo (máximo entre los valores anteriores)</t>
  </si>
  <si>
    <t>Porcentaje sobrecarga de techo para sismo (normalmente cero)</t>
  </si>
  <si>
    <t>%</t>
  </si>
  <si>
    <t>Sobrecarga manto (boquillas, otros)</t>
  </si>
  <si>
    <t>Corrosión techo</t>
  </si>
  <si>
    <t>Corrosión manto</t>
  </si>
  <si>
    <t>Corrosión fondo</t>
  </si>
  <si>
    <t>Espesor elegido</t>
  </si>
  <si>
    <t>Peso planchas techo</t>
  </si>
  <si>
    <t>espesor</t>
  </si>
  <si>
    <t>Espesores  [mm]</t>
  </si>
  <si>
    <t>peso del manto</t>
  </si>
  <si>
    <t>tramo</t>
  </si>
  <si>
    <t>y</t>
  </si>
  <si>
    <t>API 650</t>
  </si>
  <si>
    <t>comercial</t>
  </si>
  <si>
    <t>[m]</t>
  </si>
  <si>
    <t>elegido</t>
  </si>
  <si>
    <t>[t]</t>
  </si>
  <si>
    <t>Xs</t>
  </si>
  <si>
    <t>Peso del techo</t>
  </si>
  <si>
    <t>Peso del líquido</t>
  </si>
  <si>
    <t>Peso total</t>
  </si>
  <si>
    <t>Centro gravedad del manto</t>
  </si>
  <si>
    <t>D / H</t>
  </si>
  <si>
    <t>API 650 - Figura E-2</t>
  </si>
  <si>
    <t>API 650 - Figura E-3</t>
  </si>
  <si>
    <t>API 650 - Figura E-4</t>
  </si>
  <si>
    <t>k</t>
  </si>
  <si>
    <t>Peso masa impulsiva</t>
  </si>
  <si>
    <t>Peso masa convectiva</t>
  </si>
  <si>
    <t>Período de la masa convectiva - API 650 - E.3.3.2</t>
  </si>
  <si>
    <t>s</t>
  </si>
  <si>
    <t>t-m</t>
  </si>
  <si>
    <t>t</t>
  </si>
  <si>
    <t>API 650 - E5.1</t>
  </si>
  <si>
    <t>t/m</t>
  </si>
  <si>
    <t>API 650 - E4.1</t>
  </si>
  <si>
    <t>API 650 - E5.1(anclados), API 650 - E5.2 (sin anclajes)</t>
  </si>
  <si>
    <t>b</t>
  </si>
  <si>
    <t>API 650 - E5.3</t>
  </si>
  <si>
    <t xml:space="preserve">Diámetro círculo de pernos  </t>
  </si>
  <si>
    <t>Cantidad mínima de pernos</t>
  </si>
  <si>
    <t>N° mínimo</t>
  </si>
  <si>
    <t>Cantidad de pernos a usar</t>
  </si>
  <si>
    <t>N° pernos</t>
  </si>
  <si>
    <t>in</t>
  </si>
  <si>
    <t>cm</t>
  </si>
  <si>
    <t>Verificación como elemento sometido a compresión pura</t>
  </si>
  <si>
    <t>Carga sobre atiesador</t>
  </si>
  <si>
    <t>A</t>
  </si>
  <si>
    <t>l</t>
  </si>
  <si>
    <t>d</t>
  </si>
  <si>
    <t>n</t>
  </si>
  <si>
    <t>z</t>
  </si>
  <si>
    <r>
      <t>H</t>
    </r>
    <r>
      <rPr>
        <vertAlign val="subscript"/>
        <sz val="8"/>
        <rFont val="Arial"/>
        <family val="2"/>
      </rPr>
      <t xml:space="preserve">s </t>
    </r>
  </si>
  <si>
    <r>
      <t>h</t>
    </r>
    <r>
      <rPr>
        <vertAlign val="subscript"/>
        <sz val="8"/>
        <rFont val="Arial"/>
        <family val="2"/>
      </rPr>
      <t>r</t>
    </r>
  </si>
  <si>
    <r>
      <t xml:space="preserve">Ángulo techo ( 9.5° &lt; </t>
    </r>
    <r>
      <rPr>
        <sz val="8"/>
        <rFont val="Symbol"/>
        <family val="1"/>
        <charset val="2"/>
      </rPr>
      <t>q</t>
    </r>
    <r>
      <rPr>
        <sz val="8"/>
        <rFont val="Arial"/>
        <family val="2"/>
      </rPr>
      <t xml:space="preserve"> &lt; 37°; según API 650 - 3.10.5.1)</t>
    </r>
  </si>
  <si>
    <r>
      <t>e</t>
    </r>
    <r>
      <rPr>
        <vertAlign val="subscript"/>
        <sz val="8"/>
        <rFont val="Arial"/>
        <family val="2"/>
      </rPr>
      <t>fondo</t>
    </r>
  </si>
  <si>
    <r>
      <t>F</t>
    </r>
    <r>
      <rPr>
        <vertAlign val="subscript"/>
        <sz val="8"/>
        <rFont val="Arial"/>
        <family val="2"/>
      </rPr>
      <t>y</t>
    </r>
  </si>
  <si>
    <r>
      <t>Sobrecarga de techo mínima según API 650 - 3.10.2.1 (122 kg/m</t>
    </r>
    <r>
      <rPr>
        <vertAlign val="superscript"/>
        <sz val="8"/>
        <rFont val="Arial"/>
        <family val="2"/>
      </rPr>
      <t>2</t>
    </r>
    <r>
      <rPr>
        <sz val="8"/>
        <rFont val="Arial"/>
        <family val="2"/>
      </rPr>
      <t xml:space="preserve"> )</t>
    </r>
  </si>
  <si>
    <r>
      <t xml:space="preserve">W </t>
    </r>
    <r>
      <rPr>
        <b/>
        <vertAlign val="subscript"/>
        <sz val="8"/>
        <rFont val="Arial"/>
        <family val="2"/>
      </rPr>
      <t>s</t>
    </r>
  </si>
  <si>
    <r>
      <t>W</t>
    </r>
    <r>
      <rPr>
        <vertAlign val="subscript"/>
        <sz val="8"/>
        <rFont val="Arial"/>
        <family val="2"/>
      </rPr>
      <t>r</t>
    </r>
  </si>
  <si>
    <r>
      <t>W</t>
    </r>
    <r>
      <rPr>
        <vertAlign val="subscript"/>
        <sz val="8"/>
        <rFont val="Arial"/>
        <family val="2"/>
      </rPr>
      <t>s</t>
    </r>
  </si>
  <si>
    <r>
      <t>W</t>
    </r>
    <r>
      <rPr>
        <vertAlign val="subscript"/>
        <sz val="8"/>
        <rFont val="Arial"/>
        <family val="2"/>
      </rPr>
      <t>T</t>
    </r>
  </si>
  <si>
    <r>
      <t>W</t>
    </r>
    <r>
      <rPr>
        <vertAlign val="subscript"/>
        <sz val="8"/>
        <rFont val="Arial"/>
        <family val="2"/>
      </rPr>
      <t>total</t>
    </r>
  </si>
  <si>
    <r>
      <t>H</t>
    </r>
    <r>
      <rPr>
        <vertAlign val="subscript"/>
        <sz val="8"/>
        <rFont val="Arial"/>
        <family val="2"/>
      </rPr>
      <t>t</t>
    </r>
  </si>
  <si>
    <r>
      <t>X</t>
    </r>
    <r>
      <rPr>
        <vertAlign val="subscript"/>
        <sz val="8"/>
        <rFont val="Arial"/>
        <family val="2"/>
      </rPr>
      <t>s</t>
    </r>
  </si>
  <si>
    <r>
      <t>W</t>
    </r>
    <r>
      <rPr>
        <vertAlign val="subscript"/>
        <sz val="8"/>
        <rFont val="Arial"/>
        <family val="2"/>
      </rPr>
      <t xml:space="preserve">1 </t>
    </r>
    <r>
      <rPr>
        <sz val="8"/>
        <rFont val="Arial"/>
        <family val="2"/>
      </rPr>
      <t>/ W</t>
    </r>
    <r>
      <rPr>
        <vertAlign val="subscript"/>
        <sz val="8"/>
        <rFont val="Arial"/>
        <family val="2"/>
      </rPr>
      <t>T</t>
    </r>
  </si>
  <si>
    <r>
      <t>W</t>
    </r>
    <r>
      <rPr>
        <vertAlign val="subscript"/>
        <sz val="8"/>
        <rFont val="Arial"/>
        <family val="2"/>
      </rPr>
      <t xml:space="preserve">2 </t>
    </r>
    <r>
      <rPr>
        <sz val="8"/>
        <rFont val="Arial"/>
        <family val="2"/>
      </rPr>
      <t>/ W</t>
    </r>
    <r>
      <rPr>
        <vertAlign val="subscript"/>
        <sz val="8"/>
        <rFont val="Arial"/>
        <family val="2"/>
      </rPr>
      <t>T</t>
    </r>
  </si>
  <si>
    <r>
      <t>X</t>
    </r>
    <r>
      <rPr>
        <vertAlign val="subscript"/>
        <sz val="8"/>
        <rFont val="Arial"/>
        <family val="2"/>
      </rPr>
      <t xml:space="preserve">1 </t>
    </r>
    <r>
      <rPr>
        <sz val="8"/>
        <rFont val="Arial"/>
        <family val="2"/>
      </rPr>
      <t>/ H</t>
    </r>
  </si>
  <si>
    <r>
      <t>X</t>
    </r>
    <r>
      <rPr>
        <vertAlign val="subscript"/>
        <sz val="8"/>
        <rFont val="Arial"/>
        <family val="2"/>
      </rPr>
      <t xml:space="preserve">2 </t>
    </r>
    <r>
      <rPr>
        <sz val="8"/>
        <rFont val="Arial"/>
        <family val="2"/>
      </rPr>
      <t>/ H</t>
    </r>
  </si>
  <si>
    <r>
      <t>W</t>
    </r>
    <r>
      <rPr>
        <vertAlign val="subscript"/>
        <sz val="8"/>
        <rFont val="Arial"/>
        <family val="2"/>
      </rPr>
      <t>1</t>
    </r>
  </si>
  <si>
    <r>
      <t>W</t>
    </r>
    <r>
      <rPr>
        <vertAlign val="subscript"/>
        <sz val="8"/>
        <rFont val="Arial"/>
        <family val="2"/>
      </rPr>
      <t>2</t>
    </r>
  </si>
  <si>
    <r>
      <t>X</t>
    </r>
    <r>
      <rPr>
        <vertAlign val="subscript"/>
        <sz val="8"/>
        <rFont val="Arial"/>
        <family val="2"/>
      </rPr>
      <t>1</t>
    </r>
  </si>
  <si>
    <r>
      <t>X</t>
    </r>
    <r>
      <rPr>
        <vertAlign val="subscript"/>
        <sz val="8"/>
        <rFont val="Arial"/>
        <family val="2"/>
      </rPr>
      <t>2</t>
    </r>
  </si>
  <si>
    <r>
      <t>C</t>
    </r>
    <r>
      <rPr>
        <vertAlign val="subscript"/>
        <sz val="8"/>
        <rFont val="Arial"/>
        <family val="2"/>
      </rPr>
      <t>1</t>
    </r>
  </si>
  <si>
    <r>
      <t>w</t>
    </r>
    <r>
      <rPr>
        <vertAlign val="subscript"/>
        <sz val="8"/>
        <rFont val="Arial"/>
        <family val="2"/>
      </rPr>
      <t>t</t>
    </r>
  </si>
  <si>
    <r>
      <t>w</t>
    </r>
    <r>
      <rPr>
        <vertAlign val="subscript"/>
        <sz val="8"/>
        <rFont val="Arial"/>
        <family val="2"/>
      </rPr>
      <t>L</t>
    </r>
  </si>
  <si>
    <r>
      <t>f</t>
    </r>
    <r>
      <rPr>
        <vertAlign val="subscript"/>
        <sz val="8"/>
        <rFont val="Arial"/>
        <family val="2"/>
      </rPr>
      <t>a</t>
    </r>
  </si>
  <si>
    <r>
      <t>t/cm</t>
    </r>
    <r>
      <rPr>
        <vertAlign val="superscript"/>
        <sz val="8"/>
        <rFont val="Arial"/>
        <family val="2"/>
      </rPr>
      <t>2</t>
    </r>
  </si>
  <si>
    <r>
      <t>G H D</t>
    </r>
    <r>
      <rPr>
        <vertAlign val="superscript"/>
        <sz val="8"/>
        <rFont val="Arial"/>
        <family val="2"/>
      </rPr>
      <t xml:space="preserve">2 </t>
    </r>
    <r>
      <rPr>
        <sz val="8"/>
        <rFont val="Arial"/>
        <family val="2"/>
      </rPr>
      <t>/ t</t>
    </r>
    <r>
      <rPr>
        <vertAlign val="superscript"/>
        <sz val="8"/>
        <rFont val="Arial"/>
        <family val="2"/>
      </rPr>
      <t>2</t>
    </r>
  </si>
  <si>
    <r>
      <t>F</t>
    </r>
    <r>
      <rPr>
        <vertAlign val="subscript"/>
        <sz val="8"/>
        <rFont val="Arial"/>
        <family val="2"/>
      </rPr>
      <t>a</t>
    </r>
  </si>
  <si>
    <r>
      <t>D</t>
    </r>
    <r>
      <rPr>
        <vertAlign val="subscript"/>
        <sz val="8"/>
        <rFont val="Arial"/>
        <family val="2"/>
      </rPr>
      <t>cp</t>
    </r>
  </si>
  <si>
    <r>
      <t>T</t>
    </r>
    <r>
      <rPr>
        <vertAlign val="subscript"/>
        <sz val="8"/>
        <rFont val="Arial"/>
        <family val="2"/>
      </rPr>
      <t>b</t>
    </r>
  </si>
  <si>
    <r>
      <t>cm</t>
    </r>
    <r>
      <rPr>
        <vertAlign val="superscript"/>
        <sz val="8"/>
        <rFont val="Arial"/>
        <family val="2"/>
      </rPr>
      <t>2</t>
    </r>
  </si>
  <si>
    <r>
      <t>t/cm</t>
    </r>
    <r>
      <rPr>
        <vertAlign val="superscript"/>
        <sz val="8"/>
        <color indexed="8"/>
        <rFont val="Arial"/>
        <family val="2"/>
      </rPr>
      <t>2</t>
    </r>
  </si>
  <si>
    <r>
      <t>L</t>
    </r>
    <r>
      <rPr>
        <vertAlign val="subscript"/>
        <sz val="8"/>
        <rFont val="Arial"/>
        <family val="2"/>
      </rPr>
      <t>b</t>
    </r>
  </si>
  <si>
    <r>
      <t>f</t>
    </r>
    <r>
      <rPr>
        <vertAlign val="subscript"/>
        <sz val="8"/>
        <rFont val="Arial"/>
        <family val="2"/>
      </rPr>
      <t>c</t>
    </r>
  </si>
  <si>
    <r>
      <t>t/m</t>
    </r>
    <r>
      <rPr>
        <vertAlign val="superscript"/>
        <sz val="8"/>
        <rFont val="Arial"/>
        <family val="2"/>
      </rPr>
      <t>2</t>
    </r>
  </si>
  <si>
    <r>
      <t>t</t>
    </r>
    <r>
      <rPr>
        <vertAlign val="subscript"/>
        <sz val="8"/>
        <rFont val="Arial"/>
        <family val="2"/>
      </rPr>
      <t>b</t>
    </r>
  </si>
  <si>
    <t>I</t>
  </si>
  <si>
    <r>
      <t>CA</t>
    </r>
    <r>
      <rPr>
        <vertAlign val="subscript"/>
        <sz val="8"/>
        <rFont val="Arial"/>
        <family val="2"/>
      </rPr>
      <t>T</t>
    </r>
  </si>
  <si>
    <r>
      <t>CA</t>
    </r>
    <r>
      <rPr>
        <vertAlign val="subscript"/>
        <sz val="8"/>
        <rFont val="Arial"/>
        <family val="2"/>
      </rPr>
      <t>M</t>
    </r>
  </si>
  <si>
    <r>
      <t>CA</t>
    </r>
    <r>
      <rPr>
        <vertAlign val="subscript"/>
        <sz val="8"/>
        <rFont val="Arial"/>
        <family val="2"/>
      </rPr>
      <t>F</t>
    </r>
  </si>
  <si>
    <t>Nomenclatura</t>
  </si>
  <si>
    <t>:</t>
  </si>
  <si>
    <r>
      <t>D</t>
    </r>
    <r>
      <rPr>
        <vertAlign val="subscript"/>
        <sz val="10"/>
        <rFont val="Times New Roman"/>
        <family val="1"/>
      </rPr>
      <t>c p</t>
    </r>
  </si>
  <si>
    <t>diámetro del círculo de pernos de anclaje</t>
  </si>
  <si>
    <t>Hs</t>
  </si>
  <si>
    <t>altura del manto</t>
  </si>
  <si>
    <r>
      <t xml:space="preserve">h </t>
    </r>
    <r>
      <rPr>
        <vertAlign val="subscript"/>
        <sz val="10"/>
        <rFont val="Times New Roman"/>
        <family val="1"/>
      </rPr>
      <t>r</t>
    </r>
  </si>
  <si>
    <t>altura del techo</t>
  </si>
  <si>
    <r>
      <t xml:space="preserve">H </t>
    </r>
    <r>
      <rPr>
        <vertAlign val="subscript"/>
        <sz val="10"/>
        <rFont val="Times New Roman"/>
        <family val="1"/>
      </rPr>
      <t>t</t>
    </r>
  </si>
  <si>
    <r>
      <t>altura total del estanque (H</t>
    </r>
    <r>
      <rPr>
        <vertAlign val="subscript"/>
        <sz val="10"/>
        <rFont val="Times New Roman"/>
        <family val="1"/>
      </rPr>
      <t>s</t>
    </r>
    <r>
      <rPr>
        <sz val="10"/>
        <rFont val="Arial"/>
        <family val="2"/>
      </rPr>
      <t xml:space="preserve"> + h </t>
    </r>
    <r>
      <rPr>
        <vertAlign val="subscript"/>
        <sz val="10"/>
        <rFont val="Times New Roman"/>
        <family val="1"/>
      </rPr>
      <t>r</t>
    </r>
    <r>
      <rPr>
        <sz val="10"/>
        <rFont val="Arial"/>
        <family val="2"/>
      </rPr>
      <t>)</t>
    </r>
  </si>
  <si>
    <t>revancha</t>
  </si>
  <si>
    <r>
      <t>e</t>
    </r>
    <r>
      <rPr>
        <vertAlign val="subscript"/>
        <sz val="10"/>
        <rFont val="Times New Roman"/>
        <family val="1"/>
      </rPr>
      <t>fondo</t>
    </r>
  </si>
  <si>
    <t>espesor plancha de fondo</t>
  </si>
  <si>
    <t>ángulo de inclinación del techo</t>
  </si>
  <si>
    <t>gravedad específica del líquido</t>
  </si>
  <si>
    <r>
      <t>W</t>
    </r>
    <r>
      <rPr>
        <vertAlign val="subscript"/>
        <sz val="10"/>
        <rFont val="Times New Roman"/>
        <family val="1"/>
      </rPr>
      <t>r</t>
    </r>
  </si>
  <si>
    <t>peso del techo</t>
  </si>
  <si>
    <r>
      <t>W</t>
    </r>
    <r>
      <rPr>
        <vertAlign val="subscript"/>
        <sz val="10"/>
        <rFont val="Times New Roman"/>
        <family val="1"/>
      </rPr>
      <t>s</t>
    </r>
  </si>
  <si>
    <r>
      <t>W</t>
    </r>
    <r>
      <rPr>
        <vertAlign val="subscript"/>
        <sz val="10"/>
        <rFont val="Times New Roman"/>
        <family val="1"/>
      </rPr>
      <t>T</t>
    </r>
    <r>
      <rPr>
        <sz val="10"/>
        <rFont val="Arial"/>
        <family val="2"/>
      </rPr>
      <t xml:space="preserve"> </t>
    </r>
  </si>
  <si>
    <t>peso del líquido</t>
  </si>
  <si>
    <r>
      <t>W</t>
    </r>
    <r>
      <rPr>
        <vertAlign val="subscript"/>
        <sz val="10"/>
        <rFont val="Times New Roman"/>
        <family val="1"/>
      </rPr>
      <t>total</t>
    </r>
  </si>
  <si>
    <t>peso total</t>
  </si>
  <si>
    <r>
      <t>e</t>
    </r>
    <r>
      <rPr>
        <vertAlign val="subscript"/>
        <sz val="8"/>
        <rFont val="Arial"/>
        <family val="2"/>
      </rPr>
      <t>techo</t>
    </r>
  </si>
  <si>
    <t>Capacidad</t>
  </si>
  <si>
    <t>m3</t>
  </si>
  <si>
    <t>ton/m2</t>
  </si>
  <si>
    <t>Categoria</t>
  </si>
  <si>
    <t>Zona</t>
  </si>
  <si>
    <t>Ao</t>
  </si>
  <si>
    <t>g</t>
  </si>
  <si>
    <t>Nº</t>
  </si>
  <si>
    <t>T'</t>
  </si>
  <si>
    <t>C1</t>
  </si>
  <si>
    <t>Suelo</t>
  </si>
  <si>
    <t>C2</t>
  </si>
  <si>
    <t>C3</t>
  </si>
  <si>
    <t>II</t>
  </si>
  <si>
    <t>III</t>
  </si>
  <si>
    <t>IV</t>
  </si>
  <si>
    <t>Coeficiente sismico modo impulsivo</t>
  </si>
  <si>
    <r>
      <t xml:space="preserve"> C</t>
    </r>
    <r>
      <rPr>
        <vertAlign val="subscript"/>
        <sz val="8"/>
        <rFont val="Arial"/>
        <family val="2"/>
      </rPr>
      <t>1</t>
    </r>
  </si>
  <si>
    <t>Cmax</t>
  </si>
  <si>
    <r>
      <t>C</t>
    </r>
    <r>
      <rPr>
        <vertAlign val="subscript"/>
        <sz val="8"/>
        <rFont val="Arial"/>
        <family val="2"/>
      </rPr>
      <t>2</t>
    </r>
  </si>
  <si>
    <r>
      <t>Centro de gravedad masa impulsiva W</t>
    </r>
    <r>
      <rPr>
        <vertAlign val="subscript"/>
        <sz val="8"/>
        <rFont val="Arial"/>
        <family val="2"/>
      </rPr>
      <t>1</t>
    </r>
  </si>
  <si>
    <r>
      <t>Centro de gravedad masa convectiva W</t>
    </r>
    <r>
      <rPr>
        <vertAlign val="subscript"/>
        <sz val="8"/>
        <rFont val="Arial"/>
        <family val="2"/>
      </rPr>
      <t>2</t>
    </r>
  </si>
  <si>
    <t xml:space="preserve">Altura de ola modo convectivo </t>
  </si>
  <si>
    <t>Acero</t>
  </si>
  <si>
    <t>N°</t>
  </si>
  <si>
    <t>Fy</t>
  </si>
  <si>
    <t>Grado</t>
  </si>
  <si>
    <t>ton/cm2</t>
  </si>
  <si>
    <t>ASTM A36</t>
  </si>
  <si>
    <t>Fu</t>
  </si>
  <si>
    <t>Espesor PL</t>
  </si>
  <si>
    <t>4 mm</t>
  </si>
  <si>
    <t>5 mm</t>
  </si>
  <si>
    <t>6 mm</t>
  </si>
  <si>
    <t>8 mm</t>
  </si>
  <si>
    <t>10 mm</t>
  </si>
  <si>
    <t>12 mm</t>
  </si>
  <si>
    <t>14 mm</t>
  </si>
  <si>
    <t>16 mm</t>
  </si>
  <si>
    <t>18 mm</t>
  </si>
  <si>
    <t>20 mm</t>
  </si>
  <si>
    <t>22 mm</t>
  </si>
  <si>
    <t>25 mm</t>
  </si>
  <si>
    <t>28 mm</t>
  </si>
  <si>
    <t>32 mm</t>
  </si>
  <si>
    <t>35 mm</t>
  </si>
  <si>
    <t>40 mm</t>
  </si>
  <si>
    <t>Pernos</t>
  </si>
  <si>
    <t>As</t>
  </si>
  <si>
    <t>inches</t>
  </si>
  <si>
    <t>cm2</t>
  </si>
  <si>
    <t>Zona sismica según NCh 2369-2003</t>
  </si>
  <si>
    <t>Categoria según NCh 2369-2003</t>
  </si>
  <si>
    <t>Tipo de suelo según NCh 2369-2003</t>
  </si>
  <si>
    <t>Coeficiente sismico masa convectiva según NCh 2369-2003</t>
  </si>
  <si>
    <t>Coeficiente sismico masa impulsiva según NCh2369-2003</t>
  </si>
  <si>
    <t>Momento volcante en N.I.P.B.</t>
  </si>
  <si>
    <t>Corte sismico en N.I.P.B.</t>
  </si>
  <si>
    <t>Peso sísmico de techo</t>
  </si>
  <si>
    <t>Espesor mínimo de techo según API650 - 3.10.5 ( 5 mm &lt; e &lt; 12.5 mm )</t>
  </si>
  <si>
    <t xml:space="preserve">Diámetro estanque </t>
  </si>
  <si>
    <t>D &lt; 15</t>
  </si>
  <si>
    <t>15 &lt; D &lt; 36</t>
  </si>
  <si>
    <t>36 &lt; D &lt; 60</t>
  </si>
  <si>
    <t>D &gt; 60</t>
  </si>
  <si>
    <r>
      <t>S</t>
    </r>
    <r>
      <rPr>
        <vertAlign val="subscript"/>
        <sz val="8"/>
        <rFont val="Arial"/>
        <family val="2"/>
      </rPr>
      <t>d</t>
    </r>
    <r>
      <rPr>
        <sz val="8"/>
        <rFont val="Arial"/>
        <family val="2"/>
      </rPr>
      <t xml:space="preserve"> = </t>
    </r>
  </si>
  <si>
    <r>
      <t>S</t>
    </r>
    <r>
      <rPr>
        <vertAlign val="subscript"/>
        <sz val="8"/>
        <rFont val="Arial"/>
        <family val="2"/>
      </rPr>
      <t>t</t>
    </r>
    <r>
      <rPr>
        <sz val="8"/>
        <rFont val="Arial"/>
        <family val="2"/>
      </rPr>
      <t xml:space="preserve"> = </t>
    </r>
  </si>
  <si>
    <r>
      <t>e</t>
    </r>
    <r>
      <rPr>
        <vertAlign val="subscript"/>
        <sz val="10"/>
        <rFont val="Arial"/>
        <family val="2"/>
      </rPr>
      <t xml:space="preserve">min </t>
    </r>
    <r>
      <rPr>
        <sz val="10"/>
        <rFont val="Arial"/>
        <family val="2"/>
      </rPr>
      <t>=</t>
    </r>
  </si>
  <si>
    <t>mínimo</t>
  </si>
  <si>
    <t>Espesor min Placa anular de fondo  API 650 - 3.5</t>
  </si>
  <si>
    <t>Diámetro interior del estanque</t>
  </si>
  <si>
    <t>altura del líquido sobre el fondo</t>
  </si>
  <si>
    <t>Espesor primera plancha de manto</t>
  </si>
  <si>
    <t>Tensión en primera plancha de manto según prueba hidrostatica</t>
  </si>
  <si>
    <t>MPa</t>
  </si>
  <si>
    <t>t &lt; 19</t>
  </si>
  <si>
    <t>19 &lt; t &lt; 25</t>
  </si>
  <si>
    <t>25 &lt; t &lt; 32</t>
  </si>
  <si>
    <t>32 &lt; t &lt; 38</t>
  </si>
  <si>
    <t>38 &lt; t &lt; 45</t>
  </si>
  <si>
    <t>Espesor primera</t>
  </si>
  <si>
    <t>placa de manto</t>
  </si>
  <si>
    <t>Tension prueba hidrostatica</t>
  </si>
  <si>
    <t>&lt; 190</t>
  </si>
  <si>
    <t>&lt; 230</t>
  </si>
  <si>
    <t>&lt; 250</t>
  </si>
  <si>
    <t>&lt; 210</t>
  </si>
  <si>
    <t>R</t>
  </si>
  <si>
    <t>x</t>
  </si>
  <si>
    <t>Amortiguamiento según NCh 2369-2003</t>
  </si>
  <si>
    <t>Factor de modificación de respuesta según NCh 2369-2003</t>
  </si>
  <si>
    <r>
      <t>T</t>
    </r>
    <r>
      <rPr>
        <vertAlign val="superscript"/>
        <sz val="8"/>
        <rFont val="Arial"/>
        <family val="2"/>
      </rPr>
      <t>*</t>
    </r>
  </si>
  <si>
    <r>
      <t>d</t>
    </r>
    <r>
      <rPr>
        <vertAlign val="subscript"/>
        <sz val="8"/>
        <rFont val="Arial"/>
        <family val="2"/>
      </rPr>
      <t>max</t>
    </r>
  </si>
  <si>
    <r>
      <t>m</t>
    </r>
    <r>
      <rPr>
        <vertAlign val="superscript"/>
        <sz val="8"/>
        <rFont val="Arial"/>
        <family val="2"/>
      </rPr>
      <t>3</t>
    </r>
    <r>
      <rPr>
        <sz val="8"/>
        <rFont val="Arial"/>
        <family val="2"/>
      </rPr>
      <t>/mm</t>
    </r>
    <r>
      <rPr>
        <vertAlign val="superscript"/>
        <sz val="8"/>
        <rFont val="Arial"/>
        <family val="2"/>
      </rPr>
      <t>2</t>
    </r>
  </si>
  <si>
    <t>Acero Pernos</t>
  </si>
  <si>
    <t>Diámetro de perno a usar</t>
  </si>
  <si>
    <t>FU</t>
  </si>
  <si>
    <t>Separación de pernos</t>
  </si>
  <si>
    <r>
      <t>l</t>
    </r>
    <r>
      <rPr>
        <vertAlign val="subscript"/>
        <sz val="8"/>
        <rFont val="Arial"/>
        <family val="2"/>
      </rPr>
      <t>1 min</t>
    </r>
  </si>
  <si>
    <r>
      <t>l</t>
    </r>
    <r>
      <rPr>
        <vertAlign val="subscript"/>
        <sz val="8"/>
        <rFont val="Arial"/>
        <family val="2"/>
      </rPr>
      <t>1</t>
    </r>
  </si>
  <si>
    <t>Ancho interno requerido - API 650 - 3.5.2</t>
  </si>
  <si>
    <t>Proyección exterior minima requerida - API 650 - 3.5.2</t>
  </si>
  <si>
    <t>Proyección exterior a usar</t>
  </si>
  <si>
    <t>Ancho interno requerido - API 650 - E4.2</t>
  </si>
  <si>
    <r>
      <t>max(215 t</t>
    </r>
    <r>
      <rPr>
        <vertAlign val="subscript"/>
        <sz val="8"/>
        <rFont val="Arial"/>
        <family val="2"/>
      </rPr>
      <t>b</t>
    </r>
    <r>
      <rPr>
        <sz val="8"/>
        <rFont val="Arial"/>
        <family val="2"/>
      </rPr>
      <t xml:space="preserve"> / ( H G )</t>
    </r>
    <r>
      <rPr>
        <vertAlign val="superscript"/>
        <sz val="8"/>
        <rFont val="Arial"/>
        <family val="2"/>
      </rPr>
      <t xml:space="preserve">1/2 </t>
    </r>
    <r>
      <rPr>
        <sz val="8"/>
        <rFont val="Arial"/>
        <family val="2"/>
      </rPr>
      <t>; 600)</t>
    </r>
  </si>
  <si>
    <r>
      <t xml:space="preserve"> 0,1745 w</t>
    </r>
    <r>
      <rPr>
        <vertAlign val="subscript"/>
        <sz val="8"/>
        <rFont val="Arial"/>
        <family val="2"/>
      </rPr>
      <t>L</t>
    </r>
    <r>
      <rPr>
        <sz val="8"/>
        <rFont val="Arial"/>
        <family val="2"/>
      </rPr>
      <t>/GH</t>
    </r>
  </si>
  <si>
    <t>Ancho total placa anular a usar</t>
  </si>
  <si>
    <t xml:space="preserve">Factor de seguridad </t>
  </si>
  <si>
    <t>E</t>
  </si>
  <si>
    <t>D tuerca</t>
  </si>
  <si>
    <t>Ancho atiesador</t>
  </si>
  <si>
    <t>Altura minima atiesador</t>
  </si>
  <si>
    <r>
      <t>t</t>
    </r>
    <r>
      <rPr>
        <vertAlign val="subscript"/>
        <sz val="8"/>
        <rFont val="Arial"/>
        <family val="2"/>
      </rPr>
      <t>atiesador</t>
    </r>
  </si>
  <si>
    <r>
      <t>h</t>
    </r>
    <r>
      <rPr>
        <vertAlign val="subscript"/>
        <sz val="8"/>
        <rFont val="Arial"/>
        <family val="2"/>
      </rPr>
      <t>min</t>
    </r>
  </si>
  <si>
    <t>Maxima distancia entre anillos rigidizadores - API 650 - 3.9.7.1</t>
  </si>
  <si>
    <r>
      <t>H</t>
    </r>
    <r>
      <rPr>
        <vertAlign val="subscript"/>
        <sz val="8"/>
        <rFont val="Arial"/>
        <family val="2"/>
      </rPr>
      <t>1</t>
    </r>
  </si>
  <si>
    <t>Espesor minimo del manto</t>
  </si>
  <si>
    <t>Cantidad de anillos a usar incluyendo el anillo superior</t>
  </si>
  <si>
    <t>Modulo de sección minimo de cada anillo - API 650 - 3.9.7.6</t>
  </si>
  <si>
    <r>
      <t>cm</t>
    </r>
    <r>
      <rPr>
        <vertAlign val="superscript"/>
        <sz val="8"/>
        <rFont val="Arial"/>
        <family val="2"/>
      </rPr>
      <t>3</t>
    </r>
  </si>
  <si>
    <t>Distancia entre anillos</t>
  </si>
  <si>
    <r>
      <t>H</t>
    </r>
    <r>
      <rPr>
        <vertAlign val="subscript"/>
        <sz val="8"/>
        <rFont val="Arial"/>
        <family val="2"/>
      </rPr>
      <t>a</t>
    </r>
  </si>
  <si>
    <r>
      <t>Z = D</t>
    </r>
    <r>
      <rPr>
        <vertAlign val="superscript"/>
        <sz val="8"/>
        <rFont val="Arial"/>
        <family val="2"/>
      </rPr>
      <t>2</t>
    </r>
    <r>
      <rPr>
        <sz val="8"/>
        <rFont val="Arial"/>
        <family val="2"/>
      </rPr>
      <t xml:space="preserve"> H</t>
    </r>
    <r>
      <rPr>
        <vertAlign val="subscript"/>
        <sz val="8"/>
        <rFont val="Arial"/>
        <family val="2"/>
      </rPr>
      <t>a</t>
    </r>
    <r>
      <rPr>
        <sz val="8"/>
        <rFont val="Arial"/>
        <family val="2"/>
      </rPr>
      <t xml:space="preserve"> / 17</t>
    </r>
  </si>
  <si>
    <r>
      <t>a</t>
    </r>
    <r>
      <rPr>
        <vertAlign val="subscript"/>
        <sz val="8"/>
        <rFont val="Arial"/>
        <family val="2"/>
      </rPr>
      <t>1</t>
    </r>
  </si>
  <si>
    <t>Hormigón</t>
  </si>
  <si>
    <t>fc'</t>
  </si>
  <si>
    <t>kg/cm2</t>
  </si>
  <si>
    <t>H20</t>
  </si>
  <si>
    <t>H25</t>
  </si>
  <si>
    <t>H30</t>
  </si>
  <si>
    <t>Ec</t>
  </si>
  <si>
    <r>
      <t>l</t>
    </r>
    <r>
      <rPr>
        <vertAlign val="subscript"/>
        <sz val="8"/>
        <rFont val="Arial"/>
        <family val="2"/>
      </rPr>
      <t>4</t>
    </r>
  </si>
  <si>
    <t>rad</t>
  </si>
  <si>
    <r>
      <t>i</t>
    </r>
    <r>
      <rPr>
        <vertAlign val="subscript"/>
        <sz val="8"/>
        <rFont val="Arial"/>
        <family val="2"/>
      </rPr>
      <t xml:space="preserve">x </t>
    </r>
    <r>
      <rPr>
        <sz val="8"/>
        <rFont val="Arial"/>
        <family val="2"/>
      </rPr>
      <t>=</t>
    </r>
  </si>
  <si>
    <r>
      <t>l</t>
    </r>
    <r>
      <rPr>
        <vertAlign val="subscript"/>
        <sz val="8"/>
        <rFont val="Arial"/>
        <family val="2"/>
      </rPr>
      <t xml:space="preserve">x </t>
    </r>
    <r>
      <rPr>
        <sz val="8"/>
        <rFont val="Arial"/>
        <family val="2"/>
      </rPr>
      <t>=</t>
    </r>
  </si>
  <si>
    <t>Alto pedestal</t>
  </si>
  <si>
    <t>Ancho pedestal</t>
  </si>
  <si>
    <t>Alto zapata</t>
  </si>
  <si>
    <t>Ancho zapata</t>
  </si>
  <si>
    <t>Peso específico del hormigón</t>
  </si>
  <si>
    <t>Peso específico del suelo de relleno</t>
  </si>
  <si>
    <t xml:space="preserve">              n</t>
  </si>
  <si>
    <t>Excentricidad</t>
  </si>
  <si>
    <t>Radio exterior</t>
  </si>
  <si>
    <t>Radio interior</t>
  </si>
  <si>
    <t xml:space="preserve"> O</t>
  </si>
  <si>
    <t xml:space="preserve">      A</t>
  </si>
  <si>
    <t>e / r</t>
  </si>
  <si>
    <t xml:space="preserve">  c = e       W</t>
  </si>
  <si>
    <r>
      <t>h</t>
    </r>
    <r>
      <rPr>
        <vertAlign val="subscript"/>
        <sz val="8"/>
        <rFont val="Arial"/>
        <family val="2"/>
      </rPr>
      <t>p</t>
    </r>
  </si>
  <si>
    <r>
      <t>b</t>
    </r>
    <r>
      <rPr>
        <vertAlign val="subscript"/>
        <sz val="8"/>
        <rFont val="Arial"/>
        <family val="2"/>
      </rPr>
      <t>p</t>
    </r>
  </si>
  <si>
    <r>
      <t>h</t>
    </r>
    <r>
      <rPr>
        <vertAlign val="subscript"/>
        <sz val="8"/>
        <rFont val="Arial"/>
        <family val="2"/>
      </rPr>
      <t>z</t>
    </r>
  </si>
  <si>
    <r>
      <t>b</t>
    </r>
    <r>
      <rPr>
        <vertAlign val="subscript"/>
        <sz val="8"/>
        <rFont val="Arial"/>
        <family val="2"/>
      </rPr>
      <t>z</t>
    </r>
  </si>
  <si>
    <r>
      <t>t/m</t>
    </r>
    <r>
      <rPr>
        <vertAlign val="superscript"/>
        <sz val="8"/>
        <rFont val="Arial"/>
        <family val="2"/>
      </rPr>
      <t>3</t>
    </r>
  </si>
  <si>
    <r>
      <t>s</t>
    </r>
    <r>
      <rPr>
        <sz val="8"/>
        <rFont val="Arial"/>
        <family val="2"/>
      </rPr>
      <t xml:space="preserve"> </t>
    </r>
    <r>
      <rPr>
        <vertAlign val="subscript"/>
        <sz val="8"/>
        <rFont val="Arial"/>
        <family val="2"/>
      </rPr>
      <t>adm sísmico</t>
    </r>
  </si>
  <si>
    <r>
      <t>s</t>
    </r>
    <r>
      <rPr>
        <sz val="8"/>
        <rFont val="Arial"/>
        <family val="2"/>
      </rPr>
      <t xml:space="preserve"> </t>
    </r>
    <r>
      <rPr>
        <vertAlign val="subscript"/>
        <sz val="8"/>
        <rFont val="Arial"/>
        <family val="2"/>
      </rPr>
      <t>adm estático</t>
    </r>
  </si>
  <si>
    <r>
      <t>M</t>
    </r>
    <r>
      <rPr>
        <vertAlign val="subscript"/>
        <sz val="8"/>
        <rFont val="Arial"/>
        <family val="2"/>
      </rPr>
      <t>o</t>
    </r>
  </si>
  <si>
    <r>
      <t>V</t>
    </r>
    <r>
      <rPr>
        <vertAlign val="subscript"/>
        <sz val="8"/>
        <rFont val="Arial"/>
        <family val="2"/>
      </rPr>
      <t>o</t>
    </r>
  </si>
  <si>
    <r>
      <t>W</t>
    </r>
    <r>
      <rPr>
        <vertAlign val="subscript"/>
        <sz val="8"/>
        <rFont val="Arial"/>
        <family val="2"/>
      </rPr>
      <t>e</t>
    </r>
  </si>
  <si>
    <r>
      <t>W</t>
    </r>
    <r>
      <rPr>
        <vertAlign val="subscript"/>
        <sz val="8"/>
        <rFont val="Arial"/>
        <family val="2"/>
      </rPr>
      <t>f</t>
    </r>
  </si>
  <si>
    <r>
      <t>r</t>
    </r>
    <r>
      <rPr>
        <vertAlign val="subscript"/>
        <sz val="8"/>
        <rFont val="Arial"/>
        <family val="2"/>
      </rPr>
      <t>1</t>
    </r>
  </si>
  <si>
    <r>
      <t>r</t>
    </r>
    <r>
      <rPr>
        <vertAlign val="subscript"/>
        <sz val="8"/>
        <rFont val="Arial"/>
        <family val="2"/>
      </rPr>
      <t>1</t>
    </r>
    <r>
      <rPr>
        <sz val="8"/>
        <rFont val="Arial"/>
        <family val="2"/>
      </rPr>
      <t xml:space="preserve"> / r</t>
    </r>
  </si>
  <si>
    <r>
      <t xml:space="preserve">      r            r</t>
    </r>
    <r>
      <rPr>
        <b/>
        <vertAlign val="subscript"/>
        <sz val="8"/>
        <rFont val="Arial"/>
        <family val="2"/>
      </rPr>
      <t>1</t>
    </r>
  </si>
  <si>
    <r>
      <t>s</t>
    </r>
    <r>
      <rPr>
        <b/>
        <vertAlign val="subscript"/>
        <sz val="8"/>
        <rFont val="Arial"/>
        <family val="2"/>
      </rPr>
      <t xml:space="preserve"> máx</t>
    </r>
  </si>
  <si>
    <t>Sello de fundacion</t>
  </si>
  <si>
    <r>
      <t>D</t>
    </r>
    <r>
      <rPr>
        <vertAlign val="subscript"/>
        <sz val="8"/>
        <rFont val="Arial"/>
        <family val="2"/>
      </rPr>
      <t>f</t>
    </r>
  </si>
  <si>
    <r>
      <t xml:space="preserve">b </t>
    </r>
    <r>
      <rPr>
        <vertAlign val="subscript"/>
        <sz val="8"/>
        <rFont val="Arial"/>
        <family val="2"/>
      </rPr>
      <t>pestaña</t>
    </r>
  </si>
  <si>
    <t>z/R</t>
  </si>
  <si>
    <t>a</t>
  </si>
  <si>
    <r>
      <t>A</t>
    </r>
    <r>
      <rPr>
        <vertAlign val="subscript"/>
        <sz val="8"/>
        <rFont val="Arial"/>
        <family val="2"/>
      </rPr>
      <t xml:space="preserve">f </t>
    </r>
  </si>
  <si>
    <r>
      <t>m</t>
    </r>
    <r>
      <rPr>
        <vertAlign val="superscript"/>
        <sz val="8"/>
        <rFont val="Arial"/>
        <family val="2"/>
      </rPr>
      <t>2</t>
    </r>
  </si>
  <si>
    <r>
      <t>m</t>
    </r>
    <r>
      <rPr>
        <vertAlign val="superscript"/>
        <sz val="8"/>
        <rFont val="Arial"/>
        <family val="2"/>
      </rPr>
      <t>3</t>
    </r>
  </si>
  <si>
    <t>e/r</t>
  </si>
  <si>
    <t>r1/r</t>
  </si>
  <si>
    <r>
      <t>s</t>
    </r>
    <r>
      <rPr>
        <vertAlign val="subscript"/>
        <sz val="8"/>
        <rFont val="Arial"/>
        <family val="2"/>
      </rPr>
      <t>max</t>
    </r>
  </si>
  <si>
    <r>
      <t>s</t>
    </r>
    <r>
      <rPr>
        <vertAlign val="subscript"/>
        <sz val="8"/>
        <rFont val="Arial"/>
        <family val="2"/>
      </rPr>
      <t>max</t>
    </r>
    <r>
      <rPr>
        <sz val="8"/>
        <rFont val="Arial"/>
        <family val="2"/>
      </rPr>
      <t>/</t>
    </r>
    <r>
      <rPr>
        <sz val="8"/>
        <rFont val="Symbol"/>
        <family val="1"/>
        <charset val="2"/>
      </rPr>
      <t>s</t>
    </r>
  </si>
  <si>
    <r>
      <t>A</t>
    </r>
    <r>
      <rPr>
        <vertAlign val="subscript"/>
        <sz val="8"/>
        <rFont val="Arial"/>
        <family val="2"/>
      </rPr>
      <t>apoyada</t>
    </r>
  </si>
  <si>
    <r>
      <t>s</t>
    </r>
    <r>
      <rPr>
        <vertAlign val="subscript"/>
        <sz val="8"/>
        <rFont val="Arial"/>
        <family val="2"/>
      </rPr>
      <t>max sismico</t>
    </r>
  </si>
  <si>
    <r>
      <t>s</t>
    </r>
    <r>
      <rPr>
        <vertAlign val="subscript"/>
        <sz val="8"/>
        <rFont val="Arial"/>
        <family val="2"/>
      </rPr>
      <t>max estatico</t>
    </r>
  </si>
  <si>
    <r>
      <t>A</t>
    </r>
    <r>
      <rPr>
        <vertAlign val="subscript"/>
        <sz val="8"/>
        <rFont val="Arial"/>
        <family val="2"/>
      </rPr>
      <t>apoyada sis</t>
    </r>
  </si>
  <si>
    <t>Chek1</t>
  </si>
  <si>
    <r>
      <t>R=4;</t>
    </r>
    <r>
      <rPr>
        <sz val="8"/>
        <rFont val="Symbol"/>
        <family val="1"/>
        <charset val="2"/>
      </rPr>
      <t>x</t>
    </r>
    <r>
      <rPr>
        <sz val="8"/>
        <rFont val="Arial"/>
        <family val="2"/>
      </rPr>
      <t>=0,02</t>
    </r>
  </si>
  <si>
    <r>
      <t>C</t>
    </r>
    <r>
      <rPr>
        <vertAlign val="subscript"/>
        <sz val="8"/>
        <rFont val="Arial"/>
        <family val="2"/>
      </rPr>
      <t>c</t>
    </r>
  </si>
  <si>
    <r>
      <t>s</t>
    </r>
    <r>
      <rPr>
        <b/>
        <vertAlign val="subscript"/>
        <sz val="8"/>
        <rFont val="Arial"/>
        <family val="2"/>
      </rPr>
      <t>max</t>
    </r>
    <r>
      <rPr>
        <b/>
        <sz val="8"/>
        <rFont val="Arial"/>
        <family val="2"/>
      </rPr>
      <t>/</t>
    </r>
    <r>
      <rPr>
        <b/>
        <sz val="8"/>
        <rFont val="Symbol"/>
        <family val="1"/>
        <charset val="2"/>
      </rPr>
      <t>s</t>
    </r>
  </si>
  <si>
    <r>
      <t>s</t>
    </r>
    <r>
      <rPr>
        <sz val="8"/>
        <rFont val="Arial"/>
        <family val="2"/>
      </rPr>
      <t>c (e=0.0)</t>
    </r>
  </si>
  <si>
    <r>
      <t>s</t>
    </r>
    <r>
      <rPr>
        <sz val="8"/>
        <rFont val="Arial"/>
        <family val="2"/>
      </rPr>
      <t>b</t>
    </r>
  </si>
  <si>
    <r>
      <t xml:space="preserve">A </t>
    </r>
    <r>
      <rPr>
        <vertAlign val="subscript"/>
        <sz val="8"/>
        <rFont val="Arial"/>
        <family val="2"/>
      </rPr>
      <t>sg</t>
    </r>
  </si>
  <si>
    <r>
      <t xml:space="preserve">A </t>
    </r>
    <r>
      <rPr>
        <vertAlign val="subscript"/>
        <sz val="8"/>
        <rFont val="Arial"/>
        <family val="2"/>
      </rPr>
      <t>sc</t>
    </r>
  </si>
  <si>
    <r>
      <t>A</t>
    </r>
    <r>
      <rPr>
        <vertAlign val="subscript"/>
        <sz val="8"/>
        <rFont val="Arial"/>
        <family val="2"/>
      </rPr>
      <t xml:space="preserve"> apoyada</t>
    </r>
  </si>
  <si>
    <t>Chek2</t>
  </si>
  <si>
    <t>Corte en N.I.P.B.</t>
  </si>
  <si>
    <t>Peso en N.I.P.B.</t>
  </si>
  <si>
    <t>Momento en N.I.P.B.</t>
  </si>
  <si>
    <r>
      <t>M</t>
    </r>
    <r>
      <rPr>
        <vertAlign val="subscript"/>
        <sz val="8"/>
        <rFont val="Arial"/>
        <family val="2"/>
      </rPr>
      <t>adicional</t>
    </r>
    <r>
      <rPr>
        <sz val="8"/>
        <rFont val="Arial"/>
        <family val="2"/>
      </rPr>
      <t xml:space="preserve"> =</t>
    </r>
  </si>
  <si>
    <r>
      <t>V</t>
    </r>
    <r>
      <rPr>
        <vertAlign val="subscript"/>
        <sz val="8"/>
        <rFont val="Arial"/>
        <family val="2"/>
      </rPr>
      <t>adicional</t>
    </r>
    <r>
      <rPr>
        <sz val="8"/>
        <rFont val="Arial"/>
        <family val="2"/>
      </rPr>
      <t xml:space="preserve"> =</t>
    </r>
  </si>
  <si>
    <r>
      <t>N</t>
    </r>
    <r>
      <rPr>
        <vertAlign val="subscript"/>
        <sz val="8"/>
        <rFont val="Arial"/>
        <family val="2"/>
      </rPr>
      <t>adicional</t>
    </r>
    <r>
      <rPr>
        <sz val="8"/>
        <rFont val="Arial"/>
        <family val="2"/>
      </rPr>
      <t xml:space="preserve"> =</t>
    </r>
  </si>
  <si>
    <r>
      <t>V</t>
    </r>
    <r>
      <rPr>
        <vertAlign val="subscript"/>
        <sz val="8"/>
        <rFont val="Arial"/>
        <family val="2"/>
      </rPr>
      <t>sismico</t>
    </r>
  </si>
  <si>
    <r>
      <t>M</t>
    </r>
    <r>
      <rPr>
        <vertAlign val="subscript"/>
        <sz val="8"/>
        <rFont val="Arial"/>
        <family val="2"/>
      </rPr>
      <t>sismico</t>
    </r>
  </si>
  <si>
    <t>Mínimo anclaje necesario (API 650 - E6.1)</t>
  </si>
  <si>
    <t>Sd</t>
  </si>
  <si>
    <t>St</t>
  </si>
  <si>
    <t>A 37-24 ES</t>
  </si>
  <si>
    <t>A 42-27 ES</t>
  </si>
  <si>
    <t>A 52-34 ES</t>
  </si>
  <si>
    <t>T°</t>
  </si>
  <si>
    <t>Temperatura de trabajo</t>
  </si>
  <si>
    <t>°C</t>
  </si>
  <si>
    <t>Modulo de Elasticidad</t>
  </si>
  <si>
    <t>Eficiencia de las Juntas</t>
  </si>
  <si>
    <t xml:space="preserve">E = </t>
  </si>
  <si>
    <r>
      <t>E</t>
    </r>
    <r>
      <rPr>
        <vertAlign val="subscript"/>
        <sz val="8"/>
        <rFont val="Arial"/>
        <family val="2"/>
      </rPr>
      <t>s</t>
    </r>
  </si>
  <si>
    <t>ASTM A307</t>
  </si>
  <si>
    <t>ASTM A325</t>
  </si>
  <si>
    <t>ASTM A490</t>
  </si>
  <si>
    <t>Chek4</t>
  </si>
  <si>
    <t>Tracción de Trabajo</t>
  </si>
  <si>
    <t>Tracción Admisible</t>
  </si>
  <si>
    <t>Tracción de Fluencia</t>
  </si>
  <si>
    <t>Tracción de perno para diseño</t>
  </si>
  <si>
    <t>P</t>
  </si>
  <si>
    <t>Acero Placa</t>
  </si>
  <si>
    <t>Espesor Placa</t>
  </si>
  <si>
    <t>Acero Planchas de manto</t>
  </si>
  <si>
    <t>Espesor</t>
  </si>
  <si>
    <t>Fc</t>
  </si>
  <si>
    <t>Momento total en sello</t>
  </si>
  <si>
    <t>Corte total en sello</t>
  </si>
  <si>
    <r>
      <t>Peso manto + techo + líquido</t>
    </r>
    <r>
      <rPr>
        <vertAlign val="subscript"/>
        <sz val="8"/>
        <rFont val="Arial"/>
        <family val="2"/>
      </rPr>
      <t>sobre zapata</t>
    </r>
    <r>
      <rPr>
        <sz val="8"/>
        <rFont val="Arial"/>
        <family val="2"/>
      </rPr>
      <t xml:space="preserve"> + N</t>
    </r>
    <r>
      <rPr>
        <vertAlign val="subscript"/>
        <sz val="8"/>
        <rFont val="Arial"/>
        <family val="2"/>
      </rPr>
      <t>adicional</t>
    </r>
  </si>
  <si>
    <r>
      <t>Peso fundaciones + suelo</t>
    </r>
    <r>
      <rPr>
        <vertAlign val="subscript"/>
        <sz val="8"/>
        <rFont val="Arial"/>
        <family val="2"/>
      </rPr>
      <t>sobre zapata</t>
    </r>
  </si>
  <si>
    <t>Peso total en sello</t>
  </si>
  <si>
    <t>Presión admisible en condición estática</t>
  </si>
  <si>
    <t>Presión admisible en condición sismica</t>
  </si>
  <si>
    <t xml:space="preserve">Pernos de  </t>
  </si>
  <si>
    <t>z/r</t>
  </si>
  <si>
    <t>Presión total en sello</t>
  </si>
  <si>
    <t>Coeficiente de roce acero-base</t>
  </si>
  <si>
    <t>Chek5</t>
  </si>
  <si>
    <t>As/A</t>
  </si>
  <si>
    <t>1.33 Ft</t>
  </si>
  <si>
    <t>Ft red exc sis</t>
  </si>
  <si>
    <t xml:space="preserve">Estanque: </t>
  </si>
  <si>
    <t>Ancho de Contacto en Anillo Basal</t>
  </si>
  <si>
    <t xml:space="preserve">mm </t>
  </si>
  <si>
    <r>
      <t>s</t>
    </r>
    <r>
      <rPr>
        <vertAlign val="subscript"/>
        <sz val="8"/>
        <rFont val="Arial"/>
        <family val="2"/>
      </rPr>
      <t>c</t>
    </r>
  </si>
  <si>
    <t>Hormigón Fundaciones</t>
  </si>
  <si>
    <t>Tensión de Compresión sobre Hormigón</t>
  </si>
  <si>
    <r>
      <t>F</t>
    </r>
    <r>
      <rPr>
        <vertAlign val="subscript"/>
        <sz val="8"/>
        <rFont val="Arial"/>
        <family val="2"/>
      </rPr>
      <t>c adm</t>
    </r>
    <r>
      <rPr>
        <sz val="8"/>
        <rFont val="Arial"/>
        <family val="2"/>
      </rPr>
      <t xml:space="preserve"> = 0.65 f'</t>
    </r>
    <r>
      <rPr>
        <vertAlign val="subscript"/>
        <sz val="8"/>
        <rFont val="Arial"/>
        <family val="2"/>
      </rPr>
      <t>c</t>
    </r>
  </si>
  <si>
    <t>Tracción de Referencia en el Anillo</t>
  </si>
  <si>
    <t>Fuerza en el Perno</t>
  </si>
  <si>
    <t>Espesor de Anillo</t>
  </si>
  <si>
    <t>Mitad del ángulo entre pernos</t>
  </si>
  <si>
    <t>f</t>
  </si>
  <si>
    <t>º</t>
  </si>
  <si>
    <t>Tensión Máxima en el Anillo</t>
  </si>
  <si>
    <t>Tensión Axial en el Anillo</t>
  </si>
  <si>
    <t>Parámetro</t>
  </si>
  <si>
    <t>Ancho de Anillo</t>
  </si>
  <si>
    <t>Acero Anillo</t>
  </si>
  <si>
    <t>Tensión Admisible en el Anillo</t>
  </si>
  <si>
    <t>Tensión de Compresión Amplificada</t>
  </si>
  <si>
    <t>Intensidad de Tensión Biaxial en Lado Comprimido</t>
  </si>
  <si>
    <t>Presión Hidrostática</t>
  </si>
  <si>
    <t>Intensidad de Tensión Admisible</t>
  </si>
  <si>
    <r>
      <t>t</t>
    </r>
    <r>
      <rPr>
        <vertAlign val="subscript"/>
        <sz val="8"/>
        <rFont val="Arial"/>
        <family val="2"/>
      </rPr>
      <t>a</t>
    </r>
  </si>
  <si>
    <r>
      <t>T</t>
    </r>
    <r>
      <rPr>
        <vertAlign val="subscript"/>
        <sz val="8"/>
        <rFont val="Arial"/>
        <family val="2"/>
      </rPr>
      <t>a,r</t>
    </r>
  </si>
  <si>
    <r>
      <t>f</t>
    </r>
    <r>
      <rPr>
        <vertAlign val="subscript"/>
        <sz val="8"/>
        <rFont val="Arial"/>
        <family val="2"/>
      </rPr>
      <t>a,r</t>
    </r>
  </si>
  <si>
    <r>
      <t>s</t>
    </r>
    <r>
      <rPr>
        <vertAlign val="subscript"/>
        <sz val="8"/>
        <rFont val="Arial"/>
        <family val="2"/>
      </rPr>
      <t>T</t>
    </r>
  </si>
  <si>
    <r>
      <t>s</t>
    </r>
    <r>
      <rPr>
        <vertAlign val="subscript"/>
        <sz val="8"/>
        <rFont val="Arial"/>
        <family val="2"/>
      </rPr>
      <t>adm</t>
    </r>
  </si>
  <si>
    <r>
      <t>s</t>
    </r>
    <r>
      <rPr>
        <vertAlign val="subscript"/>
        <sz val="8"/>
        <rFont val="Arial"/>
        <family val="2"/>
      </rPr>
      <t>H</t>
    </r>
    <r>
      <rPr>
        <sz val="8"/>
        <rFont val="Arial"/>
        <family val="2"/>
      </rPr>
      <t xml:space="preserve"> </t>
    </r>
  </si>
  <si>
    <r>
      <t>1.2S</t>
    </r>
    <r>
      <rPr>
        <vertAlign val="subscript"/>
        <sz val="8"/>
        <rFont val="Arial"/>
        <family val="2"/>
      </rPr>
      <t>d</t>
    </r>
  </si>
  <si>
    <r>
      <t>FU</t>
    </r>
    <r>
      <rPr>
        <b/>
        <vertAlign val="subscript"/>
        <sz val="8"/>
        <rFont val="Arial"/>
        <family val="2"/>
      </rPr>
      <t>1,manto</t>
    </r>
  </si>
  <si>
    <r>
      <t>FU</t>
    </r>
    <r>
      <rPr>
        <b/>
        <vertAlign val="subscript"/>
        <sz val="8"/>
        <rFont val="Arial"/>
        <family val="2"/>
      </rPr>
      <t>anillo</t>
    </r>
  </si>
  <si>
    <r>
      <t>FU</t>
    </r>
    <r>
      <rPr>
        <b/>
        <vertAlign val="subscript"/>
        <sz val="8"/>
        <rFont val="Arial"/>
        <family val="2"/>
      </rPr>
      <t>2,manto</t>
    </r>
  </si>
  <si>
    <t>K</t>
  </si>
  <si>
    <t>Tensión de Tracción Longitudinal Básica en el Manto</t>
  </si>
  <si>
    <r>
      <t>s</t>
    </r>
    <r>
      <rPr>
        <vertAlign val="subscript"/>
        <sz val="8"/>
        <rFont val="Arial"/>
        <family val="2"/>
      </rPr>
      <t>l,t</t>
    </r>
    <r>
      <rPr>
        <sz val="8"/>
        <rFont val="Arial"/>
        <family val="2"/>
      </rPr>
      <t xml:space="preserve"> </t>
    </r>
  </si>
  <si>
    <t>Tensión de Tracción Longitudinal Amplificada</t>
  </si>
  <si>
    <r>
      <t>K</t>
    </r>
    <r>
      <rPr>
        <sz val="8"/>
        <rFont val="Symbol"/>
        <family val="1"/>
        <charset val="2"/>
      </rPr>
      <t xml:space="preserve"> s</t>
    </r>
    <r>
      <rPr>
        <vertAlign val="subscript"/>
        <sz val="8"/>
        <rFont val="Arial"/>
        <family val="2"/>
      </rPr>
      <t>l,t</t>
    </r>
    <r>
      <rPr>
        <sz val="8"/>
        <rFont val="Arial"/>
        <family val="2"/>
      </rPr>
      <t xml:space="preserve"> </t>
    </r>
  </si>
  <si>
    <t>Tensión Admisible</t>
  </si>
  <si>
    <r>
      <t>FU</t>
    </r>
    <r>
      <rPr>
        <b/>
        <vertAlign val="subscript"/>
        <sz val="8"/>
        <rFont val="Arial"/>
        <family val="2"/>
      </rPr>
      <t>3,manto</t>
    </r>
  </si>
  <si>
    <t>Placa Soporte Pernos</t>
  </si>
  <si>
    <t>Anillo Rigidizador</t>
  </si>
  <si>
    <t>Anillo Rigidizador como Soporte de Pernos</t>
  </si>
  <si>
    <t>Tracción Longitudinal Memb.+ Flex. Local</t>
  </si>
  <si>
    <t>Tensión Local Admisible</t>
  </si>
  <si>
    <r>
      <t>2.5S</t>
    </r>
    <r>
      <rPr>
        <vertAlign val="subscript"/>
        <sz val="8"/>
        <rFont val="Arial"/>
        <family val="2"/>
      </rPr>
      <t>d</t>
    </r>
  </si>
  <si>
    <r>
      <t>F</t>
    </r>
    <r>
      <rPr>
        <vertAlign val="subscript"/>
        <sz val="8"/>
        <rFont val="Arial"/>
        <family val="2"/>
      </rPr>
      <t>b adm</t>
    </r>
    <r>
      <rPr>
        <sz val="8"/>
        <rFont val="Arial"/>
        <family val="2"/>
      </rPr>
      <t xml:space="preserve"> = F</t>
    </r>
    <r>
      <rPr>
        <vertAlign val="subscript"/>
        <sz val="8"/>
        <rFont val="Arial"/>
        <family val="2"/>
      </rPr>
      <t>y</t>
    </r>
  </si>
  <si>
    <t>Distancia entre borde del estanque y eje de pernos</t>
  </si>
  <si>
    <t>Ancho del anillo rigidizador (y placa aislada, si aplica)</t>
  </si>
  <si>
    <t>Distancia entre atiesadores verticales</t>
  </si>
  <si>
    <t>c</t>
  </si>
  <si>
    <t>Distancia del eje de pernos al borde externo</t>
  </si>
  <si>
    <r>
      <t>d</t>
    </r>
    <r>
      <rPr>
        <vertAlign val="subscript"/>
        <sz val="10"/>
        <rFont val="Arial"/>
        <family val="2"/>
      </rPr>
      <t>a</t>
    </r>
  </si>
  <si>
    <t>Perforación perno de anclaje</t>
  </si>
  <si>
    <t>Constante para cálculo de tensiones</t>
  </si>
  <si>
    <t>j</t>
  </si>
  <si>
    <t>Tensión por flexión en soporte de pernos</t>
  </si>
  <si>
    <r>
      <t>s</t>
    </r>
    <r>
      <rPr>
        <vertAlign val="subscript"/>
        <sz val="10"/>
        <rFont val="Arial"/>
        <family val="2"/>
      </rPr>
      <t>f,placa</t>
    </r>
  </si>
  <si>
    <r>
      <t>FU</t>
    </r>
    <r>
      <rPr>
        <b/>
        <vertAlign val="subscript"/>
        <sz val="8"/>
        <rFont val="Arial"/>
        <family val="2"/>
      </rPr>
      <t>1,placa</t>
    </r>
  </si>
  <si>
    <t>Verificación de Interacción de Tensiones</t>
  </si>
  <si>
    <t>&lt;-- Valores Recomendados</t>
  </si>
  <si>
    <t>VALORES RECOMENDADOS</t>
  </si>
  <si>
    <t>Tomar Corte Basal con Pernos</t>
  </si>
  <si>
    <t>Esfuerzo de Corte por Perno</t>
  </si>
  <si>
    <t>Tensión de Corte en Perno</t>
  </si>
  <si>
    <t>Tensión en Perno</t>
  </si>
  <si>
    <r>
      <t>s</t>
    </r>
    <r>
      <rPr>
        <vertAlign val="subscript"/>
        <sz val="8"/>
        <rFont val="Arial"/>
        <family val="2"/>
      </rPr>
      <t>perno</t>
    </r>
  </si>
  <si>
    <t>Corte admisible por perno</t>
  </si>
  <si>
    <r>
      <t>s</t>
    </r>
    <r>
      <rPr>
        <vertAlign val="subscript"/>
        <sz val="8"/>
        <rFont val="Arial"/>
        <family val="2"/>
      </rPr>
      <t>adm,perno</t>
    </r>
  </si>
  <si>
    <r>
      <t>FU</t>
    </r>
    <r>
      <rPr>
        <b/>
        <vertAlign val="subscript"/>
        <sz val="8"/>
        <rFont val="Arial"/>
        <family val="2"/>
      </rPr>
      <t>perno,tracción</t>
    </r>
  </si>
  <si>
    <t>Tension en la placa de fondo</t>
  </si>
  <si>
    <r>
      <t>C</t>
    </r>
    <r>
      <rPr>
        <vertAlign val="subscript"/>
        <sz val="8"/>
        <rFont val="Arial"/>
        <family val="2"/>
      </rPr>
      <t>R</t>
    </r>
    <r>
      <rPr>
        <sz val="8"/>
        <rFont val="Arial"/>
        <family val="2"/>
      </rPr>
      <t xml:space="preserve"> =</t>
    </r>
  </si>
  <si>
    <t>Módulo de Posson Modificado</t>
  </si>
  <si>
    <t>Coeficiente de amplificación de fuerzas sísmicas</t>
  </si>
  <si>
    <t>Momento basal amplificado</t>
  </si>
  <si>
    <r>
      <t xml:space="preserve">M' = </t>
    </r>
    <r>
      <rPr>
        <sz val="8"/>
        <rFont val="Symbol"/>
        <family val="1"/>
        <charset val="2"/>
      </rPr>
      <t xml:space="preserve">b </t>
    </r>
    <r>
      <rPr>
        <sz val="8"/>
        <rFont val="Arial"/>
        <family val="2"/>
      </rPr>
      <t>M</t>
    </r>
  </si>
  <si>
    <r>
      <t>W</t>
    </r>
    <r>
      <rPr>
        <vertAlign val="subscript"/>
        <sz val="8"/>
        <rFont val="Arial"/>
        <family val="2"/>
      </rPr>
      <t>f</t>
    </r>
    <r>
      <rPr>
        <sz val="8"/>
        <rFont val="Arial"/>
        <family val="2"/>
      </rPr>
      <t xml:space="preserve"> </t>
    </r>
  </si>
  <si>
    <t>Peso del líquido soportado directamente por la fundación</t>
  </si>
  <si>
    <r>
      <t>W</t>
    </r>
    <r>
      <rPr>
        <vertAlign val="subscript"/>
        <sz val="8"/>
        <rFont val="Arial"/>
        <family val="2"/>
      </rPr>
      <t>b</t>
    </r>
  </si>
  <si>
    <t>Reacción de compresión en la base del manto</t>
  </si>
  <si>
    <t>Variable</t>
  </si>
  <si>
    <r>
      <t>q</t>
    </r>
    <r>
      <rPr>
        <sz val="8"/>
        <rFont val="Arial"/>
        <family val="2"/>
      </rPr>
      <t>*</t>
    </r>
  </si>
  <si>
    <t>Angulo de superficie del fondo apoyada</t>
  </si>
  <si>
    <t>Radio de la superficie del fondo apoyada</t>
  </si>
  <si>
    <t>Desbalance de momentos (En equilibrio debe ser igual a cero)</t>
  </si>
  <si>
    <t>Altura de líquido a considerar</t>
  </si>
  <si>
    <t>Presión hidrostática</t>
  </si>
  <si>
    <t>Presión impulsiva en Y</t>
  </si>
  <si>
    <t>Presión convectiva en Y (sloshing)</t>
  </si>
  <si>
    <t>Presión debido a sismo vertical</t>
  </si>
  <si>
    <t>Y</t>
  </si>
  <si>
    <r>
      <t>p</t>
    </r>
    <r>
      <rPr>
        <vertAlign val="subscript"/>
        <sz val="8"/>
        <rFont val="Arial"/>
        <family val="2"/>
      </rPr>
      <t>h</t>
    </r>
  </si>
  <si>
    <r>
      <t>p</t>
    </r>
    <r>
      <rPr>
        <vertAlign val="subscript"/>
        <sz val="8"/>
        <rFont val="Arial"/>
        <family val="2"/>
      </rPr>
      <t>i</t>
    </r>
  </si>
  <si>
    <r>
      <t>p</t>
    </r>
    <r>
      <rPr>
        <vertAlign val="subscript"/>
        <sz val="8"/>
        <rFont val="Arial"/>
        <family val="2"/>
      </rPr>
      <t>c</t>
    </r>
  </si>
  <si>
    <r>
      <t>p</t>
    </r>
    <r>
      <rPr>
        <vertAlign val="subscript"/>
        <sz val="8"/>
        <rFont val="Arial"/>
        <family val="2"/>
      </rPr>
      <t>v</t>
    </r>
  </si>
  <si>
    <r>
      <t>p</t>
    </r>
    <r>
      <rPr>
        <vertAlign val="subscript"/>
        <sz val="8"/>
        <rFont val="Arial"/>
        <family val="2"/>
      </rPr>
      <t>max</t>
    </r>
  </si>
  <si>
    <r>
      <t>d</t>
    </r>
    <r>
      <rPr>
        <sz val="8"/>
        <rFont val="Arial"/>
        <family val="2"/>
      </rPr>
      <t>/t</t>
    </r>
  </si>
  <si>
    <r>
      <t>l</t>
    </r>
    <r>
      <rPr>
        <vertAlign val="superscript"/>
        <sz val="8"/>
        <rFont val="Arial"/>
        <family val="2"/>
      </rPr>
      <t>2</t>
    </r>
  </si>
  <si>
    <t>Presión combinada máxima</t>
  </si>
  <si>
    <t>Presión combinada mínima</t>
  </si>
  <si>
    <r>
      <t>p</t>
    </r>
    <r>
      <rPr>
        <vertAlign val="subscript"/>
        <sz val="8"/>
        <rFont val="Arial"/>
        <family val="2"/>
      </rPr>
      <t>min</t>
    </r>
  </si>
  <si>
    <t>Razón de imperfección del manto</t>
  </si>
  <si>
    <r>
      <t>f</t>
    </r>
    <r>
      <rPr>
        <vertAlign val="subscript"/>
        <sz val="8"/>
        <rFont val="Arial"/>
        <family val="2"/>
      </rPr>
      <t>max</t>
    </r>
  </si>
  <si>
    <r>
      <t>f</t>
    </r>
    <r>
      <rPr>
        <vertAlign val="subscript"/>
        <sz val="8"/>
        <rFont val="Arial"/>
        <family val="2"/>
      </rPr>
      <t>rb</t>
    </r>
  </si>
  <si>
    <r>
      <t>f</t>
    </r>
    <r>
      <rPr>
        <vertAlign val="subscript"/>
        <sz val="8"/>
        <rFont val="Arial"/>
        <family val="2"/>
      </rPr>
      <t>c1</t>
    </r>
  </si>
  <si>
    <t>p</t>
  </si>
  <si>
    <r>
      <t>f</t>
    </r>
    <r>
      <rPr>
        <vertAlign val="subscript"/>
        <sz val="8"/>
        <rFont val="Arial"/>
        <family val="2"/>
      </rPr>
      <t>o</t>
    </r>
  </si>
  <si>
    <r>
      <t>f</t>
    </r>
    <r>
      <rPr>
        <vertAlign val="subscript"/>
        <sz val="8"/>
        <rFont val="Arial"/>
        <family val="2"/>
      </rPr>
      <t>p</t>
    </r>
  </si>
  <si>
    <r>
      <t>f</t>
    </r>
    <r>
      <rPr>
        <vertAlign val="subscript"/>
        <sz val="8"/>
        <rFont val="Arial"/>
        <family val="2"/>
      </rPr>
      <t>m1</t>
    </r>
  </si>
  <si>
    <r>
      <t>f</t>
    </r>
    <r>
      <rPr>
        <vertAlign val="subscript"/>
        <sz val="8"/>
        <rFont val="Arial"/>
        <family val="2"/>
      </rPr>
      <t>m2</t>
    </r>
  </si>
  <si>
    <t>Tensión de compresión en el manto</t>
  </si>
  <si>
    <t>Tensión de compresión teórica de pandeo</t>
  </si>
  <si>
    <t>Tensión de pandeo en compresión membranal</t>
  </si>
  <si>
    <t>Tensión de pandeo elasto-plástico (pata de elefante)</t>
  </si>
  <si>
    <r>
      <t>F.U.</t>
    </r>
    <r>
      <rPr>
        <b/>
        <vertAlign val="subscript"/>
        <sz val="8"/>
        <rFont val="Arial"/>
        <family val="2"/>
      </rPr>
      <t>1</t>
    </r>
    <r>
      <rPr>
        <b/>
        <sz val="8"/>
        <rFont val="Arial"/>
        <family val="2"/>
      </rPr>
      <t xml:space="preserve"> =</t>
    </r>
  </si>
  <si>
    <r>
      <t>F.U.</t>
    </r>
    <r>
      <rPr>
        <b/>
        <vertAlign val="subscript"/>
        <sz val="8"/>
        <rFont val="Arial"/>
        <family val="2"/>
      </rPr>
      <t>2</t>
    </r>
    <r>
      <rPr>
        <b/>
        <sz val="8"/>
        <rFont val="Arial"/>
        <family val="2"/>
      </rPr>
      <t xml:space="preserve"> =</t>
    </r>
  </si>
  <si>
    <r>
      <t>F.U.</t>
    </r>
    <r>
      <rPr>
        <b/>
        <vertAlign val="subscript"/>
        <sz val="8"/>
        <rFont val="Arial"/>
        <family val="2"/>
      </rPr>
      <t>3</t>
    </r>
    <r>
      <rPr>
        <b/>
        <sz val="8"/>
        <rFont val="Arial"/>
        <family val="2"/>
      </rPr>
      <t xml:space="preserve"> =</t>
    </r>
  </si>
  <si>
    <t>Verificación pandeo en compresión membranal</t>
  </si>
  <si>
    <t>Verificación pandeo elástico plástico (pata de elefante)</t>
  </si>
  <si>
    <t>Verificación tensión placa fondo</t>
  </si>
  <si>
    <r>
      <t>FU</t>
    </r>
    <r>
      <rPr>
        <b/>
        <vertAlign val="subscript"/>
        <sz val="8"/>
        <rFont val="Arial"/>
        <family val="2"/>
      </rPr>
      <t>tb</t>
    </r>
  </si>
  <si>
    <r>
      <t>FU</t>
    </r>
    <r>
      <rPr>
        <b/>
        <vertAlign val="subscript"/>
        <sz val="8"/>
        <rFont val="Arial"/>
        <family val="2"/>
      </rPr>
      <t>atiesador</t>
    </r>
  </si>
  <si>
    <t>--&gt;</t>
  </si>
  <si>
    <t>- Verificación de estabilidad al volcamiento</t>
  </si>
  <si>
    <t>- Verificación altura de la ola y revancha</t>
  </si>
  <si>
    <t>- Verificación de estabilidad al deslizamiento</t>
  </si>
  <si>
    <t>- Verificación de compresión en el manto según API650</t>
  </si>
  <si>
    <t>FU =</t>
  </si>
  <si>
    <t>- Verificación placa base anular</t>
  </si>
  <si>
    <t>- Verificación atiesadores verticales</t>
  </si>
  <si>
    <t>- Verificación anillo rigidizador</t>
  </si>
  <si>
    <t>- Verificación de compresión en el manto</t>
  </si>
  <si>
    <t>- Verificación de plancha de fondo</t>
  </si>
  <si>
    <r>
      <t>M</t>
    </r>
    <r>
      <rPr>
        <vertAlign val="subscript"/>
        <sz val="8"/>
        <rFont val="Arial"/>
        <family val="2"/>
      </rPr>
      <t>R</t>
    </r>
  </si>
  <si>
    <r>
      <t>M-M</t>
    </r>
    <r>
      <rPr>
        <vertAlign val="subscript"/>
        <sz val="8"/>
        <rFont val="Arial"/>
        <family val="2"/>
      </rPr>
      <t>R</t>
    </r>
  </si>
  <si>
    <r>
      <t>t</t>
    </r>
    <r>
      <rPr>
        <vertAlign val="subscript"/>
        <sz val="8"/>
        <rFont val="Arial"/>
        <family val="2"/>
      </rPr>
      <t>b,min</t>
    </r>
  </si>
  <si>
    <t>Espesor plancha de fondo</t>
  </si>
  <si>
    <t>Redondeado</t>
  </si>
  <si>
    <t>1.2 Espesores de corrosión</t>
  </si>
  <si>
    <t>1.3 Parámetros sísmicos</t>
  </si>
  <si>
    <t>1.4 Sobrecargas</t>
  </si>
  <si>
    <t>1.5 Estimación Peso Techo, suponiendo Cono Autosoportado</t>
  </si>
  <si>
    <t>2 Espesores de manto</t>
  </si>
  <si>
    <t>2.1 Espesores mínimos según API 650 - 3.6.1</t>
  </si>
  <si>
    <t>2.2 Tensiones admisibles de manto según API 650 - 3.6.2</t>
  </si>
  <si>
    <t>2.3 Espesores calculados según API 650 -  3.6.3, Metodo de 1-pie</t>
  </si>
  <si>
    <t>2.4 Espesores minimo placa anular de fondo</t>
  </si>
  <si>
    <t>3. Estabilidad Sísmica</t>
  </si>
  <si>
    <t>1.1 Dimensiones Generales</t>
  </si>
  <si>
    <t>1. DATOS DE ENTRADA</t>
  </si>
  <si>
    <t>3.1 Datos del estanque</t>
  </si>
  <si>
    <t>3.2 Parámetros API 650 - Apéndice E</t>
  </si>
  <si>
    <t>3.3 Solicitaciones adicionales en la base</t>
  </si>
  <si>
    <t>3.4 Solicitaciones sísmicas en la base</t>
  </si>
  <si>
    <t>3.5 Estabilidad al volcamiento</t>
  </si>
  <si>
    <t>3.6 Estabilidad al deslizamiento</t>
  </si>
  <si>
    <t>3.7 Tensiones en el manto</t>
  </si>
  <si>
    <t>4. Anillos rigidizadores de manto para el viento</t>
  </si>
  <si>
    <t>5. Pernos de anclaje según API 650</t>
  </si>
  <si>
    <t>6. Diseño Sistema de Anclaje</t>
  </si>
  <si>
    <t>7. Verificaciones adicionales</t>
  </si>
  <si>
    <t>3. Cálculo Sísmico de Estanques según Norma Neozelandesa</t>
  </si>
  <si>
    <t>5. Resumen de Verificaciones y Factores de Utilización</t>
  </si>
  <si>
    <t>3.6 Análisis de estanque no anclado y cálculo de tensiones</t>
  </si>
  <si>
    <t>N.I.P.B --&gt; Nivel Inferior Placa Base</t>
  </si>
  <si>
    <r>
      <t>M</t>
    </r>
    <r>
      <rPr>
        <vertAlign val="subscript"/>
        <sz val="8"/>
        <rFont val="Arial"/>
        <family val="2"/>
      </rPr>
      <t>ad</t>
    </r>
    <r>
      <rPr>
        <sz val="8"/>
        <rFont val="Arial"/>
        <family val="2"/>
      </rPr>
      <t xml:space="preserve"> =</t>
    </r>
  </si>
  <si>
    <r>
      <t>V</t>
    </r>
    <r>
      <rPr>
        <vertAlign val="subscript"/>
        <sz val="8"/>
        <rFont val="Arial"/>
        <family val="2"/>
      </rPr>
      <t>ad</t>
    </r>
    <r>
      <rPr>
        <sz val="8"/>
        <rFont val="Arial"/>
        <family val="2"/>
      </rPr>
      <t xml:space="preserve"> =</t>
    </r>
  </si>
  <si>
    <r>
      <t>N</t>
    </r>
    <r>
      <rPr>
        <vertAlign val="subscript"/>
        <sz val="8"/>
        <rFont val="Arial"/>
        <family val="2"/>
      </rPr>
      <t>ad</t>
    </r>
    <r>
      <rPr>
        <sz val="8"/>
        <rFont val="Arial"/>
        <family val="2"/>
      </rPr>
      <t xml:space="preserve"> =</t>
    </r>
  </si>
  <si>
    <t>1"</t>
  </si>
  <si>
    <t>1 1/4"</t>
  </si>
  <si>
    <t>1 1/2"</t>
  </si>
  <si>
    <t>1 3/4"</t>
  </si>
  <si>
    <t>2"</t>
  </si>
  <si>
    <t>2 1/4"</t>
  </si>
  <si>
    <t>2 1/2"</t>
  </si>
  <si>
    <t>1.33 Fv exc</t>
  </si>
  <si>
    <t>Constante para cálculo de tensiones (Manual ARA)</t>
  </si>
  <si>
    <t>8. Cálculo de fundaciones</t>
  </si>
  <si>
    <t>8.1 Dimensiones y cargas aplicadas</t>
  </si>
  <si>
    <t>8.2 Capacidad del suelo</t>
  </si>
  <si>
    <t>8.3 Análisis Fundaciones: Sismo hacia arriba</t>
  </si>
  <si>
    <t>8.4 Análisis Fundaciones: Sismo hacia abajo</t>
  </si>
  <si>
    <t>9. Resumen de Verificaciones y Factores de Utilización</t>
  </si>
  <si>
    <t>- Verificación Area Apoyada Fundaciones</t>
  </si>
  <si>
    <t>A =</t>
  </si>
  <si>
    <t>- Verificación Tensión Máxima en el Suelo</t>
  </si>
  <si>
    <t>5.</t>
  </si>
  <si>
    <t>8.3, 8.4</t>
  </si>
  <si>
    <t>2. Espesores de manto</t>
  </si>
  <si>
    <t>td</t>
  </si>
  <si>
    <t>tt</t>
  </si>
  <si>
    <r>
      <t>l</t>
    </r>
    <r>
      <rPr>
        <vertAlign val="subscript"/>
        <sz val="8"/>
        <rFont val="Arial"/>
        <family val="2"/>
      </rPr>
      <t>pl</t>
    </r>
  </si>
  <si>
    <r>
      <t>d</t>
    </r>
    <r>
      <rPr>
        <vertAlign val="subscript"/>
        <sz val="8"/>
        <rFont val="Arial"/>
        <family val="2"/>
      </rPr>
      <t>min</t>
    </r>
  </si>
  <si>
    <t>Numero de Tramos:</t>
  </si>
  <si>
    <t>- Verificación espesor del techo</t>
  </si>
  <si>
    <t>- Verificación altura atiesadores (Largo expuesto de pernos)</t>
  </si>
  <si>
    <t>3.5 Verificación Preliminar para Estanques No Anclados Según John Rinne</t>
  </si>
  <si>
    <t>6.1 Diseño del sistema de soporte del perno</t>
  </si>
  <si>
    <t>6.2 Espesor placa base anular</t>
  </si>
  <si>
    <t>6.3 Ancho placa base anular</t>
  </si>
  <si>
    <t>6.4 Atiesadores</t>
  </si>
  <si>
    <t>6.1</t>
  </si>
  <si>
    <t>3.4 Solicitaciones sísmicas en la base según API650</t>
  </si>
  <si>
    <r>
      <t>V/(N</t>
    </r>
    <r>
      <rPr>
        <vertAlign val="subscript"/>
        <sz val="8"/>
        <color indexed="9"/>
        <rFont val="Arial"/>
        <family val="2"/>
      </rPr>
      <t>p</t>
    </r>
    <r>
      <rPr>
        <sz val="8"/>
        <color indexed="9"/>
        <rFont val="Arial"/>
        <family val="2"/>
      </rPr>
      <t>/3)</t>
    </r>
  </si>
  <si>
    <r>
      <t>t</t>
    </r>
    <r>
      <rPr>
        <vertAlign val="subscript"/>
        <sz val="8"/>
        <color indexed="9"/>
        <rFont val="Arial"/>
        <family val="2"/>
      </rPr>
      <t>perno</t>
    </r>
  </si>
  <si>
    <r>
      <t>t/cm</t>
    </r>
    <r>
      <rPr>
        <vertAlign val="superscript"/>
        <sz val="8"/>
        <color indexed="9"/>
        <rFont val="Arial"/>
        <family val="2"/>
      </rPr>
      <t>2</t>
    </r>
  </si>
  <si>
    <r>
      <t>t</t>
    </r>
    <r>
      <rPr>
        <vertAlign val="subscript"/>
        <sz val="8"/>
        <color indexed="9"/>
        <rFont val="Arial"/>
        <family val="2"/>
      </rPr>
      <t>adm,perno</t>
    </r>
  </si>
  <si>
    <r>
      <t>FU</t>
    </r>
    <r>
      <rPr>
        <b/>
        <vertAlign val="subscript"/>
        <sz val="8"/>
        <color indexed="9"/>
        <rFont val="Arial"/>
        <family val="2"/>
      </rPr>
      <t>perno,corte</t>
    </r>
  </si>
  <si>
    <t>50 mm</t>
  </si>
  <si>
    <t>Tensión de Tracción Longitudinal según API650</t>
  </si>
  <si>
    <t>Tensión de Tracción Longitudinal Membranal</t>
  </si>
  <si>
    <r>
      <t>s</t>
    </r>
    <r>
      <rPr>
        <vertAlign val="subscript"/>
        <sz val="8"/>
        <rFont val="Arial"/>
        <family val="2"/>
      </rPr>
      <t>lm,t</t>
    </r>
    <r>
      <rPr>
        <sz val="8"/>
        <rFont val="Arial"/>
        <family val="2"/>
      </rPr>
      <t xml:space="preserve"> </t>
    </r>
  </si>
  <si>
    <t>Fuerza sobre el manto por reacción del par</t>
  </si>
  <si>
    <t>T</t>
  </si>
  <si>
    <t>Tensión de Flexión Longitudinal</t>
  </si>
  <si>
    <r>
      <t>s</t>
    </r>
    <r>
      <rPr>
        <vertAlign val="subscript"/>
        <sz val="8"/>
        <rFont val="Arial"/>
        <family val="2"/>
      </rPr>
      <t>lf,t</t>
    </r>
    <r>
      <rPr>
        <sz val="8"/>
        <rFont val="Arial"/>
        <family val="2"/>
      </rPr>
      <t xml:space="preserve"> </t>
    </r>
  </si>
  <si>
    <r>
      <t>s</t>
    </r>
    <r>
      <rPr>
        <vertAlign val="subscript"/>
        <sz val="8"/>
        <rFont val="Arial"/>
        <family val="2"/>
      </rPr>
      <t>lm,t</t>
    </r>
    <r>
      <rPr>
        <sz val="8"/>
        <rFont val="Arial"/>
        <family val="2"/>
      </rPr>
      <t xml:space="preserve"> + </t>
    </r>
    <r>
      <rPr>
        <sz val="8"/>
        <rFont val="Symbol"/>
        <family val="1"/>
        <charset val="2"/>
      </rPr>
      <t>s</t>
    </r>
    <r>
      <rPr>
        <vertAlign val="subscript"/>
        <sz val="8"/>
        <rFont val="Arial"/>
        <family val="2"/>
      </rPr>
      <t>lf,t</t>
    </r>
  </si>
  <si>
    <t>Factor</t>
  </si>
  <si>
    <t xml:space="preserve">f </t>
  </si>
  <si>
    <t>Tensión de Tracción Circunferencial Membranal</t>
  </si>
  <si>
    <r>
      <t>s</t>
    </r>
    <r>
      <rPr>
        <vertAlign val="subscript"/>
        <sz val="8"/>
        <rFont val="Arial"/>
        <family val="2"/>
      </rPr>
      <t>cm,t</t>
    </r>
    <r>
      <rPr>
        <sz val="8"/>
        <rFont val="Arial"/>
        <family val="2"/>
      </rPr>
      <t xml:space="preserve"> </t>
    </r>
  </si>
  <si>
    <t>Tensión Circunferencial Hidrostática</t>
  </si>
  <si>
    <t>Area atiesador vertical</t>
  </si>
  <si>
    <r>
      <t>A</t>
    </r>
    <r>
      <rPr>
        <vertAlign val="subscript"/>
        <sz val="8"/>
        <rFont val="Arial"/>
        <family val="2"/>
      </rPr>
      <t>st</t>
    </r>
  </si>
  <si>
    <t>Area arco de manto entre pernos</t>
  </si>
  <si>
    <r>
      <t>A</t>
    </r>
    <r>
      <rPr>
        <vertAlign val="subscript"/>
        <sz val="8"/>
        <rFont val="Arial"/>
        <family val="2"/>
      </rPr>
      <t>Lb</t>
    </r>
  </si>
  <si>
    <r>
      <t>cm</t>
    </r>
    <r>
      <rPr>
        <vertAlign val="superscript"/>
        <sz val="8"/>
        <color indexed="8"/>
        <rFont val="Arial"/>
        <family val="2"/>
      </rPr>
      <t>2</t>
    </r>
  </si>
  <si>
    <t>Fuerza de compresion en atisadores verticales</t>
  </si>
  <si>
    <r>
      <t>C</t>
    </r>
    <r>
      <rPr>
        <vertAlign val="subscript"/>
        <sz val="8"/>
        <rFont val="Arial"/>
        <family val="2"/>
      </rPr>
      <t>st</t>
    </r>
  </si>
  <si>
    <t>Intensidad de tension en zona comprimida</t>
  </si>
  <si>
    <r>
      <t>S</t>
    </r>
    <r>
      <rPr>
        <vertAlign val="subscript"/>
        <sz val="8"/>
        <rFont val="Arial"/>
        <family val="2"/>
      </rPr>
      <t>c</t>
    </r>
  </si>
  <si>
    <r>
      <t>t</t>
    </r>
    <r>
      <rPr>
        <vertAlign val="subscript"/>
        <sz val="8"/>
        <rFont val="Arial"/>
        <family val="2"/>
      </rPr>
      <t>s</t>
    </r>
  </si>
  <si>
    <r>
      <t>1.5S</t>
    </r>
    <r>
      <rPr>
        <vertAlign val="subscript"/>
        <sz val="8"/>
        <rFont val="Arial"/>
        <family val="2"/>
      </rPr>
      <t>d</t>
    </r>
  </si>
  <si>
    <r>
      <t>FU</t>
    </r>
    <r>
      <rPr>
        <b/>
        <vertAlign val="subscript"/>
        <sz val="8"/>
        <rFont val="Arial"/>
        <family val="2"/>
      </rPr>
      <t>4,manto</t>
    </r>
  </si>
  <si>
    <r>
      <t>M</t>
    </r>
    <r>
      <rPr>
        <vertAlign val="subscript"/>
        <sz val="8"/>
        <rFont val="Arial"/>
        <family val="2"/>
      </rPr>
      <t>total</t>
    </r>
    <r>
      <rPr>
        <sz val="8"/>
        <rFont val="Arial"/>
        <family val="2"/>
      </rPr>
      <t xml:space="preserve"> / ( D</t>
    </r>
    <r>
      <rPr>
        <vertAlign val="superscript"/>
        <sz val="8"/>
        <rFont val="Arial"/>
        <family val="2"/>
      </rPr>
      <t xml:space="preserve">2 </t>
    </r>
    <r>
      <rPr>
        <sz val="8"/>
        <rFont val="Arial"/>
        <family val="2"/>
      </rPr>
      <t>(w</t>
    </r>
    <r>
      <rPr>
        <vertAlign val="subscript"/>
        <sz val="8"/>
        <rFont val="Arial"/>
        <family val="2"/>
      </rPr>
      <t>t</t>
    </r>
    <r>
      <rPr>
        <sz val="8"/>
        <rFont val="Arial"/>
        <family val="2"/>
      </rPr>
      <t>+w</t>
    </r>
    <r>
      <rPr>
        <vertAlign val="subscript"/>
        <sz val="8"/>
        <rFont val="Arial"/>
        <family val="2"/>
      </rPr>
      <t>L</t>
    </r>
    <r>
      <rPr>
        <sz val="8"/>
        <rFont val="Arial"/>
        <family val="2"/>
      </rPr>
      <t>)</t>
    </r>
    <r>
      <rPr>
        <sz val="8"/>
        <rFont val="Arial"/>
        <family val="2"/>
      </rPr>
      <t>)</t>
    </r>
  </si>
  <si>
    <r>
      <t xml:space="preserve">FS = </t>
    </r>
    <r>
      <rPr>
        <sz val="8"/>
        <rFont val="Symbol"/>
        <family val="1"/>
        <charset val="2"/>
      </rPr>
      <t>m</t>
    </r>
    <r>
      <rPr>
        <sz val="8"/>
        <rFont val="Arial"/>
        <family val="2"/>
      </rPr>
      <t xml:space="preserve"> N</t>
    </r>
    <r>
      <rPr>
        <vertAlign val="subscript"/>
        <sz val="8"/>
        <rFont val="Arial"/>
        <family val="2"/>
      </rPr>
      <t>total</t>
    </r>
    <r>
      <rPr>
        <sz val="8"/>
        <rFont val="Arial"/>
        <family val="2"/>
      </rPr>
      <t xml:space="preserve"> </t>
    </r>
    <r>
      <rPr>
        <sz val="8"/>
        <rFont val="Arial"/>
        <family val="2"/>
      </rPr>
      <t xml:space="preserve"> / V</t>
    </r>
    <r>
      <rPr>
        <vertAlign val="subscript"/>
        <sz val="8"/>
        <rFont val="Arial"/>
        <family val="2"/>
      </rPr>
      <t>total</t>
    </r>
  </si>
  <si>
    <r>
      <t xml:space="preserve">FS = </t>
    </r>
    <r>
      <rPr>
        <sz val="8"/>
        <rFont val="Symbol"/>
        <family val="1"/>
        <charset val="2"/>
      </rPr>
      <t>m</t>
    </r>
    <r>
      <rPr>
        <sz val="8"/>
        <rFont val="Arial"/>
        <family val="2"/>
      </rPr>
      <t xml:space="preserve"> N</t>
    </r>
    <r>
      <rPr>
        <vertAlign val="subscript"/>
        <sz val="8"/>
        <rFont val="Arial"/>
        <family val="2"/>
      </rPr>
      <t>total</t>
    </r>
    <r>
      <rPr>
        <sz val="8"/>
        <rFont val="Arial"/>
        <family val="2"/>
      </rPr>
      <t xml:space="preserve"> / V</t>
    </r>
    <r>
      <rPr>
        <vertAlign val="subscript"/>
        <sz val="8"/>
        <rFont val="Arial"/>
        <family val="2"/>
      </rPr>
      <t>total</t>
    </r>
  </si>
  <si>
    <r>
      <t>1.33</t>
    </r>
    <r>
      <rPr>
        <sz val="8"/>
        <rFont val="Symbol"/>
        <family val="1"/>
        <charset val="2"/>
      </rPr>
      <t>s</t>
    </r>
    <r>
      <rPr>
        <vertAlign val="subscript"/>
        <sz val="8"/>
        <rFont val="Arial"/>
        <family val="2"/>
      </rPr>
      <t>h</t>
    </r>
    <r>
      <rPr>
        <sz val="8"/>
        <rFont val="Arial"/>
        <family val="2"/>
      </rPr>
      <t>+f</t>
    </r>
    <r>
      <rPr>
        <vertAlign val="subscript"/>
        <sz val="8"/>
        <rFont val="Arial"/>
        <family val="2"/>
      </rPr>
      <t>a</t>
    </r>
    <r>
      <rPr>
        <sz val="8"/>
        <rFont val="Arial"/>
        <family val="2"/>
      </rPr>
      <t xml:space="preserve"> </t>
    </r>
  </si>
  <si>
    <r>
      <t>1.2f</t>
    </r>
    <r>
      <rPr>
        <vertAlign val="subscript"/>
        <sz val="8"/>
        <rFont val="Arial"/>
        <family val="2"/>
      </rPr>
      <t>a</t>
    </r>
    <r>
      <rPr>
        <sz val="8"/>
        <rFont val="Arial"/>
        <family val="2"/>
      </rPr>
      <t xml:space="preserve"> </t>
    </r>
  </si>
  <si>
    <t>hp</t>
  </si>
  <si>
    <t>Altura total</t>
  </si>
  <si>
    <t>A36</t>
  </si>
  <si>
    <t>A37-24ES</t>
  </si>
  <si>
    <t>A42-27ES</t>
  </si>
  <si>
    <t>A52-34ES</t>
  </si>
  <si>
    <t>A 516 Gr 65</t>
  </si>
  <si>
    <t>Techo es Cono Autosoportado</t>
  </si>
  <si>
    <t>Techo NO es Cono Autosoportado (Calculo del Techo No Incluído)</t>
  </si>
  <si>
    <t>Punto de aplicación de fuerzas sísmicas en el techo</t>
  </si>
  <si>
    <t>Tensión Membranal Local Admisible</t>
  </si>
  <si>
    <t>A 516 Gr 55</t>
  </si>
  <si>
    <t>A 516 Gr 60</t>
  </si>
  <si>
    <t>A 516 Gr 70</t>
  </si>
  <si>
    <t>SS 304</t>
  </si>
  <si>
    <t>SS 304L</t>
  </si>
  <si>
    <t>SS 316</t>
  </si>
  <si>
    <t>SS 316L</t>
  </si>
  <si>
    <t>SS 317</t>
  </si>
  <si>
    <t>SS 317L</t>
  </si>
  <si>
    <t>E (T°)</t>
  </si>
  <si>
    <t>Sd (T°)</t>
  </si>
  <si>
    <t>Área nominal por perno</t>
  </si>
  <si>
    <r>
      <t>A</t>
    </r>
    <r>
      <rPr>
        <vertAlign val="subscript"/>
        <sz val="8"/>
        <rFont val="Arial"/>
        <family val="2"/>
      </rPr>
      <t>b</t>
    </r>
  </si>
  <si>
    <t>Área efectiva por perno</t>
  </si>
  <si>
    <r>
      <t>A</t>
    </r>
    <r>
      <rPr>
        <vertAlign val="subscript"/>
        <sz val="8"/>
        <rFont val="Arial"/>
        <family val="2"/>
      </rPr>
      <t>e</t>
    </r>
  </si>
  <si>
    <t>Altura efectiva atiesador</t>
  </si>
  <si>
    <r>
      <t>h</t>
    </r>
    <r>
      <rPr>
        <vertAlign val="subscript"/>
        <sz val="8"/>
        <rFont val="Arial"/>
        <family val="2"/>
      </rPr>
      <t>st</t>
    </r>
  </si>
  <si>
    <t>Diseño según Norma Neozelandesa</t>
  </si>
  <si>
    <t>Peso del manto + sobrecargas manto</t>
  </si>
  <si>
    <t>Peso del manto + Sobrecarga manto</t>
  </si>
  <si>
    <t>Estanque Anclado con Anillo Rigidizador</t>
  </si>
  <si>
    <t>Estanque Anclado con Sillas Aisladas</t>
  </si>
  <si>
    <t>Estanque No Anclado</t>
  </si>
  <si>
    <r>
      <t>W</t>
    </r>
    <r>
      <rPr>
        <vertAlign val="subscript"/>
        <sz val="8"/>
        <rFont val="Arial"/>
        <family val="2"/>
      </rPr>
      <t>sello</t>
    </r>
    <r>
      <rPr>
        <sz val="8"/>
        <rFont val="Arial"/>
        <family val="2"/>
      </rPr>
      <t xml:space="preserve"> = W</t>
    </r>
    <r>
      <rPr>
        <vertAlign val="subscript"/>
        <sz val="8"/>
        <rFont val="Arial"/>
        <family val="2"/>
      </rPr>
      <t xml:space="preserve">e </t>
    </r>
    <r>
      <rPr>
        <sz val="8"/>
        <rFont val="Arial"/>
        <family val="2"/>
      </rPr>
      <t>(1+ 2/3IA</t>
    </r>
    <r>
      <rPr>
        <vertAlign val="subscript"/>
        <sz val="8"/>
        <rFont val="Arial"/>
        <family val="2"/>
      </rPr>
      <t>o</t>
    </r>
    <r>
      <rPr>
        <sz val="8"/>
        <rFont val="Arial"/>
        <family val="2"/>
      </rPr>
      <t>) + W</t>
    </r>
    <r>
      <rPr>
        <vertAlign val="subscript"/>
        <sz val="8"/>
        <rFont val="Arial"/>
        <family val="2"/>
      </rPr>
      <t>f</t>
    </r>
  </si>
  <si>
    <r>
      <t>W</t>
    </r>
    <r>
      <rPr>
        <vertAlign val="subscript"/>
        <sz val="8"/>
        <rFont val="Arial"/>
        <family val="2"/>
      </rPr>
      <t>sello</t>
    </r>
    <r>
      <rPr>
        <sz val="8"/>
        <rFont val="Arial"/>
        <family val="2"/>
      </rPr>
      <t xml:space="preserve"> = W</t>
    </r>
    <r>
      <rPr>
        <vertAlign val="subscript"/>
        <sz val="8"/>
        <rFont val="Arial"/>
        <family val="2"/>
      </rPr>
      <t xml:space="preserve">e </t>
    </r>
    <r>
      <rPr>
        <sz val="8"/>
        <rFont val="Arial"/>
        <family val="2"/>
      </rPr>
      <t>(1- 2/3IA</t>
    </r>
    <r>
      <rPr>
        <vertAlign val="subscript"/>
        <sz val="8"/>
        <rFont val="Arial"/>
        <family val="2"/>
      </rPr>
      <t>o</t>
    </r>
    <r>
      <rPr>
        <sz val="8"/>
        <rFont val="Arial"/>
        <family val="2"/>
      </rPr>
      <t>) + W</t>
    </r>
    <r>
      <rPr>
        <vertAlign val="subscript"/>
        <sz val="8"/>
        <rFont val="Arial"/>
        <family val="2"/>
      </rPr>
      <t>f</t>
    </r>
  </si>
  <si>
    <r>
      <t>e = M</t>
    </r>
    <r>
      <rPr>
        <vertAlign val="subscript"/>
        <sz val="8"/>
        <rFont val="Arial"/>
        <family val="2"/>
      </rPr>
      <t>o</t>
    </r>
    <r>
      <rPr>
        <sz val="8"/>
        <rFont val="Arial"/>
        <family val="2"/>
      </rPr>
      <t xml:space="preserve"> / W</t>
    </r>
    <r>
      <rPr>
        <vertAlign val="subscript"/>
        <sz val="8"/>
        <rFont val="Arial"/>
        <family val="2"/>
      </rPr>
      <t>sello</t>
    </r>
  </si>
  <si>
    <r>
      <t>e+3*t</t>
    </r>
    <r>
      <rPr>
        <vertAlign val="subscript"/>
        <sz val="8"/>
        <rFont val="Arial"/>
        <family val="2"/>
      </rPr>
      <t>b</t>
    </r>
    <r>
      <rPr>
        <sz val="8"/>
        <rFont val="Arial"/>
        <family val="2"/>
      </rPr>
      <t>-1.5C</t>
    </r>
    <r>
      <rPr>
        <vertAlign val="subscript"/>
        <sz val="8"/>
        <rFont val="Arial"/>
        <family val="2"/>
      </rPr>
      <t>af</t>
    </r>
    <r>
      <rPr>
        <sz val="8"/>
        <rFont val="Arial"/>
        <family val="2"/>
      </rPr>
      <t>-C</t>
    </r>
    <r>
      <rPr>
        <vertAlign val="subscript"/>
        <sz val="8"/>
        <rFont val="Arial"/>
        <family val="2"/>
      </rPr>
      <t>am</t>
    </r>
  </si>
  <si>
    <t>e+3*tb-1.5Caf-Cam</t>
  </si>
  <si>
    <r>
      <t>FU</t>
    </r>
    <r>
      <rPr>
        <b/>
        <vertAlign val="subscript"/>
        <sz val="8"/>
        <color indexed="9"/>
        <rFont val="Arial"/>
        <family val="2"/>
      </rPr>
      <t>1,placa</t>
    </r>
    <r>
      <rPr>
        <b/>
        <sz val="8"/>
        <color indexed="9"/>
        <rFont val="Arial"/>
        <family val="2"/>
      </rPr>
      <t xml:space="preserve"> + FU</t>
    </r>
    <r>
      <rPr>
        <b/>
        <vertAlign val="subscript"/>
        <sz val="8"/>
        <color indexed="9"/>
        <rFont val="Arial"/>
        <family val="2"/>
      </rPr>
      <t>anillo</t>
    </r>
  </si>
  <si>
    <t>Según tablas de Beton Kalender</t>
  </si>
  <si>
    <t>SUBJECT:</t>
  </si>
  <si>
    <t>CALC NO.:</t>
  </si>
  <si>
    <t>REVISION</t>
  </si>
  <si>
    <t>ORIGINATOR:</t>
  </si>
  <si>
    <t>Page:</t>
  </si>
  <si>
    <t>XX</t>
  </si>
  <si>
    <t>REVIEWER:</t>
  </si>
  <si>
    <t>C.P.L.</t>
  </si>
  <si>
    <t>of :</t>
  </si>
  <si>
    <t>DATE:</t>
  </si>
  <si>
    <t>7.1 Verificación del Manto</t>
  </si>
  <si>
    <t>- Verificación adicional del manto</t>
  </si>
  <si>
    <t>Diseño según API650 + Recomendaciones</t>
  </si>
  <si>
    <t>7.1 Verificación Anillo Rigidizador</t>
  </si>
  <si>
    <t>7.2 Verificación del Manto</t>
  </si>
  <si>
    <r>
      <t xml:space="preserve">Estanque </t>
    </r>
    <r>
      <rPr>
        <b/>
        <sz val="20"/>
        <color rgb="FF0000FF"/>
        <rFont val="Symbol"/>
        <family val="1"/>
        <charset val="2"/>
      </rPr>
      <t>f</t>
    </r>
    <r>
      <rPr>
        <b/>
        <sz val="20"/>
        <color indexed="12"/>
        <rFont val="Arial"/>
        <family val="2"/>
      </rPr>
      <t xml:space="preserve"> 10m x 10m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</si>
</sst>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
    <numFmt numFmtId="167" formatCode="#,##0.0000"/>
    <numFmt numFmtId="168" formatCode="#,##0.0"/>
  </numFmts>
  <fonts count="63" x14ac:knownFonts="1">
    <font>
      <sz val="10"/>
      <name val="Arial"/>
    </font>
    <font>
      <sz val="10"/>
      <name val="Arial"/>
      <family val="2"/>
    </font>
    <font>
      <sz val="10"/>
      <name val="Times New Roman"/>
      <family val="1"/>
    </font>
    <font>
      <b/>
      <sz val="8"/>
      <name val="Arial"/>
      <family val="2"/>
    </font>
    <font>
      <sz val="10"/>
      <name val="Arial"/>
      <family val="2"/>
    </font>
    <font>
      <sz val="8"/>
      <name val="Arial"/>
      <family val="2"/>
    </font>
    <font>
      <b/>
      <sz val="24"/>
      <name val="Arial"/>
      <family val="2"/>
    </font>
    <font>
      <sz val="10"/>
      <color indexed="10"/>
      <name val="Arial"/>
      <family val="2"/>
    </font>
    <font>
      <sz val="10"/>
      <color indexed="12"/>
      <name val="Arial"/>
      <family val="2"/>
    </font>
    <font>
      <vertAlign val="subscript"/>
      <sz val="8"/>
      <name val="Arial"/>
      <family val="2"/>
    </font>
    <font>
      <sz val="8"/>
      <name val="Symbol"/>
      <family val="1"/>
      <charset val="2"/>
    </font>
    <font>
      <sz val="10"/>
      <color indexed="8"/>
      <name val="Arial"/>
      <family val="2"/>
    </font>
    <font>
      <vertAlign val="superscript"/>
      <sz val="8"/>
      <name val="Arial"/>
      <family val="2"/>
    </font>
    <font>
      <b/>
      <sz val="10"/>
      <name val="Arial"/>
      <family val="2"/>
    </font>
    <font>
      <b/>
      <vertAlign val="subscript"/>
      <sz val="8"/>
      <name val="Arial"/>
      <family val="2"/>
    </font>
    <font>
      <b/>
      <sz val="10"/>
      <color indexed="10"/>
      <name val="Arial"/>
      <family val="2"/>
    </font>
    <font>
      <vertAlign val="subscript"/>
      <sz val="10"/>
      <name val="Arial"/>
      <family val="2"/>
    </font>
    <font>
      <sz val="10"/>
      <name val="Symbol"/>
      <family val="1"/>
      <charset val="2"/>
    </font>
    <font>
      <vertAlign val="superscript"/>
      <sz val="8"/>
      <color indexed="8"/>
      <name val="Arial"/>
      <family val="2"/>
    </font>
    <font>
      <sz val="8"/>
      <color indexed="8"/>
      <name val="Arial"/>
      <family val="2"/>
    </font>
    <font>
      <b/>
      <sz val="8"/>
      <color indexed="10"/>
      <name val="Arial"/>
      <family val="2"/>
    </font>
    <font>
      <b/>
      <sz val="8"/>
      <color indexed="81"/>
      <name val="Tahoma"/>
      <family val="2"/>
    </font>
    <font>
      <b/>
      <sz val="10"/>
      <name val="Times New Roman"/>
      <family val="1"/>
    </font>
    <font>
      <vertAlign val="subscript"/>
      <sz val="10"/>
      <name val="Times New Roman"/>
      <family val="1"/>
    </font>
    <font>
      <sz val="12"/>
      <name val="Times New Roman"/>
      <family val="1"/>
    </font>
    <font>
      <b/>
      <sz val="12"/>
      <name val="Arial"/>
      <family val="2"/>
    </font>
    <font>
      <b/>
      <sz val="14"/>
      <name val="Times New Roman"/>
      <family val="1"/>
    </font>
    <font>
      <sz val="10"/>
      <color indexed="48"/>
      <name val="Arial"/>
      <family val="2"/>
    </font>
    <font>
      <sz val="11"/>
      <name val="Arial"/>
      <family val="2"/>
    </font>
    <font>
      <b/>
      <u/>
      <sz val="11"/>
      <color indexed="10"/>
      <name val="Arial"/>
      <family val="2"/>
    </font>
    <font>
      <sz val="8"/>
      <name val="Arial"/>
      <family val="2"/>
    </font>
    <font>
      <b/>
      <sz val="8"/>
      <name val="Symbol"/>
      <family val="1"/>
      <charset val="2"/>
    </font>
    <font>
      <b/>
      <sz val="8"/>
      <name val="Arial"/>
      <family val="2"/>
    </font>
    <font>
      <b/>
      <sz val="8"/>
      <color indexed="9"/>
      <name val="Arial"/>
      <family val="2"/>
    </font>
    <font>
      <sz val="8"/>
      <color indexed="10"/>
      <name val="Arial"/>
      <family val="2"/>
    </font>
    <font>
      <i/>
      <u/>
      <sz val="8"/>
      <name val="Arial"/>
      <family val="2"/>
    </font>
    <font>
      <sz val="8"/>
      <name val="Times New Roman"/>
      <family val="1"/>
    </font>
    <font>
      <sz val="6"/>
      <name val="Arial"/>
      <family val="2"/>
    </font>
    <font>
      <sz val="6"/>
      <name val="Arial"/>
      <family val="2"/>
    </font>
    <font>
      <sz val="6"/>
      <name val="Symbol"/>
      <family val="1"/>
      <charset val="2"/>
    </font>
    <font>
      <sz val="6"/>
      <name val="Times New Roman"/>
      <family val="1"/>
    </font>
    <font>
      <sz val="10"/>
      <color indexed="9"/>
      <name val="Arial"/>
      <family val="2"/>
    </font>
    <font>
      <sz val="8"/>
      <color indexed="9"/>
      <name val="Arial"/>
      <family val="2"/>
    </font>
    <font>
      <b/>
      <u/>
      <sz val="8"/>
      <color indexed="10"/>
      <name val="Arial"/>
      <family val="2"/>
    </font>
    <font>
      <u/>
      <sz val="8"/>
      <name val="Arial"/>
      <family val="2"/>
    </font>
    <font>
      <u/>
      <sz val="8"/>
      <name val="Symbol"/>
      <family val="1"/>
      <charset val="2"/>
    </font>
    <font>
      <sz val="8"/>
      <color indexed="12"/>
      <name val="Arial"/>
      <family val="2"/>
    </font>
    <font>
      <b/>
      <sz val="10"/>
      <color indexed="8"/>
      <name val="Arial"/>
      <family val="2"/>
    </font>
    <font>
      <vertAlign val="subscript"/>
      <sz val="8"/>
      <color indexed="9"/>
      <name val="Arial"/>
      <family val="2"/>
    </font>
    <font>
      <sz val="8"/>
      <color indexed="9"/>
      <name val="Symbol"/>
      <family val="1"/>
      <charset val="2"/>
    </font>
    <font>
      <vertAlign val="superscript"/>
      <sz val="8"/>
      <color indexed="9"/>
      <name val="Arial"/>
      <family val="2"/>
    </font>
    <font>
      <b/>
      <vertAlign val="subscript"/>
      <sz val="8"/>
      <color indexed="9"/>
      <name val="Arial"/>
      <family val="2"/>
    </font>
    <font>
      <b/>
      <sz val="10"/>
      <color indexed="9"/>
      <name val="Arial"/>
      <family val="2"/>
    </font>
    <font>
      <b/>
      <sz val="14"/>
      <color indexed="48"/>
      <name val="Arial"/>
      <family val="2"/>
    </font>
    <font>
      <b/>
      <sz val="20"/>
      <color indexed="12"/>
      <name val="Arial"/>
      <family val="2"/>
    </font>
    <font>
      <sz val="10"/>
      <name val="Arial"/>
      <family val="2"/>
    </font>
    <font>
      <sz val="8"/>
      <color indexed="81"/>
      <name val="Tahoma"/>
      <family val="2"/>
    </font>
    <font>
      <u/>
      <sz val="10"/>
      <color indexed="12"/>
      <name val="Arial"/>
      <family val="2"/>
    </font>
    <font>
      <sz val="8"/>
      <color rgb="FF000000"/>
      <name val="Tahoma"/>
      <family val="2"/>
    </font>
    <font>
      <sz val="9"/>
      <color rgb="FF000000"/>
      <name val="Arial"/>
      <family val="2"/>
    </font>
    <font>
      <b/>
      <sz val="8"/>
      <color rgb="FF000000"/>
      <name val="Arial"/>
      <family val="2"/>
    </font>
    <font>
      <b/>
      <sz val="8"/>
      <color rgb="FFFF0000"/>
      <name val="Arial"/>
      <family val="2"/>
    </font>
    <font>
      <b/>
      <sz val="20"/>
      <color rgb="FF0000FF"/>
      <name val="Symbol"/>
      <family val="1"/>
      <charset val="2"/>
    </font>
  </fonts>
  <fills count="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8"/>
        <bgColor indexed="64"/>
      </patternFill>
    </fill>
  </fills>
  <borders count="39">
    <border>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9">
    <xf numFmtId="0" fontId="0" fillId="0" borderId="0"/>
    <xf numFmtId="0" fontId="57" fillId="0" borderId="0" applyNumberFormat="0" applyFill="0" applyBorder="0" applyAlignment="0" applyProtection="0">
      <alignment vertical="top"/>
      <protection locked="0"/>
    </xf>
    <xf numFmtId="0" fontId="2" fillId="0" borderId="0" applyBorder="0"/>
    <xf numFmtId="0" fontId="2" fillId="0" borderId="0" applyBorder="0"/>
    <xf numFmtId="0" fontId="2" fillId="0" borderId="0" applyBorder="0"/>
    <xf numFmtId="0" fontId="2" fillId="0" borderId="0" applyBorder="0"/>
    <xf numFmtId="0" fontId="1" fillId="0" borderId="0"/>
    <xf numFmtId="9" fontId="1" fillId="0" borderId="0" applyFont="0" applyFill="0" applyBorder="0" applyAlignment="0" applyProtection="0"/>
    <xf numFmtId="0" fontId="1" fillId="0" borderId="0"/>
  </cellStyleXfs>
  <cellXfs count="593">
    <xf numFmtId="0" fontId="0" fillId="0" borderId="0" xfId="0"/>
    <xf numFmtId="0" fontId="4" fillId="2" borderId="0" xfId="2" applyFont="1" applyFill="1" applyProtection="1">
      <protection hidden="1"/>
    </xf>
    <xf numFmtId="0" fontId="25" fillId="2" borderId="0" xfId="4" applyFont="1" applyFill="1" applyProtection="1">
      <protection hidden="1"/>
    </xf>
    <xf numFmtId="0" fontId="4" fillId="2" borderId="0" xfId="4" applyFont="1" applyFill="1" applyProtection="1">
      <protection hidden="1"/>
    </xf>
    <xf numFmtId="0" fontId="5" fillId="2" borderId="0" xfId="4" applyFont="1" applyFill="1" applyProtection="1">
      <protection hidden="1"/>
    </xf>
    <xf numFmtId="0" fontId="5" fillId="2" borderId="0" xfId="2" applyFont="1" applyFill="1" applyProtection="1">
      <protection hidden="1"/>
    </xf>
    <xf numFmtId="0" fontId="5" fillId="2" borderId="1" xfId="2" applyFont="1" applyFill="1" applyBorder="1" applyAlignment="1" applyProtection="1">
      <alignment horizontal="center"/>
      <protection hidden="1"/>
    </xf>
    <xf numFmtId="0" fontId="5" fillId="2" borderId="2" xfId="2" applyFont="1" applyFill="1" applyBorder="1" applyAlignment="1" applyProtection="1">
      <alignment horizontal="center"/>
      <protection hidden="1"/>
    </xf>
    <xf numFmtId="0" fontId="5" fillId="2" borderId="3" xfId="2" applyFont="1" applyFill="1" applyBorder="1" applyAlignment="1" applyProtection="1">
      <alignment horizontal="center"/>
      <protection hidden="1"/>
    </xf>
    <xf numFmtId="0" fontId="5" fillId="2" borderId="4" xfId="2" applyFont="1" applyFill="1" applyBorder="1" applyAlignment="1" applyProtection="1">
      <alignment horizontal="center"/>
      <protection hidden="1"/>
    </xf>
    <xf numFmtId="0" fontId="5" fillId="2" borderId="5" xfId="2" applyFont="1" applyFill="1" applyBorder="1" applyAlignment="1" applyProtection="1">
      <alignment horizontal="center"/>
      <protection hidden="1"/>
    </xf>
    <xf numFmtId="0" fontId="5" fillId="2" borderId="6" xfId="2" applyFont="1" applyFill="1" applyBorder="1" applyAlignment="1" applyProtection="1">
      <alignment horizontal="center"/>
      <protection hidden="1"/>
    </xf>
    <xf numFmtId="0" fontId="5" fillId="3" borderId="0" xfId="2" applyFont="1" applyFill="1" applyProtection="1">
      <protection hidden="1"/>
    </xf>
    <xf numFmtId="0" fontId="5" fillId="0" borderId="0" xfId="2" applyFont="1" applyProtection="1">
      <protection hidden="1"/>
    </xf>
    <xf numFmtId="0" fontId="37" fillId="0" borderId="0" xfId="2" applyFont="1" applyProtection="1">
      <protection hidden="1"/>
    </xf>
    <xf numFmtId="0" fontId="4" fillId="0" borderId="0" xfId="2" applyFont="1" applyProtection="1">
      <protection hidden="1"/>
    </xf>
    <xf numFmtId="0" fontId="4" fillId="0" borderId="0" xfId="2" applyFont="1" applyBorder="1" applyProtection="1">
      <protection hidden="1"/>
    </xf>
    <xf numFmtId="3" fontId="3" fillId="2" borderId="0" xfId="2" applyNumberFormat="1" applyFont="1" applyFill="1" applyBorder="1" applyAlignment="1" applyProtection="1">
      <alignment horizontal="center"/>
      <protection hidden="1"/>
    </xf>
    <xf numFmtId="4" fontId="4" fillId="2" borderId="0" xfId="2" applyNumberFormat="1" applyFont="1" applyFill="1" applyBorder="1" applyProtection="1">
      <protection hidden="1"/>
    </xf>
    <xf numFmtId="0" fontId="4" fillId="2" borderId="0" xfId="2" applyFont="1" applyFill="1" applyBorder="1" applyProtection="1">
      <protection hidden="1"/>
    </xf>
    <xf numFmtId="4" fontId="13" fillId="2" borderId="0" xfId="2" applyNumberFormat="1" applyFont="1" applyFill="1" applyProtection="1">
      <protection hidden="1"/>
    </xf>
    <xf numFmtId="4" fontId="4" fillId="2" borderId="0" xfId="2" applyNumberFormat="1" applyFont="1" applyFill="1" applyProtection="1">
      <protection hidden="1"/>
    </xf>
    <xf numFmtId="0" fontId="0" fillId="2" borderId="0" xfId="0" applyFill="1" applyProtection="1">
      <protection hidden="1"/>
    </xf>
    <xf numFmtId="0" fontId="0" fillId="2" borderId="0" xfId="0" applyFill="1" applyAlignment="1" applyProtection="1">
      <alignment horizontal="center"/>
      <protection hidden="1"/>
    </xf>
    <xf numFmtId="0" fontId="22" fillId="2" borderId="0" xfId="0" applyFont="1" applyFill="1" applyProtection="1">
      <protection hidden="1"/>
    </xf>
    <xf numFmtId="0" fontId="24" fillId="2" borderId="0" xfId="0" applyFont="1" applyFill="1" applyAlignment="1" applyProtection="1">
      <alignment horizontal="center"/>
      <protection hidden="1"/>
    </xf>
    <xf numFmtId="0" fontId="17" fillId="2" borderId="0" xfId="0" applyFont="1" applyFill="1" applyAlignment="1" applyProtection="1">
      <alignment horizontal="center"/>
      <protection hidden="1"/>
    </xf>
    <xf numFmtId="0" fontId="2" fillId="2" borderId="0" xfId="0" applyFont="1" applyFill="1" applyAlignment="1" applyProtection="1">
      <alignment horizontal="center"/>
      <protection hidden="1"/>
    </xf>
    <xf numFmtId="0" fontId="7" fillId="2" borderId="0" xfId="2" applyFont="1" applyFill="1" applyProtection="1">
      <protection hidden="1"/>
    </xf>
    <xf numFmtId="0" fontId="5" fillId="0" borderId="0" xfId="2" applyFont="1" applyAlignment="1" applyProtection="1">
      <alignment horizontal="center"/>
      <protection hidden="1"/>
    </xf>
    <xf numFmtId="0" fontId="3" fillId="3" borderId="7" xfId="0" applyFont="1" applyFill="1" applyBorder="1" applyAlignment="1" applyProtection="1">
      <alignment horizontal="center"/>
      <protection hidden="1"/>
    </xf>
    <xf numFmtId="0" fontId="3" fillId="3" borderId="8" xfId="0" applyFont="1" applyFill="1" applyBorder="1" applyAlignment="1" applyProtection="1">
      <alignment horizontal="center"/>
      <protection hidden="1"/>
    </xf>
    <xf numFmtId="0" fontId="3" fillId="3" borderId="9" xfId="0" applyFont="1" applyFill="1" applyBorder="1" applyAlignment="1" applyProtection="1">
      <alignment horizontal="center"/>
      <protection hidden="1"/>
    </xf>
    <xf numFmtId="0" fontId="3" fillId="0" borderId="10" xfId="2" applyFont="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4" xfId="0" applyFont="1" applyFill="1" applyBorder="1" applyAlignment="1" applyProtection="1">
      <alignment horizontal="center"/>
      <protection hidden="1"/>
    </xf>
    <xf numFmtId="0" fontId="3" fillId="3" borderId="3" xfId="0" applyFont="1" applyFill="1" applyBorder="1" applyAlignment="1" applyProtection="1">
      <alignment horizontal="center"/>
      <protection hidden="1"/>
    </xf>
    <xf numFmtId="0" fontId="13" fillId="2" borderId="0" xfId="2" applyFont="1" applyFill="1" applyProtection="1">
      <protection hidden="1"/>
    </xf>
    <xf numFmtId="0" fontId="5" fillId="3" borderId="11" xfId="0" applyFont="1" applyFill="1" applyBorder="1" applyAlignment="1" applyProtection="1">
      <alignment horizontal="center"/>
      <protection hidden="1"/>
    </xf>
    <xf numFmtId="0" fontId="5" fillId="3" borderId="0" xfId="0" applyFont="1" applyFill="1" applyAlignment="1" applyProtection="1">
      <alignment horizontal="center"/>
      <protection hidden="1"/>
    </xf>
    <xf numFmtId="2" fontId="5" fillId="3" borderId="11" xfId="0" applyNumberFormat="1" applyFont="1" applyFill="1" applyBorder="1" applyAlignment="1" applyProtection="1">
      <alignment horizontal="center"/>
      <protection hidden="1"/>
    </xf>
    <xf numFmtId="2" fontId="5" fillId="0" borderId="0" xfId="2" applyNumberFormat="1" applyFont="1" applyBorder="1" applyAlignment="1" applyProtection="1">
      <alignment horizontal="center"/>
      <protection hidden="1"/>
    </xf>
    <xf numFmtId="2" fontId="5" fillId="0" borderId="5" xfId="2" applyNumberFormat="1" applyFont="1" applyBorder="1" applyAlignment="1" applyProtection="1">
      <alignment horizontal="center"/>
      <protection hidden="1"/>
    </xf>
    <xf numFmtId="2" fontId="5" fillId="0" borderId="6" xfId="2" applyNumberFormat="1" applyFont="1" applyBorder="1" applyAlignment="1" applyProtection="1">
      <alignment horizontal="center"/>
      <protection hidden="1"/>
    </xf>
    <xf numFmtId="2" fontId="5" fillId="0" borderId="11" xfId="2" applyNumberFormat="1" applyFont="1" applyBorder="1" applyAlignment="1" applyProtection="1">
      <alignment horizontal="center"/>
      <protection hidden="1"/>
    </xf>
    <xf numFmtId="0" fontId="5" fillId="2" borderId="0" xfId="2" applyFont="1" applyFill="1" applyAlignment="1" applyProtection="1">
      <alignment horizontal="center"/>
      <protection hidden="1"/>
    </xf>
    <xf numFmtId="0" fontId="4" fillId="2" borderId="0" xfId="2" applyFont="1" applyFill="1" applyAlignment="1" applyProtection="1">
      <alignment horizontal="center"/>
      <protection hidden="1"/>
    </xf>
    <xf numFmtId="165" fontId="4" fillId="2" borderId="0" xfId="2" applyNumberFormat="1" applyFont="1" applyFill="1" applyAlignment="1" applyProtection="1">
      <alignment horizontal="center"/>
      <protection hidden="1"/>
    </xf>
    <xf numFmtId="2" fontId="5" fillId="3" borderId="5" xfId="0" applyNumberFormat="1" applyFont="1" applyFill="1" applyBorder="1" applyAlignment="1" applyProtection="1">
      <alignment horizontal="center"/>
      <protection hidden="1"/>
    </xf>
    <xf numFmtId="2" fontId="5" fillId="3" borderId="0" xfId="0" applyNumberFormat="1" applyFont="1" applyFill="1" applyAlignment="1" applyProtection="1">
      <alignment horizontal="center"/>
      <protection hidden="1"/>
    </xf>
    <xf numFmtId="2" fontId="4" fillId="2" borderId="0" xfId="2" applyNumberFormat="1" applyFont="1" applyFill="1" applyAlignment="1" applyProtection="1">
      <alignment horizontal="center"/>
      <protection hidden="1"/>
    </xf>
    <xf numFmtId="0" fontId="5" fillId="3" borderId="11" xfId="2" applyFont="1" applyFill="1" applyBorder="1" applyAlignment="1" applyProtection="1">
      <alignment horizontal="center"/>
      <protection hidden="1"/>
    </xf>
    <xf numFmtId="0" fontId="5" fillId="3" borderId="2" xfId="0" applyFont="1" applyFill="1" applyBorder="1" applyAlignment="1" applyProtection="1">
      <alignment horizontal="center"/>
      <protection hidden="1"/>
    </xf>
    <xf numFmtId="2" fontId="5" fillId="3" borderId="4" xfId="0" applyNumberFormat="1" applyFont="1" applyFill="1" applyBorder="1" applyAlignment="1" applyProtection="1">
      <alignment horizontal="center"/>
      <protection hidden="1"/>
    </xf>
    <xf numFmtId="2" fontId="5" fillId="2" borderId="0" xfId="5" applyNumberFormat="1" applyFont="1" applyFill="1" applyBorder="1" applyAlignment="1" applyProtection="1">
      <alignment horizontal="center"/>
      <protection hidden="1"/>
    </xf>
    <xf numFmtId="0" fontId="5" fillId="0" borderId="12" xfId="2" applyFont="1" applyBorder="1" applyAlignment="1" applyProtection="1">
      <alignment horizontal="center"/>
      <protection hidden="1"/>
    </xf>
    <xf numFmtId="0" fontId="5" fillId="0" borderId="13" xfId="2" applyFont="1" applyBorder="1" applyAlignment="1" applyProtection="1">
      <alignment horizontal="center"/>
      <protection hidden="1"/>
    </xf>
    <xf numFmtId="0" fontId="3" fillId="0" borderId="14" xfId="2" applyFont="1" applyBorder="1" applyAlignment="1" applyProtection="1">
      <alignment horizontal="center"/>
      <protection hidden="1"/>
    </xf>
    <xf numFmtId="0" fontId="5" fillId="3" borderId="1" xfId="2" applyFont="1" applyFill="1" applyBorder="1" applyProtection="1">
      <protection hidden="1"/>
    </xf>
    <xf numFmtId="0" fontId="4" fillId="0" borderId="2" xfId="2" applyFont="1" applyBorder="1" applyProtection="1">
      <protection hidden="1"/>
    </xf>
    <xf numFmtId="0" fontId="5" fillId="0" borderId="15" xfId="2" applyFont="1" applyBorder="1" applyAlignment="1" applyProtection="1">
      <alignment horizontal="center"/>
      <protection hidden="1"/>
    </xf>
    <xf numFmtId="0" fontId="5" fillId="2" borderId="0" xfId="5" applyFont="1" applyFill="1" applyAlignment="1" applyProtection="1">
      <alignment horizontal="center"/>
      <protection hidden="1"/>
    </xf>
    <xf numFmtId="1" fontId="4" fillId="2" borderId="0" xfId="2" applyNumberFormat="1" applyFont="1" applyFill="1" applyAlignment="1" applyProtection="1">
      <alignment horizontal="center"/>
      <protection hidden="1"/>
    </xf>
    <xf numFmtId="2" fontId="5" fillId="2" borderId="0" xfId="5" applyNumberFormat="1" applyFont="1" applyFill="1" applyBorder="1" applyProtection="1">
      <protection hidden="1"/>
    </xf>
    <xf numFmtId="0" fontId="5" fillId="3" borderId="0" xfId="2" applyFont="1" applyFill="1" applyBorder="1" applyAlignment="1" applyProtection="1">
      <alignment horizontal="center"/>
      <protection hidden="1"/>
    </xf>
    <xf numFmtId="0" fontId="5" fillId="0" borderId="0" xfId="2" applyFont="1" applyBorder="1" applyAlignment="1" applyProtection="1">
      <alignment horizontal="center"/>
      <protection hidden="1"/>
    </xf>
    <xf numFmtId="0" fontId="15" fillId="2" borderId="0" xfId="2" applyFont="1" applyFill="1" applyProtection="1">
      <protection hidden="1"/>
    </xf>
    <xf numFmtId="0" fontId="4" fillId="2" borderId="0" xfId="2" applyFont="1" applyFill="1" applyAlignment="1" applyProtection="1">
      <alignment vertical="center"/>
      <protection hidden="1"/>
    </xf>
    <xf numFmtId="0" fontId="4" fillId="2" borderId="0" xfId="2" applyFont="1" applyFill="1" applyAlignment="1" applyProtection="1">
      <alignment horizontal="center" vertical="center"/>
      <protection hidden="1"/>
    </xf>
    <xf numFmtId="0" fontId="5" fillId="3" borderId="0" xfId="2" applyFont="1" applyFill="1" applyAlignment="1" applyProtection="1">
      <alignment vertical="center"/>
      <protection hidden="1"/>
    </xf>
    <xf numFmtId="0" fontId="30" fillId="3" borderId="0" xfId="0" applyFont="1" applyFill="1" applyAlignment="1" applyProtection="1">
      <alignment vertical="center"/>
      <protection hidden="1"/>
    </xf>
    <xf numFmtId="0" fontId="5" fillId="0" borderId="0" xfId="2" applyFont="1" applyAlignment="1" applyProtection="1">
      <alignment vertical="center"/>
      <protection hidden="1"/>
    </xf>
    <xf numFmtId="0" fontId="5" fillId="0" borderId="0" xfId="2" applyFont="1" applyAlignment="1" applyProtection="1">
      <alignment horizontal="center" vertical="center"/>
      <protection hidden="1"/>
    </xf>
    <xf numFmtId="0" fontId="4" fillId="0" borderId="0" xfId="2" applyFont="1" applyAlignment="1" applyProtection="1">
      <alignment vertical="center"/>
      <protection hidden="1"/>
    </xf>
    <xf numFmtId="0" fontId="13" fillId="2" borderId="0" xfId="2" applyFont="1" applyFill="1" applyAlignment="1" applyProtection="1">
      <alignment vertical="center"/>
      <protection hidden="1"/>
    </xf>
    <xf numFmtId="0" fontId="5" fillId="2" borderId="0" xfId="2" applyFont="1" applyFill="1" applyAlignment="1" applyProtection="1">
      <alignment vertical="center"/>
      <protection hidden="1"/>
    </xf>
    <xf numFmtId="2" fontId="7" fillId="2" borderId="0" xfId="2" applyNumberFormat="1" applyFont="1" applyFill="1" applyAlignment="1" applyProtection="1">
      <alignment horizontal="center" vertical="center"/>
      <protection hidden="1"/>
    </xf>
    <xf numFmtId="0" fontId="30" fillId="3" borderId="7" xfId="0" applyFont="1" applyFill="1" applyBorder="1" applyAlignment="1" applyProtection="1">
      <alignment horizontal="center"/>
      <protection hidden="1"/>
    </xf>
    <xf numFmtId="0" fontId="30" fillId="3" borderId="8" xfId="0" applyFont="1" applyFill="1" applyBorder="1" applyAlignment="1" applyProtection="1">
      <alignment horizontal="center"/>
      <protection hidden="1"/>
    </xf>
    <xf numFmtId="0" fontId="30" fillId="3" borderId="9" xfId="0" applyFont="1" applyFill="1" applyBorder="1" applyAlignment="1" applyProtection="1">
      <alignment horizontal="center"/>
      <protection hidden="1"/>
    </xf>
    <xf numFmtId="0" fontId="30" fillId="3" borderId="0" xfId="0" applyFont="1" applyFill="1" applyProtection="1">
      <protection hidden="1"/>
    </xf>
    <xf numFmtId="0" fontId="5" fillId="0" borderId="0" xfId="2" applyFont="1" applyBorder="1" applyProtection="1">
      <protection hidden="1"/>
    </xf>
    <xf numFmtId="0" fontId="30" fillId="3" borderId="11" xfId="0" applyFont="1" applyFill="1" applyBorder="1" applyAlignment="1" applyProtection="1">
      <alignment horizontal="center"/>
      <protection hidden="1"/>
    </xf>
    <xf numFmtId="0" fontId="30" fillId="3" borderId="0" xfId="0" applyFont="1" applyFill="1" applyAlignment="1" applyProtection="1">
      <alignment horizontal="center"/>
      <protection hidden="1"/>
    </xf>
    <xf numFmtId="165" fontId="30" fillId="3" borderId="5" xfId="0" applyNumberFormat="1" applyFont="1" applyFill="1" applyBorder="1" applyAlignment="1" applyProtection="1">
      <alignment horizontal="center"/>
      <protection hidden="1"/>
    </xf>
    <xf numFmtId="0" fontId="30" fillId="2" borderId="0" xfId="0" applyFont="1" applyFill="1" applyProtection="1">
      <protection hidden="1"/>
    </xf>
    <xf numFmtId="0" fontId="38" fillId="2" borderId="0" xfId="0" applyFont="1" applyFill="1" applyProtection="1">
      <protection hidden="1"/>
    </xf>
    <xf numFmtId="0" fontId="30" fillId="3" borderId="1" xfId="0" applyFont="1" applyFill="1" applyBorder="1" applyAlignment="1" applyProtection="1">
      <alignment horizontal="center"/>
      <protection hidden="1"/>
    </xf>
    <xf numFmtId="0" fontId="30" fillId="3" borderId="2" xfId="0" applyFont="1" applyFill="1" applyBorder="1" applyAlignment="1" applyProtection="1">
      <alignment horizontal="center"/>
      <protection hidden="1"/>
    </xf>
    <xf numFmtId="165" fontId="30" fillId="3" borderId="4" xfId="0" applyNumberFormat="1" applyFont="1" applyFill="1" applyBorder="1" applyAlignment="1" applyProtection="1">
      <alignment horizontal="center"/>
      <protection hidden="1"/>
    </xf>
    <xf numFmtId="165" fontId="30" fillId="3" borderId="0" xfId="0" applyNumberFormat="1" applyFont="1" applyFill="1" applyAlignment="1" applyProtection="1">
      <alignment horizontal="center"/>
      <protection hidden="1"/>
    </xf>
    <xf numFmtId="0" fontId="3" fillId="2" borderId="0" xfId="0" applyFont="1" applyFill="1" applyProtection="1">
      <protection hidden="1"/>
    </xf>
    <xf numFmtId="0" fontId="30" fillId="3" borderId="14" xfId="0" applyFont="1" applyFill="1" applyBorder="1" applyProtection="1">
      <protection hidden="1"/>
    </xf>
    <xf numFmtId="0" fontId="38" fillId="2" borderId="0" xfId="0" applyFont="1" applyFill="1" applyAlignment="1" applyProtection="1">
      <alignment horizontal="center"/>
      <protection hidden="1"/>
    </xf>
    <xf numFmtId="2" fontId="7" fillId="2" borderId="0" xfId="2" applyNumberFormat="1" applyFont="1" applyFill="1" applyAlignment="1" applyProtection="1">
      <alignment horizontal="center"/>
      <protection hidden="1"/>
    </xf>
    <xf numFmtId="0" fontId="30" fillId="3" borderId="5" xfId="0" applyFont="1" applyFill="1" applyBorder="1" applyAlignment="1" applyProtection="1">
      <alignment horizontal="center"/>
      <protection hidden="1"/>
    </xf>
    <xf numFmtId="0" fontId="30" fillId="3" borderId="4" xfId="0" applyFont="1" applyFill="1" applyBorder="1" applyAlignment="1" applyProtection="1">
      <alignment horizontal="center"/>
      <protection hidden="1"/>
    </xf>
    <xf numFmtId="0" fontId="30" fillId="3" borderId="3" xfId="0" applyFont="1" applyFill="1" applyBorder="1" applyAlignment="1" applyProtection="1">
      <alignment horizontal="center"/>
      <protection hidden="1"/>
    </xf>
    <xf numFmtId="0" fontId="31" fillId="2" borderId="0" xfId="0" applyFont="1" applyFill="1" applyAlignment="1" applyProtection="1">
      <alignment horizontal="left"/>
      <protection hidden="1"/>
    </xf>
    <xf numFmtId="0" fontId="39" fillId="2" borderId="0" xfId="0" applyFont="1" applyFill="1" applyAlignment="1" applyProtection="1">
      <alignment horizontal="center"/>
      <protection hidden="1"/>
    </xf>
    <xf numFmtId="0" fontId="32" fillId="2" borderId="0" xfId="0" applyFont="1" applyFill="1" applyAlignment="1" applyProtection="1">
      <alignment horizontal="left"/>
      <protection hidden="1"/>
    </xf>
    <xf numFmtId="0" fontId="10" fillId="2" borderId="0" xfId="2" applyFont="1" applyFill="1" applyAlignment="1" applyProtection="1">
      <alignment horizontal="center"/>
      <protection hidden="1"/>
    </xf>
    <xf numFmtId="2" fontId="30" fillId="3" borderId="0" xfId="0" applyNumberFormat="1" applyFont="1" applyFill="1" applyAlignment="1" applyProtection="1">
      <alignment horizontal="center"/>
      <protection hidden="1"/>
    </xf>
    <xf numFmtId="2" fontId="30" fillId="3" borderId="5" xfId="0" applyNumberFormat="1" applyFont="1" applyFill="1" applyBorder="1" applyAlignment="1" applyProtection="1">
      <alignment horizontal="center"/>
      <protection hidden="1"/>
    </xf>
    <xf numFmtId="0" fontId="30" fillId="4" borderId="0" xfId="0" applyFont="1" applyFill="1" applyProtection="1">
      <protection hidden="1"/>
    </xf>
    <xf numFmtId="0" fontId="5" fillId="2" borderId="0" xfId="2" applyFont="1" applyFill="1" applyAlignment="1" applyProtection="1">
      <alignment horizontal="left"/>
      <protection hidden="1"/>
    </xf>
    <xf numFmtId="2" fontId="30" fillId="3" borderId="2" xfId="0" applyNumberFormat="1" applyFont="1" applyFill="1" applyBorder="1" applyAlignment="1" applyProtection="1">
      <alignment horizontal="center"/>
      <protection hidden="1"/>
    </xf>
    <xf numFmtId="2" fontId="30" fillId="3" borderId="4" xfId="0" applyNumberFormat="1" applyFont="1" applyFill="1" applyBorder="1" applyAlignment="1" applyProtection="1">
      <alignment horizontal="center"/>
      <protection hidden="1"/>
    </xf>
    <xf numFmtId="164" fontId="30" fillId="2" borderId="0" xfId="0" applyNumberFormat="1" applyFont="1" applyFill="1" applyProtection="1">
      <protection hidden="1"/>
    </xf>
    <xf numFmtId="0" fontId="5" fillId="3" borderId="15" xfId="2" applyFont="1" applyFill="1" applyBorder="1" applyProtection="1">
      <protection hidden="1"/>
    </xf>
    <xf numFmtId="2" fontId="4" fillId="2" borderId="0" xfId="5" applyNumberFormat="1" applyFont="1" applyFill="1" applyAlignment="1" applyProtection="1">
      <alignment horizontal="center"/>
      <protection hidden="1"/>
    </xf>
    <xf numFmtId="2" fontId="5" fillId="2" borderId="0" xfId="2" applyNumberFormat="1" applyFont="1" applyFill="1" applyProtection="1">
      <protection hidden="1"/>
    </xf>
    <xf numFmtId="0" fontId="30" fillId="2" borderId="0" xfId="0" applyFont="1" applyFill="1" applyAlignment="1" applyProtection="1">
      <alignment horizontal="center"/>
      <protection hidden="1"/>
    </xf>
    <xf numFmtId="2" fontId="38" fillId="2" borderId="0" xfId="0" applyNumberFormat="1" applyFont="1" applyFill="1" applyAlignment="1" applyProtection="1">
      <alignment horizontal="center"/>
      <protection hidden="1"/>
    </xf>
    <xf numFmtId="2" fontId="0" fillId="2" borderId="0" xfId="0" applyNumberFormat="1" applyFill="1" applyAlignment="1" applyProtection="1">
      <alignment horizontal="center"/>
      <protection hidden="1"/>
    </xf>
    <xf numFmtId="2" fontId="4" fillId="2" borderId="0" xfId="2" applyNumberFormat="1" applyFont="1" applyFill="1" applyProtection="1">
      <protection hidden="1"/>
    </xf>
    <xf numFmtId="0" fontId="25" fillId="2" borderId="0" xfId="2" applyFont="1" applyFill="1" applyProtection="1">
      <protection hidden="1"/>
    </xf>
    <xf numFmtId="0" fontId="4" fillId="2" borderId="7" xfId="2" applyFont="1" applyFill="1" applyBorder="1" applyProtection="1">
      <protection hidden="1"/>
    </xf>
    <xf numFmtId="0" fontId="13" fillId="2" borderId="8" xfId="2" applyFont="1" applyFill="1" applyBorder="1" applyAlignment="1" applyProtection="1">
      <alignment horizontal="center" wrapText="1"/>
      <protection hidden="1"/>
    </xf>
    <xf numFmtId="0" fontId="13" fillId="2" borderId="9" xfId="2" applyFont="1" applyFill="1" applyBorder="1" applyAlignment="1" applyProtection="1">
      <alignment horizontal="center" wrapText="1"/>
      <protection hidden="1"/>
    </xf>
    <xf numFmtId="0" fontId="13" fillId="2" borderId="9" xfId="2" applyFont="1" applyFill="1" applyBorder="1" applyAlignment="1" applyProtection="1">
      <alignment horizontal="center"/>
      <protection hidden="1"/>
    </xf>
    <xf numFmtId="0" fontId="4" fillId="2" borderId="1" xfId="2" applyFont="1" applyFill="1" applyBorder="1" applyProtection="1">
      <protection hidden="1"/>
    </xf>
    <xf numFmtId="0" fontId="3" fillId="2" borderId="2" xfId="2" applyFont="1" applyFill="1" applyBorder="1" applyAlignment="1" applyProtection="1">
      <alignment horizontal="center"/>
      <protection hidden="1"/>
    </xf>
    <xf numFmtId="0" fontId="3" fillId="2" borderId="4" xfId="2" applyFont="1" applyFill="1" applyBorder="1" applyAlignment="1" applyProtection="1">
      <alignment horizontal="center"/>
      <protection hidden="1"/>
    </xf>
    <xf numFmtId="0" fontId="4" fillId="2" borderId="11" xfId="2" applyFont="1" applyFill="1" applyBorder="1" applyProtection="1">
      <protection hidden="1"/>
    </xf>
    <xf numFmtId="0" fontId="5" fillId="2" borderId="0" xfId="2" applyFont="1" applyFill="1" applyBorder="1" applyAlignment="1" applyProtection="1">
      <alignment horizontal="center"/>
      <protection hidden="1"/>
    </xf>
    <xf numFmtId="0" fontId="4" fillId="2" borderId="0" xfId="2" applyFont="1" applyFill="1" applyAlignment="1" applyProtection="1">
      <alignment horizontal="right"/>
      <protection hidden="1"/>
    </xf>
    <xf numFmtId="0" fontId="8" fillId="2" borderId="0" xfId="2" applyFont="1" applyFill="1" applyProtection="1">
      <protection hidden="1"/>
    </xf>
    <xf numFmtId="2" fontId="4" fillId="2" borderId="0" xfId="5" applyNumberFormat="1" applyFont="1" applyFill="1" applyBorder="1" applyAlignment="1" applyProtection="1">
      <alignment horizontal="right"/>
      <protection hidden="1"/>
    </xf>
    <xf numFmtId="2" fontId="4" fillId="2" borderId="0" xfId="5" applyNumberFormat="1" applyFont="1" applyFill="1" applyAlignment="1" applyProtection="1">
      <alignment horizontal="right"/>
      <protection hidden="1"/>
    </xf>
    <xf numFmtId="0" fontId="5" fillId="3" borderId="0" xfId="5" applyFont="1" applyFill="1" applyAlignment="1" applyProtection="1">
      <alignment horizontal="center"/>
      <protection hidden="1"/>
    </xf>
    <xf numFmtId="0" fontId="4" fillId="2" borderId="2" xfId="2" applyFont="1" applyFill="1" applyBorder="1" applyProtection="1">
      <protection hidden="1"/>
    </xf>
    <xf numFmtId="0" fontId="4" fillId="2" borderId="0" xfId="5" applyFont="1" applyFill="1" applyProtection="1">
      <protection hidden="1"/>
    </xf>
    <xf numFmtId="0" fontId="3" fillId="2" borderId="9" xfId="5" applyFont="1" applyFill="1" applyBorder="1" applyAlignment="1" applyProtection="1">
      <alignment horizontal="center" vertical="center" wrapText="1"/>
      <protection hidden="1"/>
    </xf>
    <xf numFmtId="0" fontId="3" fillId="5" borderId="9" xfId="0" applyFont="1" applyFill="1" applyBorder="1" applyAlignment="1" applyProtection="1">
      <alignment horizontal="center"/>
      <protection hidden="1"/>
    </xf>
    <xf numFmtId="0" fontId="3" fillId="2" borderId="16" xfId="5" applyFont="1" applyFill="1" applyBorder="1" applyAlignment="1" applyProtection="1">
      <alignment horizontal="center" vertical="center"/>
      <protection hidden="1"/>
    </xf>
    <xf numFmtId="0" fontId="3" fillId="2" borderId="5" xfId="5" applyFont="1" applyFill="1" applyBorder="1" applyAlignment="1" applyProtection="1">
      <alignment horizontal="center" vertical="center"/>
      <protection hidden="1"/>
    </xf>
    <xf numFmtId="0" fontId="3" fillId="2" borderId="17" xfId="5" applyFont="1" applyFill="1" applyBorder="1" applyAlignment="1" applyProtection="1">
      <alignment horizontal="center" vertical="center"/>
      <protection hidden="1"/>
    </xf>
    <xf numFmtId="0" fontId="3" fillId="3" borderId="11" xfId="0" applyFont="1" applyFill="1" applyBorder="1" applyAlignment="1" applyProtection="1">
      <alignment horizontal="center"/>
      <protection hidden="1"/>
    </xf>
    <xf numFmtId="0" fontId="3" fillId="3" borderId="0" xfId="0" applyFont="1" applyFill="1" applyAlignment="1" applyProtection="1">
      <alignment horizontal="center"/>
      <protection hidden="1"/>
    </xf>
    <xf numFmtId="0" fontId="3" fillId="5" borderId="5" xfId="0" applyFont="1" applyFill="1" applyBorder="1" applyAlignment="1" applyProtection="1">
      <alignment horizontal="center"/>
      <protection hidden="1"/>
    </xf>
    <xf numFmtId="0" fontId="3" fillId="2" borderId="18" xfId="5" applyFont="1" applyFill="1" applyBorder="1" applyAlignment="1" applyProtection="1">
      <alignment horizontal="center" vertical="center"/>
      <protection hidden="1"/>
    </xf>
    <xf numFmtId="0" fontId="3" fillId="2" borderId="19" xfId="5" applyFont="1" applyFill="1" applyBorder="1" applyAlignment="1" applyProtection="1">
      <alignment horizontal="center" vertical="center"/>
      <protection hidden="1"/>
    </xf>
    <xf numFmtId="0" fontId="3" fillId="2" borderId="20" xfId="5" applyFont="1" applyFill="1" applyBorder="1" applyAlignment="1" applyProtection="1">
      <alignment horizontal="centerContinuous" vertical="center" wrapText="1"/>
      <protection hidden="1"/>
    </xf>
    <xf numFmtId="0" fontId="5" fillId="2" borderId="5" xfId="0" applyFont="1" applyFill="1" applyBorder="1" applyAlignment="1" applyProtection="1">
      <alignment horizontal="center"/>
      <protection hidden="1"/>
    </xf>
    <xf numFmtId="0" fontId="15" fillId="2" borderId="0" xfId="5" applyFont="1" applyFill="1" applyProtection="1">
      <protection hidden="1"/>
    </xf>
    <xf numFmtId="0" fontId="5" fillId="3" borderId="1" xfId="0" applyFont="1" applyFill="1" applyBorder="1" applyAlignment="1" applyProtection="1">
      <alignment horizontal="center"/>
      <protection hidden="1"/>
    </xf>
    <xf numFmtId="0" fontId="5" fillId="2" borderId="4" xfId="0" applyFont="1" applyFill="1" applyBorder="1" applyAlignment="1" applyProtection="1">
      <alignment horizontal="center"/>
      <protection hidden="1"/>
    </xf>
    <xf numFmtId="0" fontId="5" fillId="2" borderId="15" xfId="2" applyFont="1" applyFill="1" applyBorder="1" applyAlignment="1" applyProtection="1">
      <alignment horizontal="center"/>
      <protection hidden="1"/>
    </xf>
    <xf numFmtId="0" fontId="5" fillId="2" borderId="14" xfId="2" applyFont="1" applyFill="1" applyBorder="1" applyAlignment="1" applyProtection="1">
      <alignment horizontal="center"/>
      <protection hidden="1"/>
    </xf>
    <xf numFmtId="0" fontId="5" fillId="2" borderId="13" xfId="2" applyFont="1" applyFill="1" applyBorder="1" applyAlignment="1" applyProtection="1">
      <alignment horizontal="center"/>
      <protection hidden="1"/>
    </xf>
    <xf numFmtId="0" fontId="5" fillId="3" borderId="21" xfId="2" applyFont="1" applyFill="1" applyBorder="1" applyAlignment="1" applyProtection="1">
      <alignment horizontal="center"/>
      <protection hidden="1"/>
    </xf>
    <xf numFmtId="0" fontId="5" fillId="3" borderId="0" xfId="2" applyFont="1" applyFill="1" applyBorder="1" applyProtection="1">
      <protection hidden="1"/>
    </xf>
    <xf numFmtId="4" fontId="4" fillId="2" borderId="0" xfId="5" quotePrefix="1" applyNumberFormat="1" applyFont="1" applyFill="1" applyAlignment="1" applyProtection="1">
      <alignment horizontal="center"/>
      <protection hidden="1"/>
    </xf>
    <xf numFmtId="2" fontId="5" fillId="3" borderId="0" xfId="2" applyNumberFormat="1" applyFont="1" applyFill="1" applyProtection="1">
      <protection hidden="1"/>
    </xf>
    <xf numFmtId="0" fontId="33" fillId="3" borderId="0" xfId="0" applyFont="1" applyFill="1" applyAlignment="1" applyProtection="1">
      <alignment horizontal="center"/>
      <protection hidden="1"/>
    </xf>
    <xf numFmtId="0" fontId="33" fillId="5" borderId="0" xfId="0" applyFont="1" applyFill="1" applyAlignment="1" applyProtection="1">
      <alignment horizontal="center"/>
      <protection hidden="1"/>
    </xf>
    <xf numFmtId="168" fontId="4" fillId="2" borderId="0" xfId="5" quotePrefix="1" applyNumberFormat="1" applyFont="1" applyFill="1" applyAlignment="1" applyProtection="1">
      <alignment horizontal="center"/>
      <protection hidden="1"/>
    </xf>
    <xf numFmtId="2" fontId="30" fillId="2" borderId="0" xfId="0" applyNumberFormat="1" applyFont="1" applyFill="1" applyAlignment="1" applyProtection="1">
      <alignment horizontal="center"/>
      <protection hidden="1"/>
    </xf>
    <xf numFmtId="165" fontId="30" fillId="2" borderId="0" xfId="0" applyNumberFormat="1" applyFont="1" applyFill="1" applyAlignment="1" applyProtection="1">
      <alignment horizontal="center"/>
      <protection hidden="1"/>
    </xf>
    <xf numFmtId="2" fontId="34" fillId="3" borderId="0" xfId="2" applyNumberFormat="1" applyFont="1" applyFill="1" applyProtection="1">
      <protection hidden="1"/>
    </xf>
    <xf numFmtId="0" fontId="20" fillId="2" borderId="0" xfId="2" applyFont="1" applyFill="1" applyAlignment="1" applyProtection="1">
      <alignment horizontal="left"/>
      <protection hidden="1"/>
    </xf>
    <xf numFmtId="4" fontId="7" fillId="2" borderId="0" xfId="5" applyNumberFormat="1" applyFont="1" applyFill="1" applyAlignment="1" applyProtection="1">
      <alignment horizontal="center"/>
      <protection hidden="1"/>
    </xf>
    <xf numFmtId="0" fontId="28" fillId="2" borderId="0" xfId="0" applyFont="1" applyFill="1" applyProtection="1">
      <protection hidden="1"/>
    </xf>
    <xf numFmtId="168" fontId="4" fillId="2" borderId="0" xfId="5" applyNumberFormat="1" applyFont="1" applyFill="1" applyAlignment="1" applyProtection="1">
      <alignment horizontal="right"/>
      <protection hidden="1"/>
    </xf>
    <xf numFmtId="0" fontId="0" fillId="0" borderId="0" xfId="0" applyProtection="1">
      <protection hidden="1"/>
    </xf>
    <xf numFmtId="4" fontId="4" fillId="2" borderId="0" xfId="5" applyNumberFormat="1" applyFont="1" applyFill="1" applyAlignment="1" applyProtection="1">
      <alignment horizontal="center"/>
      <protection hidden="1"/>
    </xf>
    <xf numFmtId="168" fontId="4" fillId="2" borderId="0" xfId="5" applyNumberFormat="1" applyFont="1" applyFill="1" applyAlignment="1" applyProtection="1">
      <alignment horizontal="center"/>
      <protection hidden="1"/>
    </xf>
    <xf numFmtId="0" fontId="5" fillId="2" borderId="0" xfId="2" applyFont="1" applyFill="1" applyAlignment="1" applyProtection="1">
      <alignment horizontal="right"/>
      <protection hidden="1"/>
    </xf>
    <xf numFmtId="4" fontId="4" fillId="2" borderId="0" xfId="5" applyNumberFormat="1" applyFont="1" applyFill="1" applyAlignment="1" applyProtection="1">
      <alignment horizontal="right"/>
      <protection hidden="1"/>
    </xf>
    <xf numFmtId="0" fontId="20" fillId="2" borderId="0" xfId="2" applyFont="1" applyFill="1" applyProtection="1">
      <protection hidden="1"/>
    </xf>
    <xf numFmtId="166" fontId="4" fillId="2" borderId="0" xfId="5" applyNumberFormat="1" applyFont="1" applyFill="1" applyAlignment="1" applyProtection="1">
      <alignment horizontal="center"/>
      <protection hidden="1"/>
    </xf>
    <xf numFmtId="1" fontId="4" fillId="2" borderId="0" xfId="5" applyNumberFormat="1" applyFont="1" applyFill="1" applyAlignment="1" applyProtection="1">
      <alignment horizontal="center"/>
      <protection hidden="1"/>
    </xf>
    <xf numFmtId="3" fontId="4" fillId="2" borderId="0" xfId="5" quotePrefix="1" applyNumberFormat="1" applyFont="1" applyFill="1" applyAlignment="1" applyProtection="1">
      <alignment horizontal="center"/>
      <protection hidden="1"/>
    </xf>
    <xf numFmtId="0" fontId="3" fillId="5" borderId="8" xfId="0" applyFont="1" applyFill="1" applyBorder="1" applyAlignment="1" applyProtection="1">
      <alignment horizontal="center"/>
      <protection hidden="1"/>
    </xf>
    <xf numFmtId="0" fontId="3" fillId="5" borderId="0" xfId="0" applyFont="1" applyFill="1" applyAlignment="1" applyProtection="1">
      <alignment horizontal="center"/>
      <protection hidden="1"/>
    </xf>
    <xf numFmtId="0" fontId="5" fillId="0" borderId="6" xfId="2" applyFont="1" applyBorder="1" applyProtection="1">
      <protection hidden="1"/>
    </xf>
    <xf numFmtId="4" fontId="4" fillId="2" borderId="0" xfId="2" applyNumberFormat="1" applyFont="1" applyFill="1" applyAlignment="1" applyProtection="1">
      <alignment horizontal="center"/>
      <protection hidden="1"/>
    </xf>
    <xf numFmtId="12" fontId="5" fillId="3" borderId="11" xfId="0" applyNumberFormat="1" applyFont="1" applyFill="1" applyBorder="1" applyAlignment="1" applyProtection="1">
      <alignment horizontal="center"/>
      <protection hidden="1"/>
    </xf>
    <xf numFmtId="164" fontId="5" fillId="3" borderId="0" xfId="0" applyNumberFormat="1" applyFont="1" applyFill="1" applyAlignment="1" applyProtection="1">
      <alignment horizontal="center"/>
      <protection hidden="1"/>
    </xf>
    <xf numFmtId="164" fontId="5" fillId="2" borderId="0" xfId="0" applyNumberFormat="1" applyFont="1" applyFill="1" applyAlignment="1" applyProtection="1">
      <alignment horizontal="center"/>
      <protection hidden="1"/>
    </xf>
    <xf numFmtId="2" fontId="5" fillId="2" borderId="5" xfId="0" applyNumberFormat="1" applyFont="1" applyFill="1" applyBorder="1" applyAlignment="1" applyProtection="1">
      <alignment horizontal="center"/>
      <protection hidden="1"/>
    </xf>
    <xf numFmtId="0" fontId="37" fillId="2" borderId="0" xfId="0" applyFont="1" applyFill="1" applyAlignment="1" applyProtection="1">
      <alignment horizontal="center"/>
      <protection hidden="1"/>
    </xf>
    <xf numFmtId="3" fontId="4" fillId="2" borderId="0" xfId="2" applyNumberFormat="1" applyFont="1" applyFill="1" applyAlignment="1" applyProtection="1">
      <alignment horizontal="center"/>
      <protection hidden="1"/>
    </xf>
    <xf numFmtId="12" fontId="4" fillId="2" borderId="0" xfId="2" applyNumberFormat="1" applyFont="1" applyFill="1" applyAlignment="1" applyProtection="1">
      <alignment horizontal="center"/>
      <protection hidden="1"/>
    </xf>
    <xf numFmtId="12" fontId="5" fillId="3" borderId="1" xfId="0" applyNumberFormat="1" applyFont="1" applyFill="1" applyBorder="1" applyAlignment="1" applyProtection="1">
      <alignment horizontal="center"/>
      <protection hidden="1"/>
    </xf>
    <xf numFmtId="164" fontId="5" fillId="3" borderId="2" xfId="0" applyNumberFormat="1" applyFont="1" applyFill="1" applyBorder="1" applyAlignment="1" applyProtection="1">
      <alignment horizontal="center"/>
      <protection hidden="1"/>
    </xf>
    <xf numFmtId="164" fontId="5" fillId="2" borderId="2" xfId="0" applyNumberFormat="1" applyFont="1" applyFill="1" applyBorder="1" applyAlignment="1" applyProtection="1">
      <alignment horizontal="center"/>
      <protection hidden="1"/>
    </xf>
    <xf numFmtId="2" fontId="5" fillId="2" borderId="4" xfId="0" applyNumberFormat="1" applyFont="1" applyFill="1" applyBorder="1" applyAlignment="1" applyProtection="1">
      <alignment horizontal="center"/>
      <protection hidden="1"/>
    </xf>
    <xf numFmtId="2" fontId="5" fillId="0" borderId="3" xfId="2" applyNumberFormat="1" applyFont="1" applyBorder="1" applyAlignment="1" applyProtection="1">
      <alignment horizontal="center"/>
      <protection hidden="1"/>
    </xf>
    <xf numFmtId="0" fontId="4" fillId="2" borderId="0" xfId="0" applyFont="1" applyFill="1" applyAlignment="1" applyProtection="1">
      <alignment horizontal="center"/>
      <protection hidden="1"/>
    </xf>
    <xf numFmtId="0" fontId="3" fillId="3" borderId="7" xfId="2" applyFont="1" applyFill="1" applyBorder="1" applyAlignment="1" applyProtection="1">
      <alignment horizontal="center"/>
      <protection hidden="1"/>
    </xf>
    <xf numFmtId="0" fontId="3" fillId="3" borderId="8" xfId="2" applyFont="1" applyFill="1" applyBorder="1" applyAlignment="1" applyProtection="1">
      <alignment horizontal="center"/>
      <protection hidden="1"/>
    </xf>
    <xf numFmtId="0" fontId="3" fillId="0" borderId="8" xfId="2" applyFont="1" applyBorder="1" applyAlignment="1" applyProtection="1">
      <alignment horizontal="center"/>
      <protection hidden="1"/>
    </xf>
    <xf numFmtId="0" fontId="3" fillId="0" borderId="9" xfId="2" applyFont="1" applyBorder="1" applyAlignment="1" applyProtection="1">
      <alignment horizontal="center"/>
      <protection hidden="1"/>
    </xf>
    <xf numFmtId="0" fontId="3" fillId="3" borderId="11" xfId="2" applyFont="1" applyFill="1" applyBorder="1" applyAlignment="1" applyProtection="1">
      <alignment horizontal="center"/>
      <protection hidden="1"/>
    </xf>
    <xf numFmtId="0" fontId="3" fillId="3" borderId="0" xfId="2" applyFont="1" applyFill="1" applyBorder="1" applyAlignment="1" applyProtection="1">
      <alignment horizontal="center"/>
      <protection hidden="1"/>
    </xf>
    <xf numFmtId="0" fontId="3" fillId="3" borderId="5" xfId="2" applyFont="1" applyFill="1" applyBorder="1" applyAlignment="1" applyProtection="1">
      <alignment horizontal="center"/>
      <protection hidden="1"/>
    </xf>
    <xf numFmtId="164" fontId="5" fillId="3" borderId="0" xfId="2" applyNumberFormat="1" applyFont="1" applyFill="1" applyBorder="1" applyAlignment="1" applyProtection="1">
      <alignment horizontal="center"/>
      <protection hidden="1"/>
    </xf>
    <xf numFmtId="164" fontId="5" fillId="0" borderId="0" xfId="2" applyNumberFormat="1" applyFont="1" applyBorder="1" applyAlignment="1" applyProtection="1">
      <alignment horizontal="center"/>
      <protection hidden="1"/>
    </xf>
    <xf numFmtId="164" fontId="5" fillId="0" borderId="5" xfId="2" applyNumberFormat="1" applyFont="1" applyBorder="1" applyAlignment="1" applyProtection="1">
      <alignment horizontal="center"/>
      <protection hidden="1"/>
    </xf>
    <xf numFmtId="164" fontId="5" fillId="3" borderId="2" xfId="2" applyNumberFormat="1" applyFont="1" applyFill="1" applyBorder="1" applyAlignment="1" applyProtection="1">
      <alignment horizontal="center"/>
      <protection hidden="1"/>
    </xf>
    <xf numFmtId="164" fontId="5" fillId="0" borderId="2" xfId="2" applyNumberFormat="1" applyFont="1" applyBorder="1" applyAlignment="1" applyProtection="1">
      <alignment horizontal="center"/>
      <protection hidden="1"/>
    </xf>
    <xf numFmtId="164" fontId="5" fillId="0" borderId="4" xfId="2" applyNumberFormat="1" applyFont="1" applyBorder="1" applyAlignment="1" applyProtection="1">
      <alignment horizontal="center"/>
      <protection hidden="1"/>
    </xf>
    <xf numFmtId="166" fontId="4" fillId="2" borderId="0" xfId="2" applyNumberFormat="1" applyFont="1" applyFill="1" applyAlignment="1" applyProtection="1">
      <alignment horizontal="center"/>
      <protection hidden="1"/>
    </xf>
    <xf numFmtId="0" fontId="3" fillId="3" borderId="5" xfId="0" applyFont="1" applyFill="1" applyBorder="1" applyAlignment="1" applyProtection="1">
      <alignment horizontal="center"/>
      <protection hidden="1"/>
    </xf>
    <xf numFmtId="1" fontId="5" fillId="3" borderId="5" xfId="0" applyNumberFormat="1" applyFont="1" applyFill="1" applyBorder="1" applyAlignment="1" applyProtection="1">
      <alignment horizontal="center"/>
      <protection hidden="1"/>
    </xf>
    <xf numFmtId="1" fontId="5" fillId="3" borderId="4" xfId="0" applyNumberFormat="1" applyFont="1" applyFill="1" applyBorder="1" applyAlignment="1" applyProtection="1">
      <alignment horizontal="center"/>
      <protection hidden="1"/>
    </xf>
    <xf numFmtId="0" fontId="5" fillId="0" borderId="0" xfId="2" applyFont="1" applyAlignment="1" applyProtection="1">
      <alignment horizontal="right"/>
      <protection hidden="1"/>
    </xf>
    <xf numFmtId="166" fontId="5" fillId="0" borderId="0" xfId="2" applyNumberFormat="1" applyFont="1" applyAlignment="1" applyProtection="1">
      <alignment horizontal="center"/>
      <protection hidden="1"/>
    </xf>
    <xf numFmtId="164" fontId="20" fillId="0" borderId="0" xfId="6" applyNumberFormat="1" applyFont="1" applyAlignment="1" applyProtection="1">
      <alignment horizontal="center"/>
      <protection hidden="1"/>
    </xf>
    <xf numFmtId="164" fontId="5" fillId="0" borderId="0" xfId="2" applyNumberFormat="1" applyFont="1" applyAlignment="1" applyProtection="1">
      <alignment horizontal="center"/>
      <protection hidden="1"/>
    </xf>
    <xf numFmtId="164" fontId="20" fillId="0" borderId="0" xfId="2" applyNumberFormat="1" applyFont="1" applyAlignment="1" applyProtection="1">
      <alignment horizontal="center"/>
      <protection hidden="1"/>
    </xf>
    <xf numFmtId="4" fontId="4" fillId="0" borderId="0" xfId="2" applyNumberFormat="1" applyFont="1" applyBorder="1" applyAlignment="1" applyProtection="1">
      <alignment horizontal="center"/>
      <protection hidden="1"/>
    </xf>
    <xf numFmtId="0" fontId="3" fillId="0" borderId="0" xfId="2" applyFont="1" applyBorder="1" applyAlignment="1" applyProtection="1">
      <alignment horizontal="center"/>
      <protection hidden="1"/>
    </xf>
    <xf numFmtId="0" fontId="5" fillId="3" borderId="7" xfId="2" applyFont="1" applyFill="1" applyBorder="1" applyProtection="1">
      <protection hidden="1"/>
    </xf>
    <xf numFmtId="0" fontId="5" fillId="3" borderId="9" xfId="2" applyFont="1" applyFill="1" applyBorder="1" applyProtection="1">
      <protection hidden="1"/>
    </xf>
    <xf numFmtId="0" fontId="5" fillId="3" borderId="11" xfId="2" applyFont="1" applyFill="1" applyBorder="1" applyProtection="1">
      <protection hidden="1"/>
    </xf>
    <xf numFmtId="0" fontId="5" fillId="3" borderId="5" xfId="2" applyFont="1" applyFill="1" applyBorder="1" applyProtection="1">
      <protection hidden="1"/>
    </xf>
    <xf numFmtId="0" fontId="5" fillId="3" borderId="4" xfId="2" applyFont="1" applyFill="1" applyBorder="1" applyProtection="1">
      <protection hidden="1"/>
    </xf>
    <xf numFmtId="0" fontId="34" fillId="0" borderId="0" xfId="2" applyFont="1" applyProtection="1">
      <protection hidden="1"/>
    </xf>
    <xf numFmtId="0" fontId="36" fillId="3" borderId="0" xfId="2" applyFont="1" applyFill="1" applyBorder="1" applyProtection="1">
      <protection hidden="1"/>
    </xf>
    <xf numFmtId="0" fontId="34" fillId="0" borderId="0" xfId="2" applyFont="1" applyAlignment="1" applyProtection="1">
      <alignment horizontal="left"/>
      <protection hidden="1"/>
    </xf>
    <xf numFmtId="0" fontId="35" fillId="3" borderId="0" xfId="2" applyFont="1" applyFill="1" applyBorder="1" applyAlignment="1" applyProtection="1">
      <alignment horizontal="left"/>
      <protection hidden="1"/>
    </xf>
    <xf numFmtId="166" fontId="5" fillId="3" borderId="0" xfId="0" applyNumberFormat="1" applyFont="1" applyFill="1" applyAlignment="1" applyProtection="1">
      <alignment horizontal="center"/>
      <protection hidden="1"/>
    </xf>
    <xf numFmtId="2" fontId="4" fillId="0" borderId="0" xfId="2" applyNumberFormat="1" applyFont="1" applyAlignment="1" applyProtection="1">
      <alignment horizontal="center"/>
      <protection hidden="1"/>
    </xf>
    <xf numFmtId="0" fontId="37" fillId="0" borderId="0" xfId="2" applyFont="1" applyAlignment="1" applyProtection="1">
      <alignment vertical="center"/>
      <protection hidden="1"/>
    </xf>
    <xf numFmtId="166" fontId="5" fillId="3" borderId="0" xfId="2" applyNumberFormat="1" applyFont="1" applyFill="1" applyBorder="1" applyAlignment="1" applyProtection="1">
      <alignment horizontal="center"/>
      <protection hidden="1"/>
    </xf>
    <xf numFmtId="0" fontId="36" fillId="0" borderId="0" xfId="2" applyFont="1" applyBorder="1" applyProtection="1">
      <protection hidden="1"/>
    </xf>
    <xf numFmtId="0" fontId="37" fillId="0" borderId="0" xfId="2" applyFont="1" applyBorder="1" applyProtection="1">
      <protection hidden="1"/>
    </xf>
    <xf numFmtId="0" fontId="40" fillId="0" borderId="0" xfId="2" applyFont="1" applyBorder="1" applyProtection="1">
      <protection hidden="1"/>
    </xf>
    <xf numFmtId="0" fontId="2" fillId="0" borderId="0" xfId="2" applyBorder="1" applyProtection="1">
      <protection hidden="1"/>
    </xf>
    <xf numFmtId="166" fontId="5" fillId="0" borderId="0" xfId="0" applyNumberFormat="1" applyFont="1" applyAlignment="1" applyProtection="1">
      <alignment horizontal="center"/>
      <protection hidden="1"/>
    </xf>
    <xf numFmtId="0" fontId="2" fillId="0" borderId="0" xfId="2" applyProtection="1">
      <protection hidden="1"/>
    </xf>
    <xf numFmtId="0" fontId="0" fillId="2" borderId="0" xfId="0" applyFill="1" applyAlignment="1" applyProtection="1">
      <alignment vertical="center"/>
      <protection hidden="1"/>
    </xf>
    <xf numFmtId="0" fontId="5" fillId="2" borderId="0" xfId="2" applyFont="1" applyFill="1" applyAlignment="1" applyProtection="1">
      <alignment horizontal="center" vertical="center"/>
      <protection hidden="1"/>
    </xf>
    <xf numFmtId="165" fontId="4" fillId="2" borderId="0" xfId="2" applyNumberFormat="1" applyFont="1" applyFill="1" applyBorder="1" applyAlignment="1" applyProtection="1">
      <alignment horizontal="center" vertical="center"/>
      <protection hidden="1"/>
    </xf>
    <xf numFmtId="4" fontId="4" fillId="2" borderId="0" xfId="2" applyNumberFormat="1" applyFont="1" applyFill="1" applyAlignment="1" applyProtection="1">
      <alignment horizontal="center" vertical="center"/>
      <protection hidden="1"/>
    </xf>
    <xf numFmtId="0" fontId="36" fillId="3" borderId="0" xfId="2" applyFont="1" applyFill="1" applyBorder="1" applyAlignment="1" applyProtection="1">
      <alignment vertical="center"/>
      <protection hidden="1"/>
    </xf>
    <xf numFmtId="0" fontId="5" fillId="0" borderId="0" xfId="2" applyFont="1" applyBorder="1" applyAlignment="1" applyProtection="1">
      <alignment vertical="center"/>
      <protection hidden="1"/>
    </xf>
    <xf numFmtId="0" fontId="30" fillId="2" borderId="0" xfId="0" applyFont="1" applyFill="1" applyAlignment="1" applyProtection="1">
      <alignment horizontal="center" vertical="center"/>
      <protection hidden="1"/>
    </xf>
    <xf numFmtId="164" fontId="4" fillId="2" borderId="0" xfId="0" applyNumberFormat="1" applyFont="1" applyFill="1" applyAlignment="1" applyProtection="1">
      <alignment horizontal="center" vertical="center"/>
      <protection hidden="1"/>
    </xf>
    <xf numFmtId="0" fontId="19" fillId="2" borderId="0" xfId="2" quotePrefix="1" applyFont="1" applyFill="1" applyBorder="1" applyAlignment="1" applyProtection="1">
      <alignment horizontal="left"/>
      <protection hidden="1"/>
    </xf>
    <xf numFmtId="0" fontId="5" fillId="3" borderId="0" xfId="2" applyFont="1" applyFill="1" applyBorder="1" applyAlignment="1" applyProtection="1">
      <alignment vertical="center"/>
      <protection hidden="1"/>
    </xf>
    <xf numFmtId="0" fontId="5" fillId="2" borderId="0" xfId="2" applyFont="1" applyFill="1" applyBorder="1" applyAlignment="1" applyProtection="1">
      <alignment vertical="center"/>
      <protection hidden="1"/>
    </xf>
    <xf numFmtId="2" fontId="4" fillId="2" borderId="0" xfId="0" applyNumberFormat="1" applyFont="1" applyFill="1" applyAlignment="1" applyProtection="1">
      <alignment horizontal="center" vertical="center"/>
      <protection hidden="1"/>
    </xf>
    <xf numFmtId="0" fontId="30" fillId="2" borderId="0" xfId="0" applyFont="1" applyFill="1" applyAlignment="1" applyProtection="1">
      <alignment vertical="center"/>
      <protection hidden="1"/>
    </xf>
    <xf numFmtId="0" fontId="10" fillId="2" borderId="0" xfId="0" applyFont="1" applyFill="1" applyAlignment="1" applyProtection="1">
      <alignment horizontal="center" vertical="center"/>
      <protection hidden="1"/>
    </xf>
    <xf numFmtId="165" fontId="4" fillId="2" borderId="0" xfId="0" applyNumberFormat="1" applyFont="1" applyFill="1" applyAlignment="1" applyProtection="1">
      <alignment horizontal="center" vertical="center"/>
      <protection hidden="1"/>
    </xf>
    <xf numFmtId="0" fontId="5" fillId="3" borderId="15" xfId="2" applyFont="1" applyFill="1" applyBorder="1" applyAlignment="1" applyProtection="1">
      <alignment vertical="center"/>
      <protection hidden="1"/>
    </xf>
    <xf numFmtId="1" fontId="5" fillId="3" borderId="13" xfId="2" applyNumberFormat="1" applyFont="1" applyFill="1" applyBorder="1" applyAlignment="1" applyProtection="1">
      <alignment vertical="center"/>
      <protection hidden="1"/>
    </xf>
    <xf numFmtId="2" fontId="11" fillId="2" borderId="0" xfId="2" applyNumberFormat="1" applyFont="1" applyFill="1" applyBorder="1" applyAlignment="1" applyProtection="1">
      <alignment horizontal="center"/>
      <protection hidden="1"/>
    </xf>
    <xf numFmtId="0" fontId="20" fillId="2" borderId="0" xfId="0" applyFont="1" applyFill="1" applyAlignment="1" applyProtection="1">
      <alignment horizontal="left" vertical="center"/>
      <protection hidden="1"/>
    </xf>
    <xf numFmtId="0" fontId="3" fillId="2" borderId="0" xfId="2" applyFont="1" applyFill="1" applyProtection="1">
      <protection hidden="1"/>
    </xf>
    <xf numFmtId="0" fontId="3" fillId="2" borderId="0" xfId="2" applyFont="1" applyFill="1" applyAlignment="1" applyProtection="1">
      <alignment horizontal="right"/>
      <protection hidden="1"/>
    </xf>
    <xf numFmtId="1" fontId="3" fillId="2" borderId="0" xfId="2" applyNumberFormat="1" applyFont="1" applyFill="1" applyAlignment="1" applyProtection="1">
      <alignment horizontal="center"/>
      <protection hidden="1"/>
    </xf>
    <xf numFmtId="12" fontId="3" fillId="2" borderId="0" xfId="2" applyNumberFormat="1" applyFont="1" applyFill="1" applyAlignment="1" applyProtection="1">
      <alignment horizontal="left"/>
      <protection hidden="1"/>
    </xf>
    <xf numFmtId="0" fontId="3" fillId="2" borderId="0" xfId="2" applyFont="1" applyFill="1" applyAlignment="1" applyProtection="1">
      <alignment horizontal="center"/>
      <protection hidden="1"/>
    </xf>
    <xf numFmtId="3" fontId="3" fillId="2" borderId="0" xfId="2" applyNumberFormat="1" applyFont="1" applyFill="1" applyProtection="1">
      <protection hidden="1"/>
    </xf>
    <xf numFmtId="3" fontId="3" fillId="2" borderId="0" xfId="2" applyNumberFormat="1" applyFont="1" applyFill="1" applyAlignment="1" applyProtection="1">
      <alignment horizontal="right"/>
      <protection hidden="1"/>
    </xf>
    <xf numFmtId="0" fontId="4" fillId="0" borderId="0" xfId="4" applyFont="1" applyProtection="1">
      <protection hidden="1"/>
    </xf>
    <xf numFmtId="0" fontId="3" fillId="2" borderId="0" xfId="4" applyFont="1" applyFill="1" applyAlignment="1" applyProtection="1">
      <alignment horizontal="left"/>
      <protection hidden="1"/>
    </xf>
    <xf numFmtId="0" fontId="3" fillId="2" borderId="0" xfId="4" applyFont="1" applyFill="1" applyAlignment="1" applyProtection="1">
      <alignment horizontal="center"/>
      <protection hidden="1"/>
    </xf>
    <xf numFmtId="0" fontId="3" fillId="3" borderId="14" xfId="0" applyFont="1" applyFill="1" applyBorder="1" applyAlignment="1" applyProtection="1">
      <alignment horizontal="center"/>
      <protection hidden="1"/>
    </xf>
    <xf numFmtId="0" fontId="3" fillId="2" borderId="0" xfId="4" applyFont="1" applyFill="1" applyAlignment="1" applyProtection="1">
      <alignment horizontal="right"/>
      <protection hidden="1"/>
    </xf>
    <xf numFmtId="0" fontId="30" fillId="3" borderId="10" xfId="0" applyFont="1" applyFill="1" applyBorder="1" applyAlignment="1" applyProtection="1">
      <alignment horizontal="center"/>
      <protection hidden="1"/>
    </xf>
    <xf numFmtId="2" fontId="30" fillId="3" borderId="6" xfId="0" applyNumberFormat="1" applyFont="1" applyFill="1" applyBorder="1" applyAlignment="1" applyProtection="1">
      <alignment horizontal="center"/>
      <protection hidden="1"/>
    </xf>
    <xf numFmtId="2" fontId="30" fillId="3" borderId="11" xfId="0" applyNumberFormat="1" applyFont="1" applyFill="1" applyBorder="1" applyAlignment="1" applyProtection="1">
      <alignment horizontal="center"/>
      <protection hidden="1"/>
    </xf>
    <xf numFmtId="0" fontId="38" fillId="3" borderId="0" xfId="0" applyFont="1" applyFill="1" applyProtection="1">
      <protection hidden="1"/>
    </xf>
    <xf numFmtId="0" fontId="0" fillId="3" borderId="0" xfId="0" applyFill="1" applyProtection="1">
      <protection hidden="1"/>
    </xf>
    <xf numFmtId="0" fontId="5" fillId="2" borderId="0" xfId="4" applyFont="1" applyFill="1" applyAlignment="1" applyProtection="1">
      <alignment horizontal="center"/>
      <protection hidden="1"/>
    </xf>
    <xf numFmtId="0" fontId="4" fillId="2" borderId="0" xfId="4" applyFont="1" applyFill="1" applyAlignment="1" applyProtection="1">
      <alignment horizontal="center"/>
      <protection hidden="1"/>
    </xf>
    <xf numFmtId="4" fontId="4" fillId="2" borderId="0" xfId="4" applyNumberFormat="1" applyFont="1" applyFill="1" applyAlignment="1" applyProtection="1">
      <alignment horizontal="center"/>
      <protection hidden="1"/>
    </xf>
    <xf numFmtId="0" fontId="5" fillId="2" borderId="0" xfId="4" applyFont="1" applyFill="1" applyAlignment="1" applyProtection="1">
      <alignment horizontal="right"/>
      <protection hidden="1"/>
    </xf>
    <xf numFmtId="0" fontId="5" fillId="2" borderId="0" xfId="3" applyFont="1" applyFill="1" applyAlignment="1" applyProtection="1">
      <alignment horizontal="center"/>
      <protection hidden="1"/>
    </xf>
    <xf numFmtId="0" fontId="4" fillId="2" borderId="0" xfId="3" applyFont="1" applyFill="1" applyAlignment="1" applyProtection="1">
      <alignment horizontal="center"/>
      <protection hidden="1"/>
    </xf>
    <xf numFmtId="0" fontId="5" fillId="0" borderId="0" xfId="4" applyFont="1" applyProtection="1">
      <protection hidden="1"/>
    </xf>
    <xf numFmtId="2" fontId="4" fillId="2" borderId="0" xfId="4" applyNumberFormat="1" applyFont="1" applyFill="1" applyAlignment="1" applyProtection="1">
      <alignment horizontal="center"/>
      <protection hidden="1"/>
    </xf>
    <xf numFmtId="165" fontId="4" fillId="2" borderId="0" xfId="0" applyNumberFormat="1" applyFont="1" applyFill="1" applyAlignment="1" applyProtection="1">
      <alignment horizontal="center"/>
      <protection hidden="1"/>
    </xf>
    <xf numFmtId="0" fontId="10" fillId="2" borderId="0" xfId="4" applyFont="1" applyFill="1" applyAlignment="1" applyProtection="1">
      <alignment horizontal="center"/>
      <protection hidden="1"/>
    </xf>
    <xf numFmtId="2" fontId="30" fillId="3" borderId="3" xfId="0" applyNumberFormat="1" applyFont="1" applyFill="1" applyBorder="1" applyAlignment="1" applyProtection="1">
      <alignment horizontal="center"/>
      <protection hidden="1"/>
    </xf>
    <xf numFmtId="2" fontId="30" fillId="3" borderId="1" xfId="0" applyNumberFormat="1" applyFont="1" applyFill="1" applyBorder="1" applyAlignment="1" applyProtection="1">
      <alignment horizontal="center"/>
      <protection hidden="1"/>
    </xf>
    <xf numFmtId="0" fontId="31" fillId="3" borderId="14" xfId="0" applyFont="1" applyFill="1" applyBorder="1" applyAlignment="1" applyProtection="1">
      <alignment horizontal="center"/>
      <protection hidden="1"/>
    </xf>
    <xf numFmtId="0" fontId="13" fillId="2" borderId="0" xfId="4" applyFont="1" applyFill="1" applyProtection="1">
      <protection hidden="1"/>
    </xf>
    <xf numFmtId="168" fontId="4" fillId="2" borderId="0" xfId="4" applyNumberFormat="1" applyFont="1" applyFill="1" applyAlignment="1" applyProtection="1">
      <alignment horizontal="center"/>
      <protection hidden="1"/>
    </xf>
    <xf numFmtId="168" fontId="4" fillId="2" borderId="0" xfId="4" quotePrefix="1" applyNumberFormat="1" applyFont="1" applyFill="1" applyAlignment="1" applyProtection="1">
      <alignment horizontal="center"/>
      <protection hidden="1"/>
    </xf>
    <xf numFmtId="0" fontId="10" fillId="2" borderId="0" xfId="4" applyFont="1" applyFill="1" applyAlignment="1" applyProtection="1">
      <alignment horizontal="center" vertical="center"/>
      <protection hidden="1"/>
    </xf>
    <xf numFmtId="0" fontId="5" fillId="2" borderId="0" xfId="4" applyFont="1" applyFill="1" applyAlignment="1" applyProtection="1">
      <alignment vertical="center"/>
      <protection hidden="1"/>
    </xf>
    <xf numFmtId="2" fontId="4" fillId="2" borderId="0" xfId="4" applyNumberFormat="1" applyFont="1" applyFill="1" applyAlignment="1" applyProtection="1">
      <alignment horizontal="center" vertical="center"/>
      <protection hidden="1"/>
    </xf>
    <xf numFmtId="0" fontId="20" fillId="2" borderId="0" xfId="4" applyFont="1" applyFill="1" applyAlignment="1" applyProtection="1">
      <alignment vertical="center"/>
      <protection hidden="1"/>
    </xf>
    <xf numFmtId="0" fontId="3" fillId="2" borderId="0" xfId="4" applyFont="1" applyFill="1" applyProtection="1">
      <protection hidden="1"/>
    </xf>
    <xf numFmtId="0" fontId="13" fillId="2" borderId="0" xfId="0" applyFont="1" applyFill="1" applyProtection="1">
      <protection hidden="1"/>
    </xf>
    <xf numFmtId="2" fontId="7" fillId="2" borderId="0" xfId="4" applyNumberFormat="1" applyFont="1" applyFill="1" applyAlignment="1" applyProtection="1">
      <alignment horizontal="center"/>
      <protection hidden="1"/>
    </xf>
    <xf numFmtId="0" fontId="31" fillId="2" borderId="0" xfId="4" applyFont="1" applyFill="1" applyAlignment="1" applyProtection="1">
      <alignment horizontal="left"/>
      <protection hidden="1"/>
    </xf>
    <xf numFmtId="0" fontId="4" fillId="2" borderId="0" xfId="4" applyFont="1" applyFill="1" applyAlignment="1" applyProtection="1">
      <alignment vertical="center"/>
      <protection hidden="1"/>
    </xf>
    <xf numFmtId="2" fontId="30" fillId="3" borderId="6" xfId="0" applyNumberFormat="1" applyFont="1" applyFill="1" applyBorder="1" applyAlignment="1" applyProtection="1">
      <alignment horizontal="center" vertical="center"/>
      <protection hidden="1"/>
    </xf>
    <xf numFmtId="2" fontId="30" fillId="3" borderId="0" xfId="0" applyNumberFormat="1" applyFont="1" applyFill="1" applyAlignment="1" applyProtection="1">
      <alignment horizontal="center" vertical="center"/>
      <protection hidden="1"/>
    </xf>
    <xf numFmtId="2" fontId="30" fillId="3" borderId="5" xfId="0" applyNumberFormat="1" applyFont="1" applyFill="1" applyBorder="1" applyAlignment="1" applyProtection="1">
      <alignment horizontal="center" vertical="center"/>
      <protection hidden="1"/>
    </xf>
    <xf numFmtId="0" fontId="38" fillId="3" borderId="0" xfId="0" applyFont="1" applyFill="1" applyAlignment="1" applyProtection="1">
      <alignment vertical="center"/>
      <protection hidden="1"/>
    </xf>
    <xf numFmtId="0" fontId="0" fillId="3" borderId="0" xfId="0" applyFill="1" applyAlignment="1" applyProtection="1">
      <alignment vertical="center"/>
      <protection hidden="1"/>
    </xf>
    <xf numFmtId="0" fontId="4" fillId="0" borderId="0" xfId="4" applyFont="1" applyAlignment="1" applyProtection="1">
      <alignment vertical="center"/>
      <protection hidden="1"/>
    </xf>
    <xf numFmtId="0" fontId="3" fillId="2" borderId="0" xfId="4" applyFont="1" applyFill="1" applyAlignment="1" applyProtection="1">
      <alignment horizontal="left" vertical="center"/>
      <protection hidden="1"/>
    </xf>
    <xf numFmtId="0" fontId="3" fillId="2" borderId="0" xfId="4" applyFont="1" applyFill="1" applyAlignment="1" applyProtection="1">
      <alignment vertical="center"/>
      <protection hidden="1"/>
    </xf>
    <xf numFmtId="11" fontId="4" fillId="2" borderId="0" xfId="4" applyNumberFormat="1" applyFont="1" applyFill="1" applyBorder="1" applyAlignment="1" applyProtection="1">
      <alignment horizontal="center" vertical="center"/>
      <protection hidden="1"/>
    </xf>
    <xf numFmtId="0" fontId="37" fillId="0" borderId="0" xfId="4" applyFont="1" applyAlignment="1" applyProtection="1">
      <alignment vertical="center"/>
      <protection hidden="1"/>
    </xf>
    <xf numFmtId="0" fontId="13" fillId="2" borderId="0" xfId="4" applyFont="1" applyFill="1" applyAlignment="1" applyProtection="1">
      <alignment vertical="center"/>
      <protection hidden="1"/>
    </xf>
    <xf numFmtId="2" fontId="30" fillId="3" borderId="4" xfId="0" applyNumberFormat="1" applyFont="1" applyFill="1" applyBorder="1" applyAlignment="1" applyProtection="1">
      <alignment horizontal="center" vertical="center"/>
      <protection hidden="1"/>
    </xf>
    <xf numFmtId="2" fontId="30" fillId="3" borderId="2" xfId="0" applyNumberFormat="1" applyFont="1" applyFill="1" applyBorder="1" applyAlignment="1" applyProtection="1">
      <alignment horizontal="center" vertical="center"/>
      <protection hidden="1"/>
    </xf>
    <xf numFmtId="2" fontId="30" fillId="3" borderId="3" xfId="0" applyNumberFormat="1" applyFont="1" applyFill="1" applyBorder="1" applyAlignment="1" applyProtection="1">
      <alignment horizontal="center" vertical="center"/>
      <protection hidden="1"/>
    </xf>
    <xf numFmtId="0" fontId="5" fillId="0" borderId="0" xfId="4" applyFont="1" applyAlignment="1" applyProtection="1">
      <alignment vertical="center"/>
      <protection hidden="1"/>
    </xf>
    <xf numFmtId="0" fontId="10" fillId="3" borderId="8" xfId="0" applyFont="1" applyFill="1" applyBorder="1" applyAlignment="1" applyProtection="1">
      <alignment vertical="center"/>
      <protection hidden="1"/>
    </xf>
    <xf numFmtId="164" fontId="30" fillId="3" borderId="8" xfId="0" applyNumberFormat="1" applyFont="1" applyFill="1" applyBorder="1" applyAlignment="1" applyProtection="1">
      <alignment vertical="center"/>
      <protection hidden="1"/>
    </xf>
    <xf numFmtId="0" fontId="30" fillId="3" borderId="9" xfId="0" applyFont="1" applyFill="1" applyBorder="1" applyAlignment="1" applyProtection="1">
      <alignment vertical="center"/>
      <protection hidden="1"/>
    </xf>
    <xf numFmtId="0" fontId="10" fillId="3" borderId="2" xfId="0" applyFont="1" applyFill="1" applyBorder="1" applyAlignment="1" applyProtection="1">
      <alignment vertical="center"/>
      <protection hidden="1"/>
    </xf>
    <xf numFmtId="164" fontId="30" fillId="3" borderId="2" xfId="0" applyNumberFormat="1" applyFont="1" applyFill="1" applyBorder="1" applyAlignment="1" applyProtection="1">
      <alignment vertical="center"/>
      <protection hidden="1"/>
    </xf>
    <xf numFmtId="0" fontId="30" fillId="3" borderId="4" xfId="0" applyFont="1" applyFill="1" applyBorder="1" applyAlignment="1" applyProtection="1">
      <alignment vertical="center"/>
      <protection hidden="1"/>
    </xf>
    <xf numFmtId="0" fontId="10" fillId="3" borderId="11" xfId="0" applyFont="1" applyFill="1" applyBorder="1" applyAlignment="1" applyProtection="1">
      <alignment vertical="center"/>
      <protection hidden="1"/>
    </xf>
    <xf numFmtId="164" fontId="30" fillId="3" borderId="0" xfId="0" applyNumberFormat="1" applyFont="1" applyFill="1" applyAlignment="1" applyProtection="1">
      <alignment vertical="center"/>
      <protection hidden="1"/>
    </xf>
    <xf numFmtId="0" fontId="30" fillId="3" borderId="5"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5" fillId="2" borderId="0" xfId="0" applyFont="1" applyFill="1" applyAlignment="1" applyProtection="1">
      <alignment vertical="center"/>
      <protection hidden="1"/>
    </xf>
    <xf numFmtId="0" fontId="30" fillId="3" borderId="11" xfId="0" applyFont="1" applyFill="1" applyBorder="1" applyAlignment="1" applyProtection="1">
      <alignment vertical="center"/>
      <protection hidden="1"/>
    </xf>
    <xf numFmtId="0" fontId="5" fillId="2" borderId="0" xfId="4" applyFont="1" applyFill="1" applyBorder="1" applyAlignment="1" applyProtection="1">
      <alignment vertical="center"/>
      <protection hidden="1"/>
    </xf>
    <xf numFmtId="0" fontId="5" fillId="2" borderId="22" xfId="4" applyFont="1" applyFill="1" applyBorder="1" applyAlignment="1" applyProtection="1">
      <alignment vertical="center"/>
      <protection hidden="1"/>
    </xf>
    <xf numFmtId="0" fontId="30" fillId="2" borderId="23" xfId="0" applyFont="1" applyFill="1" applyBorder="1" applyAlignment="1" applyProtection="1">
      <alignment horizontal="center" vertical="center"/>
      <protection hidden="1"/>
    </xf>
    <xf numFmtId="2" fontId="5" fillId="2" borderId="0" xfId="0" applyNumberFormat="1" applyFont="1" applyFill="1" applyAlignment="1" applyProtection="1">
      <alignment vertical="center"/>
      <protection hidden="1"/>
    </xf>
    <xf numFmtId="0" fontId="5" fillId="2" borderId="22" xfId="0" applyFont="1" applyFill="1" applyBorder="1" applyAlignment="1" applyProtection="1">
      <alignment vertical="center"/>
      <protection hidden="1"/>
    </xf>
    <xf numFmtId="0" fontId="10" fillId="2" borderId="23" xfId="0" applyFont="1" applyFill="1" applyBorder="1" applyAlignment="1" applyProtection="1">
      <alignment horizontal="center" vertical="center"/>
      <protection hidden="1"/>
    </xf>
    <xf numFmtId="2" fontId="30" fillId="2" borderId="0" xfId="0" applyNumberFormat="1" applyFont="1" applyFill="1" applyAlignment="1" applyProtection="1">
      <alignment vertical="center"/>
      <protection hidden="1"/>
    </xf>
    <xf numFmtId="0" fontId="30" fillId="3" borderId="1" xfId="0" applyFont="1" applyFill="1" applyBorder="1" applyAlignment="1" applyProtection="1">
      <alignment vertical="center"/>
      <protection hidden="1"/>
    </xf>
    <xf numFmtId="0" fontId="30" fillId="2" borderId="22" xfId="0" applyFont="1" applyFill="1" applyBorder="1" applyAlignment="1" applyProtection="1">
      <alignment vertical="center"/>
      <protection hidden="1"/>
    </xf>
    <xf numFmtId="2" fontId="5" fillId="0" borderId="0" xfId="4" applyNumberFormat="1" applyFont="1" applyAlignment="1" applyProtection="1">
      <alignment vertical="center"/>
      <protection hidden="1"/>
    </xf>
    <xf numFmtId="0" fontId="5" fillId="2" borderId="24" xfId="0" applyFont="1" applyFill="1" applyBorder="1" applyAlignment="1" applyProtection="1">
      <alignment horizontal="center" vertical="center"/>
      <protection hidden="1"/>
    </xf>
    <xf numFmtId="9" fontId="5" fillId="2" borderId="25" xfId="7" applyFont="1" applyFill="1" applyBorder="1" applyAlignment="1" applyProtection="1">
      <alignment vertical="center"/>
      <protection hidden="1"/>
    </xf>
    <xf numFmtId="0" fontId="5" fillId="2" borderId="26" xfId="0" applyFont="1" applyFill="1" applyBorder="1" applyAlignment="1" applyProtection="1">
      <alignment vertical="center"/>
      <protection hidden="1"/>
    </xf>
    <xf numFmtId="9" fontId="4" fillId="2" borderId="0" xfId="7" applyFont="1" applyFill="1" applyAlignment="1" applyProtection="1">
      <alignment horizontal="center" vertical="center"/>
      <protection hidden="1"/>
    </xf>
    <xf numFmtId="4" fontId="4" fillId="2" borderId="0" xfId="4" applyNumberFormat="1" applyFont="1" applyFill="1" applyAlignment="1" applyProtection="1">
      <alignment horizontal="center" vertical="center"/>
      <protection hidden="1"/>
    </xf>
    <xf numFmtId="0" fontId="37" fillId="0" borderId="0" xfId="4" applyFont="1" applyProtection="1">
      <protection hidden="1"/>
    </xf>
    <xf numFmtId="0" fontId="8" fillId="2" borderId="0" xfId="2" applyFont="1" applyFill="1" applyAlignment="1" applyProtection="1">
      <alignment horizontal="center"/>
      <protection locked="0"/>
    </xf>
    <xf numFmtId="0" fontId="8" fillId="2" borderId="0" xfId="2" applyFont="1" applyFill="1" applyProtection="1">
      <protection locked="0"/>
    </xf>
    <xf numFmtId="4" fontId="27" fillId="2" borderId="0" xfId="5" applyNumberFormat="1" applyFont="1" applyFill="1" applyAlignment="1" applyProtection="1">
      <alignment horizontal="center"/>
      <protection locked="0"/>
    </xf>
    <xf numFmtId="4" fontId="8" fillId="2" borderId="0" xfId="4" applyNumberFormat="1" applyFont="1" applyFill="1" applyAlignment="1" applyProtection="1">
      <alignment horizontal="center"/>
      <protection locked="0"/>
    </xf>
    <xf numFmtId="4" fontId="8" fillId="2" borderId="0" xfId="4" applyNumberFormat="1" applyFont="1" applyFill="1" applyAlignment="1" applyProtection="1">
      <alignment horizontal="center" vertical="center"/>
      <protection locked="0"/>
    </xf>
    <xf numFmtId="2" fontId="3" fillId="2" borderId="0" xfId="2" applyNumberFormat="1" applyFont="1" applyFill="1" applyAlignment="1" applyProtection="1">
      <alignment horizontal="center"/>
      <protection hidden="1"/>
    </xf>
    <xf numFmtId="0" fontId="42" fillId="2" borderId="0" xfId="2" applyFont="1" applyFill="1" applyProtection="1">
      <protection hidden="1"/>
    </xf>
    <xf numFmtId="0" fontId="41" fillId="2" borderId="0" xfId="2" applyFont="1" applyFill="1" applyProtection="1">
      <protection hidden="1"/>
    </xf>
    <xf numFmtId="168" fontId="27" fillId="2" borderId="0" xfId="2" applyNumberFormat="1" applyFont="1" applyFill="1" applyAlignment="1" applyProtection="1">
      <alignment horizontal="center"/>
      <protection hidden="1"/>
    </xf>
    <xf numFmtId="0" fontId="4" fillId="2" borderId="0" xfId="2" quotePrefix="1" applyFont="1" applyFill="1" applyAlignment="1" applyProtection="1">
      <alignment horizontal="center"/>
      <protection hidden="1"/>
    </xf>
    <xf numFmtId="0" fontId="5" fillId="3" borderId="0" xfId="2" applyFont="1" applyFill="1" applyAlignment="1" applyProtection="1">
      <alignment horizontal="center"/>
      <protection hidden="1"/>
    </xf>
    <xf numFmtId="0" fontId="10" fillId="3" borderId="0" xfId="2" applyFont="1" applyFill="1" applyAlignment="1" applyProtection="1">
      <alignment horizontal="center"/>
      <protection hidden="1"/>
    </xf>
    <xf numFmtId="164" fontId="4" fillId="2" borderId="0" xfId="2" applyNumberFormat="1" applyFont="1" applyFill="1" applyAlignment="1" applyProtection="1">
      <alignment horizontal="center"/>
      <protection hidden="1"/>
    </xf>
    <xf numFmtId="0" fontId="3" fillId="2" borderId="0" xfId="0" applyFont="1" applyFill="1" applyAlignment="1" applyProtection="1">
      <alignment horizontal="center" vertical="center"/>
      <protection hidden="1"/>
    </xf>
    <xf numFmtId="0" fontId="5" fillId="0" borderId="0" xfId="0" applyFont="1" applyAlignment="1" applyProtection="1">
      <alignment horizontal="center"/>
      <protection hidden="1"/>
    </xf>
    <xf numFmtId="0" fontId="30" fillId="0" borderId="0" xfId="0" applyFont="1" applyProtection="1">
      <protection hidden="1"/>
    </xf>
    <xf numFmtId="0" fontId="30" fillId="0" borderId="0" xfId="0" applyFont="1" applyAlignment="1" applyProtection="1">
      <alignment horizontal="center"/>
      <protection hidden="1"/>
    </xf>
    <xf numFmtId="0" fontId="3" fillId="0" borderId="0" xfId="0" applyFont="1" applyAlignment="1" applyProtection="1">
      <alignment horizontal="center"/>
      <protection hidden="1"/>
    </xf>
    <xf numFmtId="2" fontId="5" fillId="0" borderId="0" xfId="2" applyNumberFormat="1" applyFont="1" applyProtection="1">
      <protection hidden="1"/>
    </xf>
    <xf numFmtId="0" fontId="33" fillId="0" borderId="0" xfId="0" applyFont="1" applyAlignment="1" applyProtection="1">
      <alignment horizontal="center"/>
      <protection hidden="1"/>
    </xf>
    <xf numFmtId="2" fontId="34" fillId="0" borderId="0" xfId="2" applyNumberFormat="1" applyFont="1" applyProtection="1">
      <protection hidden="1"/>
    </xf>
    <xf numFmtId="164" fontId="5" fillId="0" borderId="0" xfId="0" applyNumberFormat="1" applyFont="1" applyAlignment="1" applyProtection="1">
      <alignment horizontal="center"/>
      <protection hidden="1"/>
    </xf>
    <xf numFmtId="0" fontId="35" fillId="0" borderId="0" xfId="2" applyFont="1" applyBorder="1" applyAlignment="1" applyProtection="1">
      <alignment horizontal="left"/>
      <protection hidden="1"/>
    </xf>
    <xf numFmtId="167" fontId="5" fillId="0" borderId="0" xfId="2" applyNumberFormat="1" applyFont="1" applyBorder="1" applyAlignment="1" applyProtection="1">
      <alignment horizontal="left"/>
      <protection hidden="1"/>
    </xf>
    <xf numFmtId="167" fontId="5" fillId="0" borderId="0" xfId="2" applyNumberFormat="1" applyFont="1" applyBorder="1" applyAlignment="1" applyProtection="1">
      <alignment horizontal="center"/>
      <protection hidden="1"/>
    </xf>
    <xf numFmtId="1" fontId="5" fillId="0" borderId="0" xfId="2" applyNumberFormat="1" applyFont="1" applyBorder="1" applyProtection="1">
      <protection hidden="1"/>
    </xf>
    <xf numFmtId="0" fontId="13" fillId="2" borderId="0" xfId="2" applyFont="1" applyFill="1" applyAlignment="1" applyProtection="1">
      <alignment horizontal="center"/>
      <protection hidden="1"/>
    </xf>
    <xf numFmtId="4" fontId="13" fillId="2" borderId="0" xfId="2" applyNumberFormat="1" applyFont="1" applyFill="1" applyAlignment="1" applyProtection="1">
      <alignment horizontal="center"/>
      <protection hidden="1"/>
    </xf>
    <xf numFmtId="3" fontId="4" fillId="2" borderId="0" xfId="2" applyNumberFormat="1" applyFont="1" applyFill="1" applyBorder="1" applyAlignment="1" applyProtection="1">
      <alignment horizontal="center"/>
      <protection hidden="1"/>
    </xf>
    <xf numFmtId="0" fontId="17" fillId="2" borderId="0" xfId="2" applyFont="1" applyFill="1" applyAlignment="1" applyProtection="1">
      <alignment horizontal="center"/>
      <protection hidden="1"/>
    </xf>
    <xf numFmtId="0" fontId="13" fillId="0" borderId="7" xfId="2" applyFont="1" applyBorder="1" applyAlignment="1" applyProtection="1">
      <alignment horizontal="center"/>
      <protection hidden="1"/>
    </xf>
    <xf numFmtId="0" fontId="13" fillId="0" borderId="8" xfId="2" applyFont="1" applyBorder="1" applyAlignment="1" applyProtection="1">
      <alignment horizontal="center"/>
      <protection hidden="1"/>
    </xf>
    <xf numFmtId="0" fontId="13" fillId="0" borderId="9" xfId="2" applyFont="1" applyBorder="1" applyAlignment="1" applyProtection="1">
      <alignment horizontal="center"/>
      <protection hidden="1"/>
    </xf>
    <xf numFmtId="0" fontId="13" fillId="0" borderId="11" xfId="2" applyFont="1" applyBorder="1" applyAlignment="1" applyProtection="1">
      <alignment horizontal="center"/>
      <protection hidden="1"/>
    </xf>
    <xf numFmtId="0" fontId="13" fillId="0" borderId="0" xfId="2" applyFont="1" applyBorder="1" applyAlignment="1" applyProtection="1">
      <alignment horizontal="center"/>
      <protection hidden="1"/>
    </xf>
    <xf numFmtId="0" fontId="13" fillId="0" borderId="5" xfId="2" applyFont="1" applyBorder="1" applyAlignment="1" applyProtection="1">
      <alignment horizontal="center"/>
      <protection hidden="1"/>
    </xf>
    <xf numFmtId="0" fontId="5" fillId="3" borderId="5" xfId="0" applyFont="1" applyFill="1" applyBorder="1" applyAlignment="1" applyProtection="1">
      <alignment horizontal="center"/>
      <protection hidden="1"/>
    </xf>
    <xf numFmtId="0" fontId="5" fillId="3" borderId="4" xfId="0" applyFont="1" applyFill="1" applyBorder="1" applyAlignment="1" applyProtection="1">
      <alignment horizontal="center"/>
      <protection hidden="1"/>
    </xf>
    <xf numFmtId="0" fontId="4" fillId="2" borderId="0" xfId="0" quotePrefix="1" applyFont="1" applyFill="1" applyAlignment="1" applyProtection="1">
      <alignment horizontal="left"/>
      <protection hidden="1"/>
    </xf>
    <xf numFmtId="4" fontId="5" fillId="0" borderId="0" xfId="2" applyNumberFormat="1" applyFont="1" applyBorder="1" applyAlignment="1" applyProtection="1">
      <alignment horizontal="center"/>
      <protection hidden="1"/>
    </xf>
    <xf numFmtId="0" fontId="10" fillId="0" borderId="0" xfId="2" applyFont="1" applyBorder="1" applyAlignment="1" applyProtection="1">
      <alignment horizontal="center"/>
      <protection hidden="1"/>
    </xf>
    <xf numFmtId="168" fontId="5" fillId="0" borderId="0" xfId="2" applyNumberFormat="1" applyFont="1" applyBorder="1" applyAlignment="1" applyProtection="1">
      <alignment horizontal="center"/>
      <protection hidden="1"/>
    </xf>
    <xf numFmtId="4" fontId="43" fillId="2" borderId="0" xfId="4" applyNumberFormat="1" applyFont="1" applyFill="1" applyAlignment="1" applyProtection="1">
      <alignment horizontal="center"/>
      <protection hidden="1"/>
    </xf>
    <xf numFmtId="0" fontId="46" fillId="2" borderId="0" xfId="2" applyFont="1" applyFill="1" applyProtection="1">
      <protection hidden="1"/>
    </xf>
    <xf numFmtId="4" fontId="29" fillId="2" borderId="0" xfId="4" applyNumberFormat="1" applyFont="1" applyFill="1" applyAlignment="1" applyProtection="1">
      <alignment horizontal="center"/>
      <protection hidden="1"/>
    </xf>
    <xf numFmtId="0" fontId="4" fillId="2" borderId="27" xfId="2" applyFont="1" applyFill="1" applyBorder="1" applyProtection="1">
      <protection hidden="1"/>
    </xf>
    <xf numFmtId="0" fontId="4" fillId="2" borderId="23" xfId="2" applyFont="1" applyFill="1" applyBorder="1" applyProtection="1">
      <protection hidden="1"/>
    </xf>
    <xf numFmtId="0" fontId="4" fillId="2" borderId="24" xfId="2" applyFont="1" applyFill="1" applyBorder="1" applyProtection="1">
      <protection hidden="1"/>
    </xf>
    <xf numFmtId="12" fontId="5" fillId="0" borderId="0" xfId="0" applyNumberFormat="1" applyFont="1" applyAlignment="1" applyProtection="1">
      <alignment horizontal="center"/>
      <protection hidden="1"/>
    </xf>
    <xf numFmtId="2" fontId="5" fillId="2" borderId="0" xfId="0" applyNumberFormat="1" applyFont="1" applyFill="1" applyAlignment="1" applyProtection="1">
      <alignment horizontal="center"/>
      <protection hidden="1"/>
    </xf>
    <xf numFmtId="0" fontId="13" fillId="2" borderId="0" xfId="2" applyFont="1" applyFill="1" applyAlignment="1" applyProtection="1">
      <alignment horizontal="center" vertical="center"/>
      <protection hidden="1"/>
    </xf>
    <xf numFmtId="2" fontId="47" fillId="2" borderId="0" xfId="2" applyNumberFormat="1" applyFont="1" applyFill="1" applyBorder="1" applyAlignment="1" applyProtection="1">
      <alignment horizontal="center"/>
      <protection hidden="1"/>
    </xf>
    <xf numFmtId="0" fontId="3" fillId="2" borderId="0" xfId="2" quotePrefix="1" applyFont="1" applyFill="1" applyAlignment="1" applyProtection="1">
      <alignment horizontal="center"/>
      <protection hidden="1"/>
    </xf>
    <xf numFmtId="0" fontId="5" fillId="2" borderId="0" xfId="2" quotePrefix="1" applyFont="1" applyFill="1" applyAlignment="1" applyProtection="1">
      <alignment horizontal="left"/>
      <protection hidden="1"/>
    </xf>
    <xf numFmtId="0" fontId="5" fillId="2" borderId="0" xfId="2" quotePrefix="1" applyFont="1" applyFill="1" applyProtection="1">
      <protection hidden="1"/>
    </xf>
    <xf numFmtId="1" fontId="5" fillId="0" borderId="0" xfId="0" applyNumberFormat="1" applyFont="1" applyAlignment="1" applyProtection="1">
      <alignment horizontal="center"/>
      <protection hidden="1"/>
    </xf>
    <xf numFmtId="2" fontId="41" fillId="2" borderId="0" xfId="2" applyNumberFormat="1" applyFont="1" applyFill="1" applyAlignment="1" applyProtection="1">
      <alignment horizontal="center"/>
      <protection hidden="1"/>
    </xf>
    <xf numFmtId="0" fontId="3" fillId="2" borderId="28" xfId="5" applyFont="1" applyFill="1" applyBorder="1" applyAlignment="1" applyProtection="1">
      <alignment horizontal="center" vertical="center"/>
      <protection hidden="1"/>
    </xf>
    <xf numFmtId="0" fontId="3" fillId="2" borderId="4" xfId="5" applyFont="1" applyFill="1" applyBorder="1" applyAlignment="1" applyProtection="1">
      <alignment horizontal="center" vertical="center"/>
      <protection hidden="1"/>
    </xf>
    <xf numFmtId="0" fontId="3" fillId="2" borderId="29" xfId="5" applyFont="1" applyFill="1" applyBorder="1" applyAlignment="1" applyProtection="1">
      <alignment horizontal="center" vertical="center"/>
      <protection hidden="1"/>
    </xf>
    <xf numFmtId="0" fontId="13" fillId="2" borderId="0" xfId="5" applyFont="1" applyFill="1" applyBorder="1" applyAlignment="1" applyProtection="1">
      <alignment horizontal="center" vertical="top"/>
      <protection hidden="1"/>
    </xf>
    <xf numFmtId="2" fontId="4" fillId="2" borderId="0" xfId="5" applyNumberFormat="1" applyFont="1" applyFill="1" applyBorder="1" applyAlignment="1" applyProtection="1">
      <alignment horizontal="center" vertical="top"/>
      <protection hidden="1"/>
    </xf>
    <xf numFmtId="165" fontId="4" fillId="2" borderId="0" xfId="5" applyNumberFormat="1" applyFont="1" applyFill="1" applyBorder="1" applyAlignment="1" applyProtection="1">
      <alignment horizontal="center" vertical="top"/>
      <protection hidden="1"/>
    </xf>
    <xf numFmtId="1" fontId="7" fillId="2" borderId="0" xfId="5" applyNumberFormat="1" applyFont="1" applyFill="1" applyBorder="1" applyAlignment="1" applyProtection="1">
      <alignment horizontal="center" vertical="top"/>
      <protection hidden="1"/>
    </xf>
    <xf numFmtId="164" fontId="5" fillId="3" borderId="30" xfId="5" applyNumberFormat="1" applyFont="1" applyFill="1" applyBorder="1" applyAlignment="1" applyProtection="1">
      <alignment horizontal="center"/>
      <protection hidden="1"/>
    </xf>
    <xf numFmtId="0" fontId="5" fillId="3" borderId="10" xfId="5" applyFont="1" applyFill="1" applyBorder="1" applyAlignment="1" applyProtection="1">
      <alignment horizontal="center"/>
      <protection hidden="1"/>
    </xf>
    <xf numFmtId="164" fontId="5" fillId="3" borderId="3" xfId="5" applyNumberFormat="1" applyFont="1" applyFill="1" applyBorder="1" applyAlignment="1" applyProtection="1">
      <alignment horizontal="center"/>
      <protection hidden="1"/>
    </xf>
    <xf numFmtId="164" fontId="5" fillId="3" borderId="31" xfId="5" applyNumberFormat="1" applyFont="1" applyFill="1" applyBorder="1" applyAlignment="1" applyProtection="1">
      <alignment horizontal="center"/>
      <protection hidden="1"/>
    </xf>
    <xf numFmtId="164" fontId="5" fillId="3" borderId="0" xfId="2" applyNumberFormat="1" applyFont="1" applyFill="1" applyAlignment="1" applyProtection="1">
      <alignment horizontal="center"/>
      <protection hidden="1"/>
    </xf>
    <xf numFmtId="0" fontId="25" fillId="2" borderId="0" xfId="2" applyFont="1" applyFill="1" applyAlignment="1" applyProtection="1">
      <alignment vertical="center"/>
      <protection hidden="1"/>
    </xf>
    <xf numFmtId="0" fontId="36" fillId="0" borderId="0" xfId="2" applyFont="1" applyBorder="1" applyAlignment="1" applyProtection="1">
      <alignment vertical="center"/>
      <protection hidden="1"/>
    </xf>
    <xf numFmtId="0" fontId="40" fillId="0" borderId="0" xfId="2" applyFont="1" applyBorder="1" applyAlignment="1" applyProtection="1">
      <alignment vertical="center"/>
      <protection hidden="1"/>
    </xf>
    <xf numFmtId="0" fontId="2" fillId="0" borderId="0" xfId="2" applyBorder="1" applyAlignment="1" applyProtection="1">
      <alignment vertical="center"/>
      <protection hidden="1"/>
    </xf>
    <xf numFmtId="9" fontId="3" fillId="2" borderId="0" xfId="7" applyFont="1" applyFill="1" applyAlignment="1" applyProtection="1">
      <alignment horizontal="center"/>
      <protection hidden="1"/>
    </xf>
    <xf numFmtId="0" fontId="5" fillId="2" borderId="0" xfId="2" quotePrefix="1" applyFont="1" applyFill="1" applyAlignment="1" applyProtection="1">
      <alignment horizontal="right"/>
      <protection hidden="1"/>
    </xf>
    <xf numFmtId="4" fontId="13" fillId="2" borderId="0" xfId="5" applyNumberFormat="1" applyFont="1" applyFill="1" applyAlignment="1" applyProtection="1">
      <alignment horizontal="center"/>
      <protection hidden="1"/>
    </xf>
    <xf numFmtId="0" fontId="42" fillId="2" borderId="0" xfId="2" applyFont="1" applyFill="1" applyAlignment="1" applyProtection="1">
      <alignment horizontal="center"/>
      <protection hidden="1"/>
    </xf>
    <xf numFmtId="0" fontId="41" fillId="2" borderId="0" xfId="2" applyFont="1" applyFill="1" applyAlignment="1" applyProtection="1">
      <alignment horizontal="center"/>
      <protection hidden="1"/>
    </xf>
    <xf numFmtId="4" fontId="41" fillId="2" borderId="0" xfId="2" applyNumberFormat="1" applyFont="1" applyFill="1" applyAlignment="1" applyProtection="1">
      <alignment horizontal="center"/>
      <protection hidden="1"/>
    </xf>
    <xf numFmtId="0" fontId="49" fillId="2" borderId="0" xfId="2" applyFont="1" applyFill="1" applyAlignment="1" applyProtection="1">
      <alignment horizontal="center"/>
      <protection hidden="1"/>
    </xf>
    <xf numFmtId="0" fontId="33" fillId="2" borderId="0" xfId="2" applyFont="1" applyFill="1" applyAlignment="1" applyProtection="1">
      <alignment horizontal="center"/>
      <protection hidden="1"/>
    </xf>
    <xf numFmtId="0" fontId="33" fillId="2" borderId="0" xfId="2" applyFont="1" applyFill="1" applyProtection="1">
      <protection hidden="1"/>
    </xf>
    <xf numFmtId="4" fontId="5" fillId="3" borderId="0" xfId="2" applyNumberFormat="1" applyFont="1" applyFill="1" applyBorder="1" applyAlignment="1" applyProtection="1">
      <alignment horizontal="center"/>
      <protection hidden="1"/>
    </xf>
    <xf numFmtId="0" fontId="10" fillId="3" borderId="0" xfId="2" applyFont="1" applyFill="1" applyBorder="1" applyAlignment="1" applyProtection="1">
      <alignment horizontal="center"/>
      <protection hidden="1"/>
    </xf>
    <xf numFmtId="168" fontId="5" fillId="3" borderId="0" xfId="2" applyNumberFormat="1" applyFont="1" applyFill="1" applyBorder="1" applyAlignment="1" applyProtection="1">
      <alignment horizontal="center"/>
      <protection hidden="1"/>
    </xf>
    <xf numFmtId="0" fontId="19" fillId="2" borderId="0" xfId="2" applyFont="1" applyFill="1" applyBorder="1" applyAlignment="1" applyProtection="1">
      <alignment horizontal="left"/>
      <protection hidden="1"/>
    </xf>
    <xf numFmtId="168" fontId="4" fillId="2" borderId="0" xfId="2" applyNumberFormat="1" applyFont="1" applyFill="1" applyAlignment="1" applyProtection="1">
      <alignment horizontal="center"/>
      <protection hidden="1"/>
    </xf>
    <xf numFmtId="4" fontId="52" fillId="2" borderId="0" xfId="2" applyNumberFormat="1" applyFont="1" applyFill="1" applyAlignment="1" applyProtection="1">
      <alignment horizontal="center"/>
      <protection hidden="1"/>
    </xf>
    <xf numFmtId="0" fontId="52" fillId="2" borderId="0" xfId="2" applyFont="1" applyFill="1" applyAlignment="1" applyProtection="1">
      <alignment horizontal="center"/>
      <protection hidden="1"/>
    </xf>
    <xf numFmtId="0" fontId="5" fillId="3" borderId="32" xfId="0" applyFont="1" applyFill="1" applyBorder="1" applyAlignment="1" applyProtection="1">
      <alignment horizontal="center"/>
      <protection hidden="1"/>
    </xf>
    <xf numFmtId="0" fontId="5" fillId="3" borderId="25" xfId="0" applyFont="1" applyFill="1" applyBorder="1" applyAlignment="1" applyProtection="1">
      <alignment horizontal="center"/>
      <protection hidden="1"/>
    </xf>
    <xf numFmtId="2" fontId="5" fillId="3" borderId="32" xfId="0" applyNumberFormat="1" applyFont="1" applyFill="1" applyBorder="1" applyAlignment="1" applyProtection="1">
      <alignment horizontal="center"/>
      <protection hidden="1"/>
    </xf>
    <xf numFmtId="2" fontId="5" fillId="0" borderId="17" xfId="2" applyNumberFormat="1" applyFont="1" applyBorder="1" applyAlignment="1" applyProtection="1">
      <alignment horizontal="center"/>
      <protection hidden="1"/>
    </xf>
    <xf numFmtId="2" fontId="5" fillId="0" borderId="32" xfId="2" applyNumberFormat="1" applyFont="1" applyBorder="1" applyAlignment="1" applyProtection="1">
      <alignment horizontal="center"/>
      <protection hidden="1"/>
    </xf>
    <xf numFmtId="2" fontId="5" fillId="0" borderId="25" xfId="2" applyNumberFormat="1" applyFont="1" applyBorder="1" applyAlignment="1" applyProtection="1">
      <alignment horizontal="center"/>
      <protection hidden="1"/>
    </xf>
    <xf numFmtId="2" fontId="5" fillId="0" borderId="16" xfId="2" applyNumberFormat="1" applyFont="1" applyBorder="1" applyAlignment="1" applyProtection="1">
      <alignment horizontal="center"/>
      <protection hidden="1"/>
    </xf>
    <xf numFmtId="2" fontId="5" fillId="3" borderId="2" xfId="0" applyNumberFormat="1" applyFont="1" applyFill="1" applyBorder="1" applyAlignment="1" applyProtection="1">
      <alignment horizontal="center"/>
      <protection hidden="1"/>
    </xf>
    <xf numFmtId="2" fontId="5" fillId="3" borderId="33" xfId="0" applyNumberFormat="1" applyFont="1" applyFill="1" applyBorder="1" applyAlignment="1" applyProtection="1">
      <alignment horizontal="center"/>
      <protection hidden="1"/>
    </xf>
    <xf numFmtId="2" fontId="5" fillId="3" borderId="6" xfId="0" applyNumberFormat="1" applyFont="1" applyFill="1" applyBorder="1" applyAlignment="1" applyProtection="1">
      <alignment horizontal="center"/>
      <protection hidden="1"/>
    </xf>
    <xf numFmtId="2" fontId="5" fillId="3" borderId="3" xfId="0" applyNumberFormat="1" applyFont="1" applyFill="1" applyBorder="1" applyAlignment="1" applyProtection="1">
      <alignment horizontal="center"/>
      <protection hidden="1"/>
    </xf>
    <xf numFmtId="2" fontId="5" fillId="0" borderId="0" xfId="2" applyNumberFormat="1" applyFont="1" applyAlignment="1" applyProtection="1">
      <alignment horizontal="center"/>
      <protection hidden="1"/>
    </xf>
    <xf numFmtId="1" fontId="5" fillId="0" borderId="0" xfId="2" applyNumberFormat="1" applyFont="1" applyBorder="1" applyAlignment="1" applyProtection="1">
      <alignment horizontal="center"/>
      <protection hidden="1"/>
    </xf>
    <xf numFmtId="0" fontId="5" fillId="3" borderId="14" xfId="2" applyFont="1" applyFill="1" applyBorder="1" applyAlignment="1" applyProtection="1">
      <alignment horizontal="center"/>
      <protection hidden="1"/>
    </xf>
    <xf numFmtId="1" fontId="5" fillId="0" borderId="5" xfId="2" applyNumberFormat="1" applyFont="1" applyBorder="1" applyAlignment="1" applyProtection="1">
      <alignment horizontal="center"/>
      <protection hidden="1"/>
    </xf>
    <xf numFmtId="1" fontId="5" fillId="0" borderId="32" xfId="2" applyNumberFormat="1" applyFont="1" applyBorder="1" applyAlignment="1" applyProtection="1">
      <alignment horizontal="center"/>
      <protection hidden="1"/>
    </xf>
    <xf numFmtId="1" fontId="5" fillId="0" borderId="25" xfId="2" applyNumberFormat="1" applyFont="1" applyBorder="1" applyAlignment="1" applyProtection="1">
      <alignment horizontal="center"/>
      <protection hidden="1"/>
    </xf>
    <xf numFmtId="1" fontId="5" fillId="0" borderId="17" xfId="2" applyNumberFormat="1" applyFont="1" applyBorder="1" applyAlignment="1" applyProtection="1">
      <alignment horizontal="center"/>
      <protection hidden="1"/>
    </xf>
    <xf numFmtId="1" fontId="5" fillId="0" borderId="11" xfId="2" applyNumberFormat="1" applyFont="1" applyBorder="1" applyAlignment="1" applyProtection="1">
      <alignment horizontal="center"/>
      <protection hidden="1"/>
    </xf>
    <xf numFmtId="1" fontId="5" fillId="0" borderId="6" xfId="2" applyNumberFormat="1" applyFont="1" applyBorder="1" applyAlignment="1" applyProtection="1">
      <alignment horizontal="center"/>
      <protection hidden="1"/>
    </xf>
    <xf numFmtId="1" fontId="5" fillId="0" borderId="16" xfId="2" applyNumberFormat="1" applyFont="1" applyBorder="1" applyAlignment="1" applyProtection="1">
      <alignment horizontal="center"/>
      <protection hidden="1"/>
    </xf>
    <xf numFmtId="1" fontId="5" fillId="0" borderId="10" xfId="2" applyNumberFormat="1" applyFont="1" applyBorder="1" applyAlignment="1" applyProtection="1">
      <alignment horizontal="center"/>
      <protection hidden="1"/>
    </xf>
    <xf numFmtId="0" fontId="3" fillId="2" borderId="0" xfId="2" applyFont="1" applyFill="1" applyAlignment="1" applyProtection="1">
      <alignment horizontal="left"/>
      <protection hidden="1"/>
    </xf>
    <xf numFmtId="2" fontId="8" fillId="2" borderId="0" xfId="2" applyNumberFormat="1" applyFont="1" applyFill="1" applyAlignment="1" applyProtection="1">
      <alignment horizontal="center"/>
      <protection locked="0"/>
    </xf>
    <xf numFmtId="1" fontId="8" fillId="2" borderId="0" xfId="2" applyNumberFormat="1" applyFont="1" applyFill="1" applyAlignment="1" applyProtection="1">
      <alignment horizontal="center"/>
      <protection locked="0"/>
    </xf>
    <xf numFmtId="0" fontId="5" fillId="3" borderId="14" xfId="0" applyFont="1" applyFill="1" applyBorder="1" applyAlignment="1" applyProtection="1">
      <alignment horizontal="center"/>
      <protection locked="0"/>
    </xf>
    <xf numFmtId="0" fontId="30" fillId="3" borderId="14" xfId="0" applyFont="1" applyFill="1" applyBorder="1" applyAlignment="1" applyProtection="1">
      <alignment horizontal="center"/>
      <protection locked="0"/>
    </xf>
    <xf numFmtId="0" fontId="30" fillId="3" borderId="3" xfId="0" applyFont="1" applyFill="1" applyBorder="1" applyAlignment="1" applyProtection="1">
      <alignment horizontal="center"/>
      <protection locked="0"/>
    </xf>
    <xf numFmtId="0" fontId="5" fillId="3" borderId="13" xfId="2" applyFont="1" applyFill="1" applyBorder="1" applyProtection="1">
      <protection locked="0"/>
    </xf>
    <xf numFmtId="0" fontId="5" fillId="3" borderId="3" xfId="2" applyFont="1" applyFill="1" applyBorder="1" applyAlignment="1" applyProtection="1">
      <alignment horizontal="center"/>
      <protection locked="0"/>
    </xf>
    <xf numFmtId="0" fontId="5" fillId="3" borderId="9" xfId="2" applyFont="1" applyFill="1" applyBorder="1" applyAlignment="1" applyProtection="1">
      <alignment horizontal="center"/>
      <protection locked="0"/>
    </xf>
    <xf numFmtId="0" fontId="5" fillId="3" borderId="4" xfId="2" applyFont="1" applyFill="1" applyBorder="1" applyAlignment="1" applyProtection="1">
      <alignment horizontal="center"/>
      <protection locked="0"/>
    </xf>
    <xf numFmtId="0" fontId="5" fillId="3" borderId="14" xfId="2" applyFont="1" applyFill="1" applyBorder="1" applyAlignment="1" applyProtection="1">
      <alignment horizontal="center"/>
      <protection locked="0"/>
    </xf>
    <xf numFmtId="0" fontId="5" fillId="3" borderId="6" xfId="2" applyFont="1" applyFill="1" applyBorder="1" applyAlignment="1" applyProtection="1">
      <alignment horizontal="center"/>
      <protection locked="0"/>
    </xf>
    <xf numFmtId="0" fontId="5" fillId="3" borderId="1" xfId="2" applyFont="1" applyFill="1" applyBorder="1" applyProtection="1">
      <protection locked="0"/>
    </xf>
    <xf numFmtId="0" fontId="5" fillId="3" borderId="8" xfId="2" applyFont="1" applyFill="1" applyBorder="1" applyProtection="1">
      <protection hidden="1"/>
    </xf>
    <xf numFmtId="0" fontId="5" fillId="0" borderId="9" xfId="2" applyFont="1" applyBorder="1" applyProtection="1">
      <protection hidden="1"/>
    </xf>
    <xf numFmtId="0" fontId="5" fillId="0" borderId="5" xfId="2" applyFont="1" applyBorder="1" applyProtection="1">
      <protection hidden="1"/>
    </xf>
    <xf numFmtId="0" fontId="5" fillId="3" borderId="2" xfId="2" applyFont="1" applyFill="1" applyBorder="1" applyProtection="1">
      <protection hidden="1"/>
    </xf>
    <xf numFmtId="0" fontId="5" fillId="0" borderId="4" xfId="2" applyFont="1" applyBorder="1" applyProtection="1">
      <protection hidden="1"/>
    </xf>
    <xf numFmtId="2" fontId="8" fillId="2" borderId="0" xfId="2" applyNumberFormat="1" applyFont="1" applyFill="1" applyAlignment="1" applyProtection="1">
      <alignment horizontal="right"/>
      <protection locked="0"/>
    </xf>
    <xf numFmtId="2" fontId="8" fillId="2" borderId="0" xfId="5" applyNumberFormat="1" applyFont="1" applyFill="1" applyBorder="1" applyAlignment="1" applyProtection="1">
      <alignment horizontal="center"/>
      <protection locked="0"/>
    </xf>
    <xf numFmtId="2" fontId="8" fillId="2" borderId="2" xfId="5" applyNumberFormat="1" applyFont="1" applyFill="1" applyBorder="1" applyAlignment="1" applyProtection="1">
      <alignment horizontal="center"/>
      <protection locked="0"/>
    </xf>
    <xf numFmtId="165" fontId="8" fillId="2" borderId="0" xfId="5" applyNumberFormat="1" applyFont="1" applyFill="1" applyBorder="1" applyAlignment="1" applyProtection="1">
      <alignment horizontal="center"/>
      <protection locked="0"/>
    </xf>
    <xf numFmtId="165" fontId="8" fillId="2" borderId="2" xfId="5" applyNumberFormat="1" applyFont="1" applyFill="1" applyBorder="1" applyAlignment="1" applyProtection="1">
      <alignment horizontal="center"/>
      <protection locked="0"/>
    </xf>
    <xf numFmtId="165" fontId="8" fillId="2" borderId="0" xfId="2" applyNumberFormat="1" applyFont="1" applyFill="1" applyAlignment="1" applyProtection="1">
      <alignment horizontal="center"/>
      <protection locked="0"/>
    </xf>
    <xf numFmtId="165" fontId="8" fillId="2" borderId="0" xfId="2" applyNumberFormat="1" applyFont="1" applyFill="1" applyProtection="1">
      <protection locked="0"/>
    </xf>
    <xf numFmtId="4" fontId="8" fillId="2" borderId="0" xfId="5" applyNumberFormat="1" applyFont="1" applyFill="1" applyAlignment="1" applyProtection="1">
      <alignment horizontal="center"/>
      <protection locked="0"/>
    </xf>
    <xf numFmtId="3" fontId="8" fillId="2" borderId="0" xfId="2" applyNumberFormat="1" applyFont="1" applyFill="1" applyAlignment="1" applyProtection="1">
      <alignment horizontal="center"/>
      <protection locked="0"/>
    </xf>
    <xf numFmtId="3" fontId="8" fillId="2" borderId="0" xfId="2" applyNumberFormat="1" applyFont="1" applyFill="1" applyBorder="1" applyAlignment="1" applyProtection="1">
      <alignment horizontal="center"/>
      <protection locked="0"/>
    </xf>
    <xf numFmtId="0" fontId="41" fillId="0" borderId="2" xfId="2" applyFont="1" applyBorder="1" applyAlignment="1" applyProtection="1">
      <alignment horizontal="center" vertical="center"/>
      <protection locked="0"/>
    </xf>
    <xf numFmtId="0" fontId="13" fillId="2" borderId="0" xfId="5" applyFont="1" applyFill="1" applyBorder="1" applyAlignment="1" applyProtection="1">
      <alignment horizontal="center"/>
      <protection locked="0"/>
    </xf>
    <xf numFmtId="165" fontId="4" fillId="2" borderId="0" xfId="5" applyNumberFormat="1" applyFont="1" applyFill="1" applyBorder="1" applyAlignment="1" applyProtection="1">
      <alignment horizontal="center"/>
      <protection locked="0"/>
    </xf>
    <xf numFmtId="2" fontId="4" fillId="2" borderId="0" xfId="5" applyNumberFormat="1" applyFont="1" applyFill="1" applyBorder="1" applyAlignment="1" applyProtection="1">
      <alignment horizontal="center"/>
      <protection locked="0"/>
    </xf>
    <xf numFmtId="0" fontId="13" fillId="2" borderId="2" xfId="5" applyFont="1" applyFill="1" applyBorder="1" applyAlignment="1" applyProtection="1">
      <alignment horizontal="center"/>
      <protection locked="0"/>
    </xf>
    <xf numFmtId="165" fontId="4" fillId="2" borderId="2" xfId="5" applyNumberFormat="1" applyFont="1" applyFill="1" applyBorder="1" applyAlignment="1" applyProtection="1">
      <alignment horizontal="center"/>
      <protection locked="0"/>
    </xf>
    <xf numFmtId="2" fontId="4" fillId="2" borderId="2" xfId="5" applyNumberFormat="1" applyFont="1" applyFill="1" applyBorder="1" applyAlignment="1" applyProtection="1">
      <alignment horizontal="center"/>
      <protection locked="0"/>
    </xf>
    <xf numFmtId="1" fontId="5" fillId="3" borderId="1" xfId="2" applyNumberFormat="1" applyFont="1" applyFill="1" applyBorder="1" applyProtection="1">
      <protection locked="0"/>
    </xf>
    <xf numFmtId="4" fontId="4" fillId="2" borderId="0" xfId="5" quotePrefix="1" applyNumberFormat="1" applyFont="1" applyFill="1" applyAlignment="1" applyProtection="1">
      <alignment horizontal="center"/>
      <protection locked="0"/>
    </xf>
    <xf numFmtId="0" fontId="55" fillId="2" borderId="0" xfId="0" applyFont="1" applyFill="1" applyProtection="1">
      <protection hidden="1"/>
    </xf>
    <xf numFmtId="0" fontId="55" fillId="2" borderId="0" xfId="0" applyFont="1" applyFill="1" applyAlignment="1" applyProtection="1">
      <alignment horizontal="center"/>
      <protection hidden="1"/>
    </xf>
    <xf numFmtId="0" fontId="30" fillId="2" borderId="0" xfId="0" applyFont="1" applyFill="1" applyAlignment="1" applyProtection="1">
      <alignment horizontal="left"/>
      <protection hidden="1"/>
    </xf>
    <xf numFmtId="0" fontId="30" fillId="2" borderId="34" xfId="0" applyFont="1" applyFill="1" applyBorder="1" applyAlignment="1" applyProtection="1">
      <alignment horizontal="center"/>
      <protection hidden="1"/>
    </xf>
    <xf numFmtId="164" fontId="30" fillId="2" borderId="34" xfId="0" applyNumberFormat="1" applyFont="1" applyFill="1" applyBorder="1" applyAlignment="1" applyProtection="1">
      <alignment horizontal="center"/>
      <protection hidden="1"/>
    </xf>
    <xf numFmtId="0" fontId="30" fillId="2" borderId="35" xfId="0" applyFont="1" applyFill="1" applyBorder="1" applyAlignment="1" applyProtection="1">
      <alignment horizontal="center"/>
      <protection hidden="1"/>
    </xf>
    <xf numFmtId="0" fontId="30" fillId="2" borderId="22" xfId="0" applyFont="1" applyFill="1" applyBorder="1" applyAlignment="1" applyProtection="1">
      <alignment horizontal="center"/>
      <protection hidden="1"/>
    </xf>
    <xf numFmtId="0" fontId="30" fillId="2" borderId="25" xfId="0" applyFont="1" applyFill="1" applyBorder="1" applyAlignment="1" applyProtection="1">
      <alignment horizontal="center"/>
      <protection hidden="1"/>
    </xf>
    <xf numFmtId="0" fontId="3" fillId="2" borderId="25" xfId="0" applyFont="1" applyFill="1" applyBorder="1" applyAlignment="1" applyProtection="1">
      <alignment horizontal="center"/>
      <protection hidden="1"/>
    </xf>
    <xf numFmtId="0" fontId="30" fillId="2" borderId="26" xfId="0" applyFont="1" applyFill="1" applyBorder="1" applyAlignment="1" applyProtection="1">
      <alignment horizontal="center"/>
      <protection hidden="1"/>
    </xf>
    <xf numFmtId="0" fontId="3" fillId="2" borderId="0" xfId="0" applyFont="1" applyFill="1" applyAlignment="1" applyProtection="1">
      <alignment horizontal="center"/>
      <protection hidden="1"/>
    </xf>
    <xf numFmtId="0" fontId="44" fillId="2" borderId="0" xfId="0" applyFont="1" applyFill="1" applyAlignment="1" applyProtection="1">
      <alignment horizontal="center"/>
      <protection hidden="1"/>
    </xf>
    <xf numFmtId="0" fontId="10" fillId="2" borderId="0" xfId="0" applyFont="1" applyFill="1" applyAlignment="1" applyProtection="1">
      <alignment horizontal="center"/>
      <protection hidden="1"/>
    </xf>
    <xf numFmtId="0" fontId="5" fillId="2" borderId="0" xfId="0" applyFont="1" applyFill="1" applyAlignment="1" applyProtection="1">
      <alignment horizontal="center"/>
      <protection hidden="1"/>
    </xf>
    <xf numFmtId="0" fontId="45" fillId="2" borderId="0" xfId="0" applyFont="1" applyFill="1" applyAlignment="1" applyProtection="1">
      <alignment horizontal="center"/>
      <protection hidden="1"/>
    </xf>
    <xf numFmtId="164" fontId="30" fillId="2" borderId="0" xfId="0" applyNumberFormat="1" applyFont="1" applyFill="1" applyAlignment="1" applyProtection="1">
      <alignment horizontal="center"/>
      <protection hidden="1"/>
    </xf>
    <xf numFmtId="2" fontId="3" fillId="2" borderId="0" xfId="0" applyNumberFormat="1" applyFont="1" applyFill="1" applyAlignment="1" applyProtection="1">
      <alignment horizontal="center"/>
      <protection hidden="1"/>
    </xf>
    <xf numFmtId="165" fontId="27" fillId="2" borderId="0" xfId="2" applyNumberFormat="1" applyFont="1" applyFill="1" applyBorder="1" applyAlignment="1" applyProtection="1">
      <alignment horizontal="center" vertical="center"/>
      <protection hidden="1"/>
    </xf>
    <xf numFmtId="2" fontId="27" fillId="2" borderId="0" xfId="2" applyNumberFormat="1" applyFont="1" applyFill="1" applyAlignment="1" applyProtection="1">
      <alignment horizontal="right"/>
      <protection locked="0"/>
    </xf>
    <xf numFmtId="1" fontId="5" fillId="3" borderId="1" xfId="2" applyNumberFormat="1" applyFont="1" applyFill="1" applyBorder="1" applyProtection="1">
      <protection hidden="1"/>
    </xf>
    <xf numFmtId="4" fontId="4" fillId="2" borderId="0" xfId="5" applyNumberFormat="1" applyFont="1" applyFill="1" applyAlignment="1" applyProtection="1">
      <alignment horizontal="center"/>
      <protection locked="0"/>
    </xf>
    <xf numFmtId="4" fontId="4" fillId="2" borderId="0" xfId="4" applyNumberFormat="1" applyFont="1" applyFill="1" applyAlignment="1" applyProtection="1">
      <alignment horizontal="center"/>
      <protection locked="0"/>
    </xf>
    <xf numFmtId="4" fontId="7" fillId="2" borderId="0" xfId="4" applyNumberFormat="1" applyFont="1" applyFill="1" applyAlignment="1" applyProtection="1">
      <alignment horizontal="center"/>
      <protection locked="0"/>
    </xf>
    <xf numFmtId="2" fontId="8" fillId="2" borderId="0" xfId="2" applyNumberFormat="1" applyFont="1" applyFill="1" applyAlignment="1" applyProtection="1">
      <alignment horizontal="center" vertical="center"/>
      <protection hidden="1"/>
    </xf>
    <xf numFmtId="1" fontId="8" fillId="2" borderId="0" xfId="5" applyNumberFormat="1" applyFont="1" applyFill="1" applyBorder="1" applyAlignment="1" applyProtection="1">
      <alignment horizontal="center"/>
      <protection locked="0"/>
    </xf>
    <xf numFmtId="1" fontId="8" fillId="2" borderId="2" xfId="5" applyNumberFormat="1" applyFont="1" applyFill="1" applyBorder="1" applyAlignment="1" applyProtection="1">
      <alignment horizontal="center"/>
      <protection locked="0"/>
    </xf>
    <xf numFmtId="2" fontId="52" fillId="2" borderId="0" xfId="2" applyNumberFormat="1" applyFont="1" applyFill="1" applyAlignment="1" applyProtection="1">
      <alignment horizontal="center"/>
      <protection hidden="1"/>
    </xf>
    <xf numFmtId="0" fontId="1" fillId="2" borderId="0" xfId="2" applyFont="1" applyFill="1" applyProtection="1">
      <protection hidden="1"/>
    </xf>
    <xf numFmtId="0" fontId="1" fillId="2" borderId="0" xfId="2" applyFont="1" applyFill="1" applyAlignment="1" applyProtection="1">
      <alignment horizontal="center"/>
      <protection hidden="1"/>
    </xf>
    <xf numFmtId="2" fontId="1" fillId="2" borderId="0" xfId="2" applyNumberFormat="1" applyFont="1" applyFill="1" applyAlignment="1" applyProtection="1">
      <alignment horizontal="center"/>
      <protection hidden="1"/>
    </xf>
    <xf numFmtId="0" fontId="3" fillId="0" borderId="7" xfId="8" applyFont="1" applyBorder="1" applyAlignment="1" applyProtection="1">
      <alignment vertical="center" wrapText="1"/>
      <protection locked="0"/>
    </xf>
    <xf numFmtId="0" fontId="3" fillId="0" borderId="9" xfId="8" applyFont="1" applyBorder="1" applyAlignment="1" applyProtection="1">
      <alignment vertical="center" wrapText="1"/>
      <protection locked="0"/>
    </xf>
    <xf numFmtId="0" fontId="3" fillId="0" borderId="8" xfId="8" applyFont="1" applyBorder="1" applyAlignment="1" applyProtection="1">
      <alignment vertical="center"/>
      <protection locked="0"/>
    </xf>
    <xf numFmtId="0" fontId="5" fillId="0" borderId="8" xfId="8" applyFont="1" applyBorder="1" applyAlignment="1" applyProtection="1">
      <alignment vertical="center"/>
      <protection locked="0"/>
    </xf>
    <xf numFmtId="0" fontId="3" fillId="0" borderId="7" xfId="8" applyFont="1" applyBorder="1" applyAlignment="1" applyProtection="1">
      <alignment vertical="center"/>
      <protection locked="0"/>
    </xf>
    <xf numFmtId="0" fontId="5" fillId="0" borderId="9" xfId="8" applyFont="1" applyBorder="1" applyAlignment="1" applyProtection="1">
      <alignment vertical="center"/>
      <protection locked="0"/>
    </xf>
    <xf numFmtId="0" fontId="25" fillId="0" borderId="11" xfId="8" applyFont="1" applyBorder="1" applyAlignment="1" applyProtection="1">
      <alignment horizontal="center" vertical="center" wrapText="1"/>
      <protection locked="0"/>
    </xf>
    <xf numFmtId="0" fontId="25" fillId="0" borderId="5" xfId="8" applyFont="1" applyBorder="1" applyAlignment="1" applyProtection="1">
      <alignment horizontal="center" vertical="center" wrapText="1"/>
      <protection locked="0"/>
    </xf>
    <xf numFmtId="0" fontId="5" fillId="0" borderId="0" xfId="8" applyFont="1" applyAlignment="1" applyProtection="1">
      <alignment vertical="center"/>
      <protection locked="0"/>
    </xf>
    <xf numFmtId="0" fontId="46" fillId="0" borderId="0" xfId="8" applyFont="1" applyAlignment="1" applyProtection="1">
      <alignment vertical="center"/>
      <protection locked="0"/>
    </xf>
    <xf numFmtId="0" fontId="5" fillId="0" borderId="11" xfId="8" applyFont="1" applyBorder="1" applyAlignment="1" applyProtection="1">
      <alignment vertical="center"/>
      <protection locked="0"/>
    </xf>
    <xf numFmtId="0" fontId="5" fillId="0" borderId="5" xfId="8" applyFont="1" applyBorder="1" applyAlignment="1" applyProtection="1">
      <alignment vertical="center"/>
      <protection locked="0"/>
    </xf>
    <xf numFmtId="0" fontId="3" fillId="0" borderId="12" xfId="8" applyFont="1" applyBorder="1" applyAlignment="1" applyProtection="1">
      <alignment vertical="center" wrapText="1"/>
      <protection locked="0"/>
    </xf>
    <xf numFmtId="0" fontId="3" fillId="0" borderId="13" xfId="8" applyFont="1" applyBorder="1" applyAlignment="1" applyProtection="1">
      <alignment vertical="center" wrapText="1"/>
      <protection locked="0"/>
    </xf>
    <xf numFmtId="0" fontId="3" fillId="0" borderId="15" xfId="8" applyFont="1" applyBorder="1" applyAlignment="1" applyProtection="1">
      <alignment horizontal="center" vertical="center" wrapText="1"/>
      <protection locked="0"/>
    </xf>
    <xf numFmtId="0" fontId="5" fillId="0" borderId="7" xfId="8" applyFont="1" applyBorder="1" applyAlignment="1" applyProtection="1">
      <alignment vertical="center"/>
      <protection locked="0"/>
    </xf>
    <xf numFmtId="0" fontId="3" fillId="0" borderId="12" xfId="8" applyFont="1" applyBorder="1" applyAlignment="1" applyProtection="1">
      <alignment vertical="center"/>
      <protection locked="0"/>
    </xf>
    <xf numFmtId="0" fontId="46" fillId="0" borderId="15" xfId="8" applyFont="1" applyBorder="1" applyAlignment="1" applyProtection="1">
      <alignment horizontal="center" vertical="center" wrapText="1"/>
      <protection locked="0"/>
    </xf>
    <xf numFmtId="0" fontId="5" fillId="0" borderId="15" xfId="8" applyFont="1" applyBorder="1" applyAlignment="1" applyProtection="1">
      <alignment horizontal="center" vertical="center" wrapText="1"/>
      <protection locked="0"/>
    </xf>
    <xf numFmtId="0" fontId="3" fillId="0" borderId="11" xfId="8" applyFont="1" applyBorder="1" applyAlignment="1" applyProtection="1">
      <alignment vertical="center"/>
      <protection locked="0"/>
    </xf>
    <xf numFmtId="0" fontId="46" fillId="0" borderId="5" xfId="8" applyFont="1" applyBorder="1" applyAlignment="1" applyProtection="1">
      <alignment vertical="center"/>
      <protection locked="0"/>
    </xf>
    <xf numFmtId="17" fontId="46" fillId="0" borderId="15" xfId="8" applyNumberFormat="1" applyFont="1" applyBorder="1" applyAlignment="1" applyProtection="1">
      <alignment horizontal="center" vertical="center" wrapText="1"/>
      <protection locked="0"/>
    </xf>
    <xf numFmtId="0" fontId="5" fillId="0" borderId="1" xfId="8" applyFont="1" applyBorder="1" applyAlignment="1" applyProtection="1">
      <alignment vertical="center"/>
      <protection locked="0"/>
    </xf>
    <xf numFmtId="0" fontId="5" fillId="0" borderId="4" xfId="8" applyFont="1" applyBorder="1" applyAlignment="1" applyProtection="1">
      <alignment vertical="center"/>
      <protection locked="0"/>
    </xf>
    <xf numFmtId="0" fontId="13" fillId="0" borderId="11" xfId="8" applyFont="1" applyBorder="1" applyAlignment="1" applyProtection="1">
      <alignment horizontal="center" vertical="center" wrapText="1"/>
      <protection locked="0"/>
    </xf>
    <xf numFmtId="0" fontId="13" fillId="0" borderId="5" xfId="8" applyFont="1" applyBorder="1" applyAlignment="1" applyProtection="1">
      <alignment horizontal="center" vertical="center" wrapText="1"/>
      <protection locked="0"/>
    </xf>
    <xf numFmtId="0" fontId="13" fillId="0" borderId="1" xfId="8" applyFont="1" applyBorder="1" applyAlignment="1" applyProtection="1">
      <alignment horizontal="center" vertical="center" wrapText="1"/>
      <protection locked="0"/>
    </xf>
    <xf numFmtId="0" fontId="13" fillId="0" borderId="4" xfId="8" applyFont="1" applyBorder="1" applyAlignment="1" applyProtection="1">
      <alignment horizontal="center" vertical="center" wrapText="1"/>
      <protection locked="0"/>
    </xf>
    <xf numFmtId="0" fontId="1" fillId="0" borderId="0" xfId="2" applyFont="1" applyProtection="1">
      <protection hidden="1"/>
    </xf>
    <xf numFmtId="0" fontId="5" fillId="3" borderId="0" xfId="0" applyFont="1" applyFill="1" applyProtection="1">
      <protection hidden="1"/>
    </xf>
    <xf numFmtId="0" fontId="5" fillId="2" borderId="0" xfId="0" applyFont="1" applyFill="1" applyProtection="1">
      <protection hidden="1"/>
    </xf>
    <xf numFmtId="0" fontId="37" fillId="2" borderId="0" xfId="0" applyFont="1" applyFill="1" applyProtection="1">
      <protection hidden="1"/>
    </xf>
    <xf numFmtId="0" fontId="1" fillId="2" borderId="0" xfId="0" applyFont="1" applyFill="1" applyProtection="1">
      <protection hidden="1"/>
    </xf>
    <xf numFmtId="0" fontId="1" fillId="0" borderId="0" xfId="2" applyFont="1" applyBorder="1" applyProtection="1">
      <protection hidden="1"/>
    </xf>
    <xf numFmtId="0" fontId="1" fillId="2" borderId="0" xfId="0" applyFont="1" applyFill="1" applyAlignment="1" applyProtection="1">
      <alignment horizontal="center"/>
      <protection hidden="1"/>
    </xf>
    <xf numFmtId="2" fontId="1" fillId="2" borderId="0" xfId="5" applyNumberFormat="1" applyFont="1" applyFill="1" applyAlignment="1" applyProtection="1">
      <alignment horizontal="center"/>
      <protection hidden="1"/>
    </xf>
    <xf numFmtId="4" fontId="1" fillId="2" borderId="0" xfId="5" quotePrefix="1" applyNumberFormat="1" applyFont="1" applyFill="1" applyAlignment="1" applyProtection="1">
      <alignment horizontal="center"/>
      <protection locked="0"/>
    </xf>
    <xf numFmtId="4" fontId="6" fillId="2" borderId="0" xfId="2" applyNumberFormat="1" applyFont="1" applyFill="1" applyBorder="1" applyAlignment="1" applyProtection="1">
      <alignment horizontal="center" vertical="center" wrapText="1"/>
      <protection hidden="1"/>
    </xf>
    <xf numFmtId="4" fontId="6" fillId="2" borderId="0" xfId="2" quotePrefix="1" applyNumberFormat="1" applyFont="1" applyFill="1" applyBorder="1" applyAlignment="1" applyProtection="1">
      <alignment horizontal="center" vertical="center" wrapText="1"/>
      <protection hidden="1"/>
    </xf>
    <xf numFmtId="4" fontId="54" fillId="2" borderId="0" xfId="2" applyNumberFormat="1" applyFont="1" applyFill="1" applyBorder="1" applyAlignment="1" applyProtection="1">
      <alignment horizontal="center" vertical="center" wrapText="1"/>
      <protection locked="0"/>
    </xf>
    <xf numFmtId="0" fontId="3" fillId="3" borderId="7" xfId="0" applyFont="1" applyFill="1" applyBorder="1" applyAlignment="1" applyProtection="1">
      <alignment horizontal="center"/>
      <protection hidden="1"/>
    </xf>
    <xf numFmtId="0" fontId="3" fillId="3" borderId="8" xfId="0" applyFont="1" applyFill="1" applyBorder="1" applyAlignment="1" applyProtection="1">
      <alignment horizontal="center"/>
      <protection hidden="1"/>
    </xf>
    <xf numFmtId="0" fontId="3" fillId="3" borderId="9" xfId="0" applyFont="1" applyFill="1" applyBorder="1" applyAlignment="1" applyProtection="1">
      <alignment horizontal="center"/>
      <protection hidden="1"/>
    </xf>
    <xf numFmtId="0" fontId="3" fillId="3" borderId="1" xfId="0" applyFont="1" applyFill="1" applyBorder="1" applyAlignment="1" applyProtection="1">
      <alignment horizontal="center"/>
      <protection hidden="1"/>
    </xf>
    <xf numFmtId="0" fontId="3" fillId="3" borderId="2" xfId="0" applyFont="1" applyFill="1" applyBorder="1" applyAlignment="1" applyProtection="1">
      <alignment horizontal="center"/>
      <protection hidden="1"/>
    </xf>
    <xf numFmtId="0" fontId="3" fillId="3" borderId="4" xfId="0" applyFont="1" applyFill="1" applyBorder="1" applyAlignment="1" applyProtection="1">
      <alignment horizontal="center"/>
      <protection hidden="1"/>
    </xf>
    <xf numFmtId="0" fontId="0" fillId="2" borderId="0" xfId="0" applyFill="1" applyAlignment="1" applyProtection="1">
      <alignment horizontal="left"/>
      <protection hidden="1"/>
    </xf>
    <xf numFmtId="0" fontId="26" fillId="2" borderId="0" xfId="0" applyFont="1" applyFill="1" applyAlignment="1" applyProtection="1">
      <alignment horizontal="left"/>
      <protection hidden="1"/>
    </xf>
    <xf numFmtId="0" fontId="5" fillId="2" borderId="11" xfId="2" applyFont="1" applyFill="1" applyBorder="1" applyAlignment="1" applyProtection="1">
      <alignment horizontal="center"/>
      <protection hidden="1"/>
    </xf>
    <xf numFmtId="0" fontId="5" fillId="2" borderId="5" xfId="2" applyFont="1" applyFill="1" applyBorder="1" applyAlignment="1" applyProtection="1">
      <alignment horizontal="center"/>
      <protection hidden="1"/>
    </xf>
    <xf numFmtId="0" fontId="54" fillId="2" borderId="0" xfId="2" applyFont="1" applyFill="1" applyAlignment="1" applyProtection="1">
      <alignment horizontal="left"/>
      <protection locked="0"/>
    </xf>
    <xf numFmtId="0" fontId="3" fillId="2" borderId="10" xfId="5" applyFont="1" applyFill="1" applyBorder="1" applyAlignment="1" applyProtection="1">
      <alignment horizontal="center" vertical="center"/>
      <protection hidden="1"/>
    </xf>
    <xf numFmtId="0" fontId="3" fillId="2" borderId="6" xfId="5" applyFont="1" applyFill="1" applyBorder="1" applyAlignment="1" applyProtection="1">
      <alignment horizontal="center" vertical="center"/>
      <protection hidden="1"/>
    </xf>
    <xf numFmtId="0" fontId="3" fillId="2" borderId="3" xfId="5" applyFont="1" applyFill="1" applyBorder="1" applyAlignment="1" applyProtection="1">
      <alignment horizontal="center" vertical="center"/>
      <protection hidden="1"/>
    </xf>
    <xf numFmtId="0" fontId="3" fillId="2" borderId="15" xfId="5" applyFont="1" applyFill="1" applyBorder="1" applyAlignment="1" applyProtection="1">
      <alignment horizontal="center" vertical="center"/>
      <protection hidden="1"/>
    </xf>
    <xf numFmtId="0" fontId="3" fillId="2" borderId="12" xfId="5" applyFont="1" applyFill="1" applyBorder="1" applyAlignment="1" applyProtection="1">
      <alignment horizontal="center" vertical="center"/>
      <protection hidden="1"/>
    </xf>
    <xf numFmtId="0" fontId="3" fillId="2" borderId="13" xfId="5" applyFont="1" applyFill="1" applyBorder="1" applyAlignment="1" applyProtection="1">
      <alignment horizontal="center" vertical="center"/>
      <protection hidden="1"/>
    </xf>
    <xf numFmtId="0" fontId="3" fillId="2" borderId="36" xfId="5" applyFont="1" applyFill="1" applyBorder="1" applyAlignment="1" applyProtection="1">
      <alignment horizontal="center" vertical="center"/>
      <protection hidden="1"/>
    </xf>
    <xf numFmtId="0" fontId="3" fillId="2" borderId="37" xfId="5" applyFont="1" applyFill="1" applyBorder="1" applyAlignment="1" applyProtection="1">
      <alignment horizontal="center" vertical="center"/>
      <protection hidden="1"/>
    </xf>
    <xf numFmtId="0" fontId="3" fillId="2" borderId="38" xfId="5" applyFont="1" applyFill="1" applyBorder="1" applyAlignment="1" applyProtection="1">
      <alignment horizontal="center" vertical="center"/>
      <protection hidden="1"/>
    </xf>
    <xf numFmtId="0" fontId="4" fillId="2" borderId="2" xfId="2" applyFont="1" applyFill="1" applyBorder="1" applyAlignment="1" applyProtection="1">
      <alignment horizontal="center" vertical="center"/>
      <protection hidden="1"/>
    </xf>
    <xf numFmtId="0" fontId="5" fillId="2" borderId="7" xfId="2" applyFont="1" applyFill="1" applyBorder="1" applyAlignment="1" applyProtection="1">
      <alignment horizontal="center"/>
      <protection hidden="1"/>
    </xf>
    <xf numFmtId="0" fontId="5" fillId="2" borderId="9" xfId="2" applyFont="1" applyFill="1" applyBorder="1" applyAlignment="1" applyProtection="1">
      <alignment horizontal="center"/>
      <protection hidden="1"/>
    </xf>
    <xf numFmtId="0" fontId="5" fillId="2" borderId="8" xfId="2" applyFont="1" applyFill="1" applyBorder="1" applyAlignment="1" applyProtection="1">
      <alignment horizontal="center"/>
      <protection hidden="1"/>
    </xf>
    <xf numFmtId="0" fontId="5" fillId="2" borderId="2" xfId="2" applyFont="1" applyFill="1" applyBorder="1" applyAlignment="1" applyProtection="1">
      <alignment horizontal="center"/>
      <protection hidden="1"/>
    </xf>
    <xf numFmtId="0" fontId="5" fillId="2" borderId="1" xfId="2" applyFont="1" applyFill="1" applyBorder="1" applyAlignment="1" applyProtection="1">
      <alignment horizontal="center"/>
      <protection hidden="1"/>
    </xf>
    <xf numFmtId="0" fontId="5" fillId="2" borderId="4" xfId="2" applyFont="1" applyFill="1" applyBorder="1" applyAlignment="1" applyProtection="1">
      <alignment horizontal="center"/>
      <protection hidden="1"/>
    </xf>
    <xf numFmtId="0" fontId="5" fillId="2" borderId="27" xfId="0" applyFont="1" applyFill="1" applyBorder="1" applyAlignment="1" applyProtection="1">
      <alignment horizontal="center" vertical="center"/>
      <protection hidden="1"/>
    </xf>
    <xf numFmtId="0" fontId="5" fillId="2" borderId="34" xfId="0" applyFont="1" applyFill="1" applyBorder="1" applyAlignment="1" applyProtection="1">
      <alignment horizontal="center" vertical="center"/>
      <protection hidden="1"/>
    </xf>
    <xf numFmtId="0" fontId="5" fillId="2" borderId="35" xfId="0" applyFont="1" applyFill="1" applyBorder="1" applyAlignment="1" applyProtection="1">
      <alignment horizontal="center" vertical="center"/>
      <protection hidden="1"/>
    </xf>
    <xf numFmtId="0" fontId="37" fillId="0" borderId="2" xfId="2" applyFont="1" applyBorder="1" applyAlignment="1" applyProtection="1">
      <alignment horizontal="center"/>
      <protection hidden="1"/>
    </xf>
    <xf numFmtId="0" fontId="3" fillId="2" borderId="0" xfId="2" applyFont="1" applyFill="1" applyAlignment="1" applyProtection="1">
      <alignment horizontal="right"/>
      <protection hidden="1"/>
    </xf>
    <xf numFmtId="4" fontId="29" fillId="2" borderId="0" xfId="4" applyNumberFormat="1" applyFont="1" applyFill="1" applyAlignment="1" applyProtection="1">
      <alignment horizontal="center"/>
      <protection hidden="1"/>
    </xf>
    <xf numFmtId="4" fontId="53" fillId="2" borderId="0" xfId="2" applyNumberFormat="1" applyFont="1" applyFill="1" applyBorder="1" applyAlignment="1" applyProtection="1">
      <alignment horizontal="center" vertical="center" wrapText="1"/>
      <protection hidden="1"/>
    </xf>
    <xf numFmtId="0" fontId="33" fillId="2" borderId="0" xfId="2" applyFont="1" applyFill="1" applyAlignment="1" applyProtection="1">
      <alignment horizontal="right"/>
      <protection hidden="1"/>
    </xf>
    <xf numFmtId="0" fontId="54" fillId="2" borderId="0" xfId="2" applyFont="1" applyFill="1" applyAlignment="1" applyProtection="1">
      <alignment horizontal="left" vertical="center"/>
      <protection locked="0"/>
    </xf>
  </cellXfs>
  <cellStyles count="9">
    <cellStyle name="Hipervínculo_Losa Colaborante_0301_ Rev_A_En Trabajo" xfId="1" xr:uid="{00000000-0005-0000-0000-000000000000}"/>
    <cellStyle name="Normal" xfId="0" builtinId="0"/>
    <cellStyle name="Normal 5" xfId="8" xr:uid="{00000000-0005-0000-0000-000002000000}"/>
    <cellStyle name="Normal_Diseño Estanques T-2101&amp;T-2102 Rev.2" xfId="2" xr:uid="{00000000-0005-0000-0000-000004000000}"/>
    <cellStyle name="Normal_Diseño Estanques T-2107 Rev.2" xfId="3" xr:uid="{00000000-0005-0000-0000-000005000000}"/>
    <cellStyle name="Normal_Diseño Estanques T-2108&amp;T-2109 Rev.2" xfId="4" xr:uid="{00000000-0005-0000-0000-000006000000}"/>
    <cellStyle name="Normal_Diseño Estanques T-2321&amp;T-2322 Rev.1" xfId="5" xr:uid="{00000000-0005-0000-0000-000007000000}"/>
    <cellStyle name="Normal_Est" xfId="6" xr:uid="{00000000-0005-0000-0000-000008000000}"/>
    <cellStyle name="Porcentaje" xfId="7" builtinId="5"/>
  </cellStyles>
  <dxfs count="4">
    <dxf>
      <font>
        <condense val="0"/>
        <extend val="0"/>
        <color indexed="9"/>
      </font>
    </dxf>
    <dxf>
      <font>
        <strike val="0"/>
        <condense val="0"/>
        <extend val="0"/>
        <color indexed="9"/>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C60A-4C5A-A252-7F0932569841}"/>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C60A-4C5A-A252-7F0932569841}"/>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C60A-4C5A-A252-7F0932569841}"/>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C60A-4C5A-A252-7F0932569841}"/>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C60A-4C5A-A252-7F0932569841}"/>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C60A-4C5A-A252-7F0932569841}"/>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C60A-4C5A-A252-7F0932569841}"/>
            </c:ext>
          </c:extLst>
        </c:ser>
        <c:dLbls>
          <c:showLegendKey val="0"/>
          <c:showVal val="0"/>
          <c:showCatName val="0"/>
          <c:showSerName val="0"/>
          <c:showPercent val="0"/>
          <c:showBubbleSize val="0"/>
        </c:dLbls>
        <c:axId val="103473536"/>
        <c:axId val="103475456"/>
      </c:scatterChart>
      <c:valAx>
        <c:axId val="103473536"/>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475456"/>
        <c:crosses val="autoZero"/>
        <c:crossBetween val="midCat"/>
      </c:valAx>
      <c:valAx>
        <c:axId val="103475456"/>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473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F11A-413A-BD4C-78C1EE58644F}"/>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F11A-413A-BD4C-78C1EE58644F}"/>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F11A-413A-BD4C-78C1EE58644F}"/>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F11A-413A-BD4C-78C1EE58644F}"/>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F11A-413A-BD4C-78C1EE58644F}"/>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F11A-413A-BD4C-78C1EE58644F}"/>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F11A-413A-BD4C-78C1EE58644F}"/>
            </c:ext>
          </c:extLst>
        </c:ser>
        <c:dLbls>
          <c:showLegendKey val="0"/>
          <c:showVal val="0"/>
          <c:showCatName val="0"/>
          <c:showSerName val="0"/>
          <c:showPercent val="0"/>
          <c:showBubbleSize val="0"/>
        </c:dLbls>
        <c:axId val="103794944"/>
        <c:axId val="103807232"/>
      </c:scatterChart>
      <c:valAx>
        <c:axId val="103794944"/>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807232"/>
        <c:crosses val="autoZero"/>
        <c:crossBetween val="midCat"/>
      </c:valAx>
      <c:valAx>
        <c:axId val="103807232"/>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37949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E41B-4322-A7C9-D7D5D843C8C7}"/>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E41B-4322-A7C9-D7D5D843C8C7}"/>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E41B-4322-A7C9-D7D5D843C8C7}"/>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E41B-4322-A7C9-D7D5D843C8C7}"/>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E41B-4322-A7C9-D7D5D843C8C7}"/>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E41B-4322-A7C9-D7D5D843C8C7}"/>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E41B-4322-A7C9-D7D5D843C8C7}"/>
            </c:ext>
          </c:extLst>
        </c:ser>
        <c:dLbls>
          <c:showLegendKey val="0"/>
          <c:showVal val="0"/>
          <c:showCatName val="0"/>
          <c:showSerName val="0"/>
          <c:showPercent val="0"/>
          <c:showBubbleSize val="0"/>
        </c:dLbls>
        <c:axId val="202774016"/>
        <c:axId val="202788224"/>
      </c:scatterChart>
      <c:valAx>
        <c:axId val="202774016"/>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02788224"/>
        <c:crosses val="autoZero"/>
        <c:crossBetween val="midCat"/>
      </c:valAx>
      <c:valAx>
        <c:axId val="20278822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0277401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AC22-442B-B5A7-DA1721A8F7BB}"/>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AC22-442B-B5A7-DA1721A8F7BB}"/>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AC22-442B-B5A7-DA1721A8F7BB}"/>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AC22-442B-B5A7-DA1721A8F7BB}"/>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AC22-442B-B5A7-DA1721A8F7BB}"/>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AC22-442B-B5A7-DA1721A8F7BB}"/>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AC22-442B-B5A7-DA1721A8F7BB}"/>
            </c:ext>
          </c:extLst>
        </c:ser>
        <c:dLbls>
          <c:showLegendKey val="0"/>
          <c:showVal val="0"/>
          <c:showCatName val="0"/>
          <c:showSerName val="0"/>
          <c:showPercent val="0"/>
          <c:showBubbleSize val="0"/>
        </c:dLbls>
        <c:axId val="211670144"/>
        <c:axId val="211671680"/>
      </c:scatterChart>
      <c:valAx>
        <c:axId val="211670144"/>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11671680"/>
        <c:crosses val="autoZero"/>
        <c:crossBetween val="midCat"/>
      </c:valAx>
      <c:valAx>
        <c:axId val="211671680"/>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2116701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Continuo'!$J$451:$J$465</c:f>
            </c:numRef>
          </c:xVal>
          <c:yVal>
            <c:numRef>
              <c:f>'Estanque Anillo Continuo'!$K$451:$K$465</c:f>
            </c:numRef>
          </c:yVal>
          <c:smooth val="0"/>
          <c:extLst>
            <c:ext xmlns:c16="http://schemas.microsoft.com/office/drawing/2014/chart" uri="{C3380CC4-5D6E-409C-BE32-E72D297353CC}">
              <c16:uniqueId val="{00000000-1A10-4EC3-B1FA-F22F0A047793}"/>
            </c:ext>
          </c:extLst>
        </c:ser>
        <c:ser>
          <c:idx val="1"/>
          <c:order val="1"/>
          <c:xVal>
            <c:numRef>
              <c:f>'Estanque Anillo Continuo'!$J$451:$J$465</c:f>
            </c:numRef>
          </c:xVal>
          <c:yVal>
            <c:numRef>
              <c:f>'Estanque Anillo Continuo'!$L$451:$L$465</c:f>
            </c:numRef>
          </c:yVal>
          <c:smooth val="0"/>
          <c:extLst>
            <c:ext xmlns:c16="http://schemas.microsoft.com/office/drawing/2014/chart" uri="{C3380CC4-5D6E-409C-BE32-E72D297353CC}">
              <c16:uniqueId val="{00000001-1A10-4EC3-B1FA-F22F0A047793}"/>
            </c:ext>
          </c:extLst>
        </c:ser>
        <c:ser>
          <c:idx val="2"/>
          <c:order val="2"/>
          <c:xVal>
            <c:numRef>
              <c:f>'Estanque Anillo Continuo'!$J$451:$J$465</c:f>
            </c:numRef>
          </c:xVal>
          <c:yVal>
            <c:numRef>
              <c:f>'Estanque Anillo Continuo'!$M$451:$M$465</c:f>
            </c:numRef>
          </c:yVal>
          <c:smooth val="0"/>
          <c:extLst>
            <c:ext xmlns:c16="http://schemas.microsoft.com/office/drawing/2014/chart" uri="{C3380CC4-5D6E-409C-BE32-E72D297353CC}">
              <c16:uniqueId val="{00000002-1A10-4EC3-B1FA-F22F0A047793}"/>
            </c:ext>
          </c:extLst>
        </c:ser>
        <c:ser>
          <c:idx val="3"/>
          <c:order val="3"/>
          <c:xVal>
            <c:numRef>
              <c:f>'Estanque Anillo Continuo'!$J$451:$J$465</c:f>
            </c:numRef>
          </c:xVal>
          <c:yVal>
            <c:numRef>
              <c:f>'Estanque Anillo Continuo'!$N$451:$N$465</c:f>
            </c:numRef>
          </c:yVal>
          <c:smooth val="0"/>
          <c:extLst>
            <c:ext xmlns:c16="http://schemas.microsoft.com/office/drawing/2014/chart" uri="{C3380CC4-5D6E-409C-BE32-E72D297353CC}">
              <c16:uniqueId val="{00000003-1A10-4EC3-B1FA-F22F0A047793}"/>
            </c:ext>
          </c:extLst>
        </c:ser>
        <c:ser>
          <c:idx val="4"/>
          <c:order val="4"/>
          <c:xVal>
            <c:numRef>
              <c:f>'Estanque Anillo Continuo'!$J$451:$J$465</c:f>
            </c:numRef>
          </c:xVal>
          <c:yVal>
            <c:numRef>
              <c:f>'Estanque Anillo Continuo'!$O$451:$O$465</c:f>
            </c:numRef>
          </c:yVal>
          <c:smooth val="0"/>
          <c:extLst>
            <c:ext xmlns:c16="http://schemas.microsoft.com/office/drawing/2014/chart" uri="{C3380CC4-5D6E-409C-BE32-E72D297353CC}">
              <c16:uniqueId val="{00000004-1A10-4EC3-B1FA-F22F0A047793}"/>
            </c:ext>
          </c:extLst>
        </c:ser>
        <c:ser>
          <c:idx val="5"/>
          <c:order val="5"/>
          <c:xVal>
            <c:numRef>
              <c:f>'Estanque Anillo Continuo'!$J$451:$J$465</c:f>
            </c:numRef>
          </c:xVal>
          <c:yVal>
            <c:numRef>
              <c:f>'Estanque Anillo Continuo'!$P$451:$P$465</c:f>
            </c:numRef>
          </c:yVal>
          <c:smooth val="0"/>
          <c:extLst>
            <c:ext xmlns:c16="http://schemas.microsoft.com/office/drawing/2014/chart" uri="{C3380CC4-5D6E-409C-BE32-E72D297353CC}">
              <c16:uniqueId val="{00000005-1A10-4EC3-B1FA-F22F0A047793}"/>
            </c:ext>
          </c:extLst>
        </c:ser>
        <c:ser>
          <c:idx val="6"/>
          <c:order val="6"/>
          <c:xVal>
            <c:numRef>
              <c:f>'Estanque Anillo Continuo'!$J$451:$J$465</c:f>
            </c:numRef>
          </c:xVal>
          <c:yVal>
            <c:numRef>
              <c:f>'Estanque Anillo Continuo'!$Q$451:$Q$465</c:f>
            </c:numRef>
          </c:yVal>
          <c:smooth val="0"/>
          <c:extLst>
            <c:ext xmlns:c16="http://schemas.microsoft.com/office/drawing/2014/chart" uri="{C3380CC4-5D6E-409C-BE32-E72D297353CC}">
              <c16:uniqueId val="{00000006-1A10-4EC3-B1FA-F22F0A047793}"/>
            </c:ext>
          </c:extLst>
        </c:ser>
        <c:dLbls>
          <c:showLegendKey val="0"/>
          <c:showVal val="0"/>
          <c:showCatName val="0"/>
          <c:showSerName val="0"/>
          <c:showPercent val="0"/>
          <c:showBubbleSize val="0"/>
        </c:dLbls>
        <c:axId val="104077952"/>
        <c:axId val="104145664"/>
      </c:scatterChart>
      <c:valAx>
        <c:axId val="104077952"/>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145664"/>
        <c:crosses val="autoZero"/>
        <c:crossBetween val="midCat"/>
      </c:valAx>
      <c:valAx>
        <c:axId val="104145664"/>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07795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xVal>
            <c:numRef>
              <c:f>'Estanque Anillo Continuo'!$J$470:$J$489</c:f>
            </c:numRef>
          </c:xVal>
          <c:yVal>
            <c:numRef>
              <c:f>'Estanque Anillo Continuo'!$K$470:$K$489</c:f>
            </c:numRef>
          </c:yVal>
          <c:smooth val="0"/>
          <c:extLst>
            <c:ext xmlns:c16="http://schemas.microsoft.com/office/drawing/2014/chart" uri="{C3380CC4-5D6E-409C-BE32-E72D297353CC}">
              <c16:uniqueId val="{00000000-9455-483C-8DFA-3B2EB1D10C1A}"/>
            </c:ext>
          </c:extLst>
        </c:ser>
        <c:ser>
          <c:idx val="1"/>
          <c:order val="1"/>
          <c:xVal>
            <c:numRef>
              <c:f>'Estanque Anillo Continuo'!$J$470:$J$489</c:f>
            </c:numRef>
          </c:xVal>
          <c:yVal>
            <c:numRef>
              <c:f>'Estanque Anillo Continuo'!$L$470:$L$489</c:f>
            </c:numRef>
          </c:yVal>
          <c:smooth val="0"/>
          <c:extLst>
            <c:ext xmlns:c16="http://schemas.microsoft.com/office/drawing/2014/chart" uri="{C3380CC4-5D6E-409C-BE32-E72D297353CC}">
              <c16:uniqueId val="{00000001-9455-483C-8DFA-3B2EB1D10C1A}"/>
            </c:ext>
          </c:extLst>
        </c:ser>
        <c:ser>
          <c:idx val="2"/>
          <c:order val="2"/>
          <c:xVal>
            <c:numRef>
              <c:f>'Estanque Anillo Continuo'!$J$470:$J$489</c:f>
            </c:numRef>
          </c:xVal>
          <c:yVal>
            <c:numRef>
              <c:f>'Estanque Anillo Continuo'!$M$470:$M$489</c:f>
            </c:numRef>
          </c:yVal>
          <c:smooth val="0"/>
          <c:extLst>
            <c:ext xmlns:c16="http://schemas.microsoft.com/office/drawing/2014/chart" uri="{C3380CC4-5D6E-409C-BE32-E72D297353CC}">
              <c16:uniqueId val="{00000002-9455-483C-8DFA-3B2EB1D10C1A}"/>
            </c:ext>
          </c:extLst>
        </c:ser>
        <c:ser>
          <c:idx val="3"/>
          <c:order val="3"/>
          <c:xVal>
            <c:numRef>
              <c:f>'Estanque Anillo Continuo'!$J$470:$J$489</c:f>
            </c:numRef>
          </c:xVal>
          <c:yVal>
            <c:numRef>
              <c:f>'Estanque Anillo Continuo'!$N$470:$N$489</c:f>
            </c:numRef>
          </c:yVal>
          <c:smooth val="0"/>
          <c:extLst>
            <c:ext xmlns:c16="http://schemas.microsoft.com/office/drawing/2014/chart" uri="{C3380CC4-5D6E-409C-BE32-E72D297353CC}">
              <c16:uniqueId val="{00000003-9455-483C-8DFA-3B2EB1D10C1A}"/>
            </c:ext>
          </c:extLst>
        </c:ser>
        <c:ser>
          <c:idx val="4"/>
          <c:order val="4"/>
          <c:xVal>
            <c:numRef>
              <c:f>'Estanque Anillo Continuo'!$J$470:$J$489</c:f>
            </c:numRef>
          </c:xVal>
          <c:yVal>
            <c:numRef>
              <c:f>'Estanque Anillo Continuo'!$O$470:$O$489</c:f>
            </c:numRef>
          </c:yVal>
          <c:smooth val="0"/>
          <c:extLst>
            <c:ext xmlns:c16="http://schemas.microsoft.com/office/drawing/2014/chart" uri="{C3380CC4-5D6E-409C-BE32-E72D297353CC}">
              <c16:uniqueId val="{00000004-9455-483C-8DFA-3B2EB1D10C1A}"/>
            </c:ext>
          </c:extLst>
        </c:ser>
        <c:ser>
          <c:idx val="5"/>
          <c:order val="5"/>
          <c:xVal>
            <c:numRef>
              <c:f>'Estanque Anillo Continuo'!$J$470:$J$489</c:f>
            </c:numRef>
          </c:xVal>
          <c:yVal>
            <c:numRef>
              <c:f>'Estanque Anillo Continuo'!$P$470:$P$489</c:f>
            </c:numRef>
          </c:yVal>
          <c:smooth val="0"/>
          <c:extLst>
            <c:ext xmlns:c16="http://schemas.microsoft.com/office/drawing/2014/chart" uri="{C3380CC4-5D6E-409C-BE32-E72D297353CC}">
              <c16:uniqueId val="{00000005-9455-483C-8DFA-3B2EB1D10C1A}"/>
            </c:ext>
          </c:extLst>
        </c:ser>
        <c:ser>
          <c:idx val="6"/>
          <c:order val="6"/>
          <c:xVal>
            <c:numRef>
              <c:f>'Estanque Anillo Continuo'!$J$470:$J$489</c:f>
            </c:numRef>
          </c:xVal>
          <c:yVal>
            <c:numRef>
              <c:f>'Estanque Anillo Continuo'!$Q$470:$Q$489</c:f>
            </c:numRef>
          </c:yVal>
          <c:smooth val="0"/>
          <c:extLst>
            <c:ext xmlns:c16="http://schemas.microsoft.com/office/drawing/2014/chart" uri="{C3380CC4-5D6E-409C-BE32-E72D297353CC}">
              <c16:uniqueId val="{00000006-9455-483C-8DFA-3B2EB1D10C1A}"/>
            </c:ext>
          </c:extLst>
        </c:ser>
        <c:dLbls>
          <c:showLegendKey val="0"/>
          <c:showVal val="0"/>
          <c:showCatName val="0"/>
          <c:showSerName val="0"/>
          <c:showPercent val="0"/>
          <c:showBubbleSize val="0"/>
        </c:dLbls>
        <c:axId val="104856960"/>
        <c:axId val="104858752"/>
      </c:scatterChart>
      <c:valAx>
        <c:axId val="104856960"/>
        <c:scaling>
          <c:orientation val="minMax"/>
        </c:scaling>
        <c:delete val="0"/>
        <c:axPos val="b"/>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858752"/>
        <c:crosses val="autoZero"/>
        <c:crossBetween val="midCat"/>
      </c:valAx>
      <c:valAx>
        <c:axId val="104858752"/>
        <c:scaling>
          <c:orientation val="minMax"/>
          <c:max val="100"/>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s-CL"/>
          </a:p>
        </c:txPr>
        <c:crossAx val="10485696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s-CL"/>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Drop" dropStyle="combo" dx="16" fmlaLink="$J$101" fmlaRange="$J$98:$J$100" sel="2" val="0"/>
</file>

<file path=xl/ctrlProps/ctrlProp2.xml><?xml version="1.0" encoding="utf-8"?>
<formControlPr xmlns="http://schemas.microsoft.com/office/spreadsheetml/2009/9/main" objectType="Drop" dropStyle="combo" dx="16" fmlaLink="$J$107" fmlaRange="$J$104:$J$106" sel="3" val="0"/>
</file>

<file path=xl/ctrlProps/ctrlProp3.xml><?xml version="1.0" encoding="utf-8"?>
<formControlPr xmlns="http://schemas.microsoft.com/office/spreadsheetml/2009/9/main" objectType="Drop" dropStyle="combo" dx="16" fmlaLink="$J$114" fmlaRange="$J$110:$J$113" sel="3" val="0"/>
</file>

<file path=xl/ctrlProps/ctrlProp4.xml><?xml version="1.0" encoding="utf-8"?>
<formControlPr xmlns="http://schemas.microsoft.com/office/spreadsheetml/2009/9/main" objectType="Drop" dropStyle="combo" dx="16" fmlaLink="$J$93" fmlaRange="$J$79:$J$92" sel="1" val="0"/>
</file>

<file path=xl/ctrlProps/ctrlProp5.xml><?xml version="1.0" encoding="utf-8"?>
<formControlPr xmlns="http://schemas.microsoft.com/office/spreadsheetml/2009/9/main" objectType="Drop" dropStyle="combo" dx="16" fmlaLink="$J$311" fmlaRange="$J$304:$J$310" sel="1" val="0"/>
</file>

<file path=xl/ctrlProps/ctrlProp6.xml><?xml version="1.0" encoding="utf-8"?>
<formControlPr xmlns="http://schemas.microsoft.com/office/spreadsheetml/2009/9/main" objectType="CheckBox" fmlaLink="K149" lockText="1"/>
</file>

<file path=xl/ctrlProps/ctrlProp7.xml><?xml version="1.0" encoding="utf-8"?>
<formControlPr xmlns="http://schemas.microsoft.com/office/spreadsheetml/2009/9/main" objectType="Drop" dropStyle="combo" dx="16" fmlaLink="$J$300" fmlaRange="$J$293:$J$299" sel="3" val="0"/>
</file>

<file path=xl/ctrlProps/ctrlProp8.xml><?xml version="1.0" encoding="utf-8"?>
<formControlPr xmlns="http://schemas.microsoft.com/office/spreadsheetml/2009/9/main" objectType="Drop" dropStyle="combo" dx="16" fmlaLink="$J$335" fmlaRange="$J$332:$J$334" sel="2" val="0"/>
</file>

<file path=xl/ctrlProps/ctrlProp9.xml><?xml version="1.0" encoding="utf-8"?>
<formControlPr xmlns="http://schemas.microsoft.com/office/spreadsheetml/2009/9/main" objectType="Drop" dropStyle="combo" dx="16" fmlaLink="$K$316" fmlaRange="$J$79:$J$92" sel="1" val="0"/>
</file>

<file path=xl/ctrlProps/ctrlProp10.xml><?xml version="1.0" encoding="utf-8"?>
<formControlPr xmlns="http://schemas.microsoft.com/office/spreadsheetml/2009/9/main" objectType="Drop" dropStyle="combo" dx="16" fmlaLink="$K$317" fmlaRange="$K$157:$K$173" sel="15" val="9"/>
</file>

<file path=xl/ctrlProps/ctrlProp11.xml><?xml version="1.0" encoding="utf-8"?>
<formControlPr xmlns="http://schemas.microsoft.com/office/spreadsheetml/2009/9/main" objectType="Drop" dropStyle="combo" dx="16" fmlaLink="$K$363" fmlaRange="$K$157:$K$173" sel="4" val="0"/>
</file>

<file path=xl/ctrlProps/ctrlProp12.xml><?xml version="1.0" encoding="utf-8"?>
<formControlPr xmlns="http://schemas.microsoft.com/office/spreadsheetml/2009/9/main" objectType="Drop" dropStyle="combo" dx="16" fmlaLink="$K$366" fmlaRange="$J$79:$J$92" sel="1" val="0"/>
</file>

<file path=xl/ctrlProps/ctrlProp13.xml><?xml version="1.0" encoding="utf-8"?>
<formControlPr xmlns="http://schemas.microsoft.com/office/spreadsheetml/2009/9/main" objectType="Drop" dropStyle="combo" dx="16" fmlaLink="$K$367" fmlaRange="$K$157:$K$173" sel="7" val="2"/>
</file>

<file path=xl/ctrlProps/ctrlProp14.xml><?xml version="1.0" encoding="utf-8"?>
<formControlPr xmlns="http://schemas.microsoft.com/office/spreadsheetml/2009/9/main" objectType="Drop" dropStyle="combo" dx="16" fmlaLink="$J$327" fmlaRange="$J$324:$J$326" sel="3" val="0"/>
</file>

<file path=xl/ctrlProps/ctrlProp15.xml><?xml version="1.0" encoding="utf-8"?>
<formControlPr xmlns="http://schemas.microsoft.com/office/spreadsheetml/2009/9/main" objectType="Drop" dropStyle="combo" dx="16" fmlaLink="$K$383" fmlaRange="$J$79:$J$92" sel="1" val="0"/>
</file>

<file path=xl/ctrlProps/ctrlProp16.xml><?xml version="1.0" encoding="utf-8"?>
<formControlPr xmlns="http://schemas.microsoft.com/office/spreadsheetml/2009/9/main" objectType="CheckBox" fmlaLink="$J$320" lockText="1"/>
</file>

<file path=xl/ctrlProps/ctrlProp17.xml><?xml version="1.0" encoding="utf-8"?>
<formControlPr xmlns="http://schemas.microsoft.com/office/spreadsheetml/2009/9/main" objectType="Drop" dropStyle="combo" dx="16" fmlaLink="$K$384" fmlaRange="$K$157:$K$173" sel="3" val="0"/>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J$313"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16" fmlaLink="$D$154" fmlaRange="$L$157:$L$166" noThreeD="1" sel="10" val="2"/>
</file>

<file path=xl/ctrlProps/ctrlProp22.xml><?xml version="1.0" encoding="utf-8"?>
<formControlPr xmlns="http://schemas.microsoft.com/office/spreadsheetml/2009/9/main" objectType="Drop" dropLines="2" dropStyle="combo" dx="16" fmlaLink="$J$124" fmlaRange="$J$122:$J$123" sel="1" val="0"/>
</file>

<file path=xl/ctrlProps/ctrlProp23.xml><?xml version="1.0" encoding="utf-8"?>
<formControlPr xmlns="http://schemas.microsoft.com/office/spreadsheetml/2009/9/main" objectType="Drop" dropStyle="combo" dx="16" fmlaLink="$J$101" fmlaRange="$J$98:$J$100" sel="2" val="0"/>
</file>

<file path=xl/ctrlProps/ctrlProp24.xml><?xml version="1.0" encoding="utf-8"?>
<formControlPr xmlns="http://schemas.microsoft.com/office/spreadsheetml/2009/9/main" objectType="Drop" dropStyle="combo" dx="16" fmlaLink="$J$107" fmlaRange="$J$104:$J$106" sel="3" val="0"/>
</file>

<file path=xl/ctrlProps/ctrlProp25.xml><?xml version="1.0" encoding="utf-8"?>
<formControlPr xmlns="http://schemas.microsoft.com/office/spreadsheetml/2009/9/main" objectType="Drop" dropStyle="combo" dx="16" fmlaLink="$J$114" fmlaRange="$J$110:$J$113" sel="3" val="0"/>
</file>

<file path=xl/ctrlProps/ctrlProp26.xml><?xml version="1.0" encoding="utf-8"?>
<formControlPr xmlns="http://schemas.microsoft.com/office/spreadsheetml/2009/9/main" objectType="Drop" dropStyle="combo" dx="16" fmlaLink="$J$93" fmlaRange="$J$85:$J$92" sel="1" val="0"/>
</file>

<file path=xl/ctrlProps/ctrlProp27.xml><?xml version="1.0" encoding="utf-8"?>
<formControlPr xmlns="http://schemas.microsoft.com/office/spreadsheetml/2009/9/main" objectType="Drop" dropStyle="combo" dx="16" fmlaLink="$J$311" fmlaRange="$J$304:$J$310" sel="1" val="0"/>
</file>

<file path=xl/ctrlProps/ctrlProp28.xml><?xml version="1.0" encoding="utf-8"?>
<formControlPr xmlns="http://schemas.microsoft.com/office/spreadsheetml/2009/9/main" objectType="CheckBox" checked="Checked" fmlaLink="K149" lockText="1"/>
</file>

<file path=xl/ctrlProps/ctrlProp29.xml><?xml version="1.0" encoding="utf-8"?>
<formControlPr xmlns="http://schemas.microsoft.com/office/spreadsheetml/2009/9/main" objectType="Drop" dropStyle="combo" dx="16" fmlaLink="$J$300" fmlaRange="$J$293:$J$299" sel="3" val="0"/>
</file>

<file path=xl/ctrlProps/ctrlProp30.xml><?xml version="1.0" encoding="utf-8"?>
<formControlPr xmlns="http://schemas.microsoft.com/office/spreadsheetml/2009/9/main" objectType="Drop" dropStyle="combo" dx="16" fmlaLink="$J$335" fmlaRange="$J$332:$J$334" sel="2" val="0"/>
</file>

<file path=xl/ctrlProps/ctrlProp31.xml><?xml version="1.0" encoding="utf-8"?>
<formControlPr xmlns="http://schemas.microsoft.com/office/spreadsheetml/2009/9/main" objectType="Drop" dropStyle="combo" dx="16" fmlaLink="$K$316" fmlaRange="$J$79:$J$92" sel="1" val="0"/>
</file>

<file path=xl/ctrlProps/ctrlProp32.xml><?xml version="1.0" encoding="utf-8"?>
<formControlPr xmlns="http://schemas.microsoft.com/office/spreadsheetml/2009/9/main" objectType="Drop" dropStyle="combo" dx="16" fmlaLink="$K$317" fmlaRange="$K$157:$K$173" sel="15" val="9"/>
</file>

<file path=xl/ctrlProps/ctrlProp33.xml><?xml version="1.0" encoding="utf-8"?>
<formControlPr xmlns="http://schemas.microsoft.com/office/spreadsheetml/2009/9/main" objectType="Drop" dropStyle="combo" dx="16" fmlaLink="$K$363" fmlaRange="$K$157:$K$173" sel="4" val="0"/>
</file>

<file path=xl/ctrlProps/ctrlProp34.xml><?xml version="1.0" encoding="utf-8"?>
<formControlPr xmlns="http://schemas.microsoft.com/office/spreadsheetml/2009/9/main" objectType="Drop" dropStyle="combo" dx="16" fmlaLink="$K$366" fmlaRange="$J$79:$J$92" sel="1" val="0"/>
</file>

<file path=xl/ctrlProps/ctrlProp35.xml><?xml version="1.0" encoding="utf-8"?>
<formControlPr xmlns="http://schemas.microsoft.com/office/spreadsheetml/2009/9/main" objectType="Drop" dropStyle="combo" dx="16" fmlaLink="$K$367" fmlaRange="$K$157:$K$173" sel="5" val="3"/>
</file>

<file path=xl/ctrlProps/ctrlProp36.xml><?xml version="1.0" encoding="utf-8"?>
<formControlPr xmlns="http://schemas.microsoft.com/office/spreadsheetml/2009/9/main" objectType="Drop" dropStyle="combo" dx="16" fmlaLink="$J$327" fmlaRange="$J$324:$J$326" sel="3" val="0"/>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CheckBox" fmlaLink="$J$313"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J$101" fmlaRange="$J$98:$J$100" sel="2" val="0"/>
</file>

<file path=xl/ctrlProps/ctrlProp41.xml><?xml version="1.0" encoding="utf-8"?>
<formControlPr xmlns="http://schemas.microsoft.com/office/spreadsheetml/2009/9/main" objectType="Drop" dropStyle="combo" dx="16" fmlaLink="$J$107" fmlaRange="$J$104:$J$106" sel="3" val="0"/>
</file>

<file path=xl/ctrlProps/ctrlProp42.xml><?xml version="1.0" encoding="utf-8"?>
<formControlPr xmlns="http://schemas.microsoft.com/office/spreadsheetml/2009/9/main" objectType="Drop" dropStyle="combo" dx="16" fmlaLink="$J$114" fmlaRange="$J$110:$J$113" sel="3" val="0"/>
</file>

<file path=xl/ctrlProps/ctrlProp43.xml><?xml version="1.0" encoding="utf-8"?>
<formControlPr xmlns="http://schemas.microsoft.com/office/spreadsheetml/2009/9/main" objectType="Drop" dropStyle="combo" dx="16" fmlaLink="$J$93" fmlaRange="$J$79:$J$92" sel="1" val="0"/>
</file>

<file path=xl/ctrlProps/ctrlProp44.xml><?xml version="1.0" encoding="utf-8"?>
<formControlPr xmlns="http://schemas.microsoft.com/office/spreadsheetml/2009/9/main" objectType="CheckBox" checked="Checked" fmlaLink="K149" lockText="1"/>
</file>

<file path=xl/ctrlProps/ctrlProp45.xml><?xml version="1.0" encoding="utf-8"?>
<formControlPr xmlns="http://schemas.microsoft.com/office/spreadsheetml/2009/9/main" objectType="Drop" dropStyle="combo" dx="16" fmlaLink="$D$154" fmlaRange="$L$157:$L$166" noThreeD="1" sel="10" val="2"/>
</file>

<file path=xl/ctrlProps/ctrlProp46.xml><?xml version="1.0" encoding="utf-8"?>
<formControlPr xmlns="http://schemas.microsoft.com/office/spreadsheetml/2009/9/main" objectType="Drop" dropLines="2" dropStyle="combo" dx="16" fmlaLink="$J$124" fmlaRange="$J$122:$J$123" sel="1" val="0"/>
</file>

<file path=xl/ctrlProps/ctrlProp47.xml><?xml version="1.0" encoding="utf-8"?>
<formControlPr xmlns="http://schemas.microsoft.com/office/spreadsheetml/2009/9/main" objectType="Drop" dropStyle="combo" dx="16" fmlaLink="$J$311" fmlaRange="$J$304:$J$310" sel="1" val="0"/>
</file>

<file path=xl/ctrlProps/ctrlProp48.xml><?xml version="1.0" encoding="utf-8"?>
<formControlPr xmlns="http://schemas.microsoft.com/office/spreadsheetml/2009/9/main" objectType="Drop" dropStyle="combo" dx="16" fmlaLink="$J$300" fmlaRange="$J$293:$J$299" sel="3" val="0"/>
</file>

<file path=xl/ctrlProps/ctrlProp49.xml><?xml version="1.0" encoding="utf-8"?>
<formControlPr xmlns="http://schemas.microsoft.com/office/spreadsheetml/2009/9/main" objectType="CheckBox" fmlaLink="$J$313" lockText="1" noThreeD="1"/>
</file>

<file path=xl/ctrlProps/ctrlProp50.xml><?xml version="1.0" encoding="utf-8"?>
<formControlPr xmlns="http://schemas.microsoft.com/office/spreadsheetml/2009/9/main" objectType="Drop" dropStyle="combo" dx="16" fmlaLink="$J$101" fmlaRange="$J$98:$J$100" sel="2" val="0"/>
</file>

<file path=xl/ctrlProps/ctrlProp51.xml><?xml version="1.0" encoding="utf-8"?>
<formControlPr xmlns="http://schemas.microsoft.com/office/spreadsheetml/2009/9/main" objectType="Drop" dropStyle="combo" dx="16" fmlaLink="$J$107" fmlaRange="$J$104:$J$106" sel="3" val="0"/>
</file>

<file path=xl/ctrlProps/ctrlProp52.xml><?xml version="1.0" encoding="utf-8"?>
<formControlPr xmlns="http://schemas.microsoft.com/office/spreadsheetml/2009/9/main" objectType="Drop" dropStyle="combo" dx="16" fmlaLink="$J$114" fmlaRange="$J$110:$J$113" sel="3" val="0"/>
</file>

<file path=xl/ctrlProps/ctrlProp53.xml><?xml version="1.0" encoding="utf-8"?>
<formControlPr xmlns="http://schemas.microsoft.com/office/spreadsheetml/2009/9/main" objectType="Drop" dropStyle="combo" dx="16" fmlaLink="$J$93" fmlaRange="$J$85:$J$92" sel="1" val="0"/>
</file>

<file path=xl/ctrlProps/ctrlProp54.xml><?xml version="1.0" encoding="utf-8"?>
<formControlPr xmlns="http://schemas.microsoft.com/office/spreadsheetml/2009/9/main" objectType="CheckBox" fmlaLink="K149"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Drop" dropStyle="combo" dx="16" fmlaLink="$J$101" fmlaRange="$J$98:$J$100" sel="2" val="0"/>
</file>

<file path=xl/ctrlProps/ctrlProp58.xml><?xml version="1.0" encoding="utf-8"?>
<formControlPr xmlns="http://schemas.microsoft.com/office/spreadsheetml/2009/9/main" objectType="Drop" dropStyle="combo" dx="16" fmlaLink="$J$107" fmlaRange="$J$104:$J$106" sel="3" val="0"/>
</file>

<file path=xl/ctrlProps/ctrlProp59.xml><?xml version="1.0" encoding="utf-8"?>
<formControlPr xmlns="http://schemas.microsoft.com/office/spreadsheetml/2009/9/main" objectType="Drop" dropStyle="combo" dx="16" fmlaLink="$J$114" fmlaRange="$J$110:$J$113" sel="3" val="0"/>
</file>

<file path=xl/ctrlProps/ctrlProp60.xml><?xml version="1.0" encoding="utf-8"?>
<formControlPr xmlns="http://schemas.microsoft.com/office/spreadsheetml/2009/9/main" objectType="Drop" dropStyle="combo" dx="16" fmlaLink="$J$93" fmlaRange="$J$85:$J$92" sel="1" val="0"/>
</file>

<file path=xl/ctrlProps/ctrlProp61.xml><?xml version="1.0" encoding="utf-8"?>
<formControlPr xmlns="http://schemas.microsoft.com/office/spreadsheetml/2009/9/main" objectType="CheckBox" fmlaLink="K149" lockText="1"/>
</file>

<file path=xl/ctrlProps/ctrlProp62.xml><?xml version="1.0" encoding="utf-8"?>
<formControlPr xmlns="http://schemas.microsoft.com/office/spreadsheetml/2009/9/main" objectType="Drop" dropStyle="combo" dx="16" fmlaLink="$J$101" fmlaRange="$J$98:$J$100" sel="2" val="0"/>
</file>

<file path=xl/ctrlProps/ctrlProp63.xml><?xml version="1.0" encoding="utf-8"?>
<formControlPr xmlns="http://schemas.microsoft.com/office/spreadsheetml/2009/9/main" objectType="Drop" dropStyle="combo" dx="16" fmlaLink="$J$107" fmlaRange="$J$104:$J$106" sel="3" val="0"/>
</file>

<file path=xl/ctrlProps/ctrlProp64.xml><?xml version="1.0" encoding="utf-8"?>
<formControlPr xmlns="http://schemas.microsoft.com/office/spreadsheetml/2009/9/main" objectType="Drop" dropStyle="combo" dx="16" fmlaLink="$J$114" fmlaRange="$J$110:$J$113" sel="3" val="0"/>
</file>

<file path=xl/ctrlProps/ctrlProp65.xml><?xml version="1.0" encoding="utf-8"?>
<formControlPr xmlns="http://schemas.microsoft.com/office/spreadsheetml/2009/9/main" objectType="Drop" dropLines="15" dropStyle="combo" dx="16" fmlaLink="$J$93" fmlaRange="$J$79:$J$92" sel="1" val="0"/>
</file>

<file path=xl/ctrlProps/ctrlProp66.xml><?xml version="1.0" encoding="utf-8"?>
<formControlPr xmlns="http://schemas.microsoft.com/office/spreadsheetml/2009/9/main" objectType="CheckBox" fmlaLink="K149" lockText="1"/>
</file>

<file path=xl/ctrlProps/ctrlProp67.xml><?xml version="1.0" encoding="utf-8"?>
<formControlPr xmlns="http://schemas.microsoft.com/office/spreadsheetml/2009/9/main" objectType="Drop" dropStyle="combo" dx="16" fmlaLink="$D$154" fmlaRange="$L$157:$L$166" noThreeD="1" sel="10" val="2"/>
</file>

<file path=xl/ctrlProps/ctrlProp68.xml><?xml version="1.0" encoding="utf-8"?>
<formControlPr xmlns="http://schemas.microsoft.com/office/spreadsheetml/2009/9/main" objectType="Drop" dropLines="2" dropStyle="combo" dx="16" fmlaLink="$J$124" fmlaRange="$J$122:$J$123" sel="1" val="0"/>
</file>

<file path=xl/drawings/_rels/drawing1.xml.rels><?xml version="1.0" encoding="UTF-8" standalone="yes"?>
<Relationships xmlns="http://schemas.openxmlformats.org/package/2006/relationships"><Relationship Id="rId3" Type="http://schemas.openxmlformats.org/officeDocument/2006/relationships/image" Target="../media/image22.wmf"/><Relationship Id="rId7" Type="http://schemas.openxmlformats.org/officeDocument/2006/relationships/image" Target="../media/image24.jpe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3.png"/><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2.wmf"/><Relationship Id="rId7" Type="http://schemas.openxmlformats.org/officeDocument/2006/relationships/image" Target="../media/image24.jpeg"/><Relationship Id="rId2" Type="http://schemas.openxmlformats.org/officeDocument/2006/relationships/image" Target="../media/image21.png"/><Relationship Id="rId1" Type="http://schemas.openxmlformats.org/officeDocument/2006/relationships/image" Target="../media/image20.png"/><Relationship Id="rId6" Type="http://schemas.openxmlformats.org/officeDocument/2006/relationships/image" Target="../media/image28.png"/><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22.wmf"/><Relationship Id="rId1" Type="http://schemas.openxmlformats.org/officeDocument/2006/relationships/image" Target="../media/image20.png"/><Relationship Id="rId5" Type="http://schemas.openxmlformats.org/officeDocument/2006/relationships/image" Target="../media/image24.jpeg"/><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19.e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5.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17" Type="http://schemas.openxmlformats.org/officeDocument/2006/relationships/image" Target="../media/image17.wmf"/><Relationship Id="rId2" Type="http://schemas.openxmlformats.org/officeDocument/2006/relationships/image" Target="../media/image2.emf"/><Relationship Id="rId16" Type="http://schemas.openxmlformats.org/officeDocument/2006/relationships/image" Target="../media/image26.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5" Type="http://schemas.openxmlformats.org/officeDocument/2006/relationships/image" Target="../media/image15.wmf"/><Relationship Id="rId10" Type="http://schemas.openxmlformats.org/officeDocument/2006/relationships/image" Target="../media/image10.wmf"/><Relationship Id="rId19" Type="http://schemas.openxmlformats.org/officeDocument/2006/relationships/image" Target="../media/image27.e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4.w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17.wmf"/><Relationship Id="rId3" Type="http://schemas.openxmlformats.org/officeDocument/2006/relationships/image" Target="../media/image3.emf"/><Relationship Id="rId7" Type="http://schemas.openxmlformats.org/officeDocument/2006/relationships/image" Target="../media/image7.w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wmf"/><Relationship Id="rId11" Type="http://schemas.openxmlformats.org/officeDocument/2006/relationships/image" Target="../media/image11.emf"/><Relationship Id="rId5" Type="http://schemas.openxmlformats.org/officeDocument/2006/relationships/image" Target="../media/image5.wmf"/><Relationship Id="rId10" Type="http://schemas.openxmlformats.org/officeDocument/2006/relationships/image" Target="../media/image10.wmf"/><Relationship Id="rId4" Type="http://schemas.openxmlformats.org/officeDocument/2006/relationships/image" Target="../media/image4.wmf"/><Relationship Id="rId9" Type="http://schemas.openxmlformats.org/officeDocument/2006/relationships/image" Target="../media/image9.w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xdr:from>
      <xdr:col>6</xdr:col>
      <xdr:colOff>333375</xdr:colOff>
      <xdr:row>413</xdr:row>
      <xdr:rowOff>19050</xdr:rowOff>
    </xdr:from>
    <xdr:to>
      <xdr:col>6</xdr:col>
      <xdr:colOff>571500</xdr:colOff>
      <xdr:row>413</xdr:row>
      <xdr:rowOff>57150</xdr:rowOff>
    </xdr:to>
    <xdr:sp macro="" textlink="">
      <xdr:nvSpPr>
        <xdr:cNvPr id="134710" name="Rectangle 1609">
          <a:extLst>
            <a:ext uri="{FF2B5EF4-FFF2-40B4-BE49-F238E27FC236}">
              <a16:creationId xmlns:a16="http://schemas.microsoft.com/office/drawing/2014/main" id="{00000000-0008-0000-0000-0000360E0200}"/>
            </a:ext>
          </a:extLst>
        </xdr:cNvPr>
        <xdr:cNvSpPr>
          <a:spLocks noChangeArrowheads="1"/>
        </xdr:cNvSpPr>
      </xdr:nvSpPr>
      <xdr:spPr bwMode="auto">
        <a:xfrm>
          <a:off x="4619625" y="71342250"/>
          <a:ext cx="238125" cy="381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342900</xdr:colOff>
      <xdr:row>413</xdr:row>
      <xdr:rowOff>57150</xdr:rowOff>
    </xdr:from>
    <xdr:to>
      <xdr:col>6</xdr:col>
      <xdr:colOff>571500</xdr:colOff>
      <xdr:row>415</xdr:row>
      <xdr:rowOff>114300</xdr:rowOff>
    </xdr:to>
    <xdr:sp macro="" textlink="">
      <xdr:nvSpPr>
        <xdr:cNvPr id="134711" name="Rectangle 1610">
          <a:extLst>
            <a:ext uri="{FF2B5EF4-FFF2-40B4-BE49-F238E27FC236}">
              <a16:creationId xmlns:a16="http://schemas.microsoft.com/office/drawing/2014/main" id="{00000000-0008-0000-0000-0000370E0200}"/>
            </a:ext>
          </a:extLst>
        </xdr:cNvPr>
        <xdr:cNvSpPr>
          <a:spLocks noChangeArrowheads="1"/>
        </xdr:cNvSpPr>
      </xdr:nvSpPr>
      <xdr:spPr bwMode="auto">
        <a:xfrm>
          <a:off x="4629150" y="71380350"/>
          <a:ext cx="228600" cy="3810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152400</xdr:colOff>
      <xdr:row>374</xdr:row>
      <xdr:rowOff>142875</xdr:rowOff>
    </xdr:from>
    <xdr:to>
      <xdr:col>2</xdr:col>
      <xdr:colOff>419100</xdr:colOff>
      <xdr:row>374</xdr:row>
      <xdr:rowOff>142875</xdr:rowOff>
    </xdr:to>
    <xdr:sp macro="" textlink="">
      <xdr:nvSpPr>
        <xdr:cNvPr id="134712" name="Line 40">
          <a:extLst>
            <a:ext uri="{FF2B5EF4-FFF2-40B4-BE49-F238E27FC236}">
              <a16:creationId xmlns:a16="http://schemas.microsoft.com/office/drawing/2014/main" id="{00000000-0008-0000-0000-0000380E0200}"/>
            </a:ext>
          </a:extLst>
        </xdr:cNvPr>
        <xdr:cNvSpPr>
          <a:spLocks noChangeAspect="1" noChangeShapeType="1"/>
        </xdr:cNvSpPr>
      </xdr:nvSpPr>
      <xdr:spPr bwMode="auto">
        <a:xfrm flipH="1">
          <a:off x="1581150" y="6478905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375</xdr:row>
      <xdr:rowOff>19050</xdr:rowOff>
    </xdr:from>
    <xdr:to>
      <xdr:col>2</xdr:col>
      <xdr:colOff>419100</xdr:colOff>
      <xdr:row>375</xdr:row>
      <xdr:rowOff>19050</xdr:rowOff>
    </xdr:to>
    <xdr:sp macro="" textlink="">
      <xdr:nvSpPr>
        <xdr:cNvPr id="134713" name="Line 41">
          <a:extLst>
            <a:ext uri="{FF2B5EF4-FFF2-40B4-BE49-F238E27FC236}">
              <a16:creationId xmlns:a16="http://schemas.microsoft.com/office/drawing/2014/main" id="{00000000-0008-0000-0000-0000390E0200}"/>
            </a:ext>
          </a:extLst>
        </xdr:cNvPr>
        <xdr:cNvSpPr>
          <a:spLocks noChangeAspect="1" noChangeShapeType="1"/>
        </xdr:cNvSpPr>
      </xdr:nvSpPr>
      <xdr:spPr bwMode="auto">
        <a:xfrm flipH="1">
          <a:off x="1581150" y="6482715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0</xdr:rowOff>
    </xdr:from>
    <xdr:to>
      <xdr:col>2</xdr:col>
      <xdr:colOff>457200</xdr:colOff>
      <xdr:row>370</xdr:row>
      <xdr:rowOff>38100</xdr:rowOff>
    </xdr:to>
    <xdr:sp macro="" textlink="">
      <xdr:nvSpPr>
        <xdr:cNvPr id="134714" name="Line 42">
          <a:extLst>
            <a:ext uri="{FF2B5EF4-FFF2-40B4-BE49-F238E27FC236}">
              <a16:creationId xmlns:a16="http://schemas.microsoft.com/office/drawing/2014/main" id="{00000000-0008-0000-0000-00003A0E0200}"/>
            </a:ext>
          </a:extLst>
        </xdr:cNvPr>
        <xdr:cNvSpPr>
          <a:spLocks noChangeAspect="1" noChangeShapeType="1"/>
        </xdr:cNvSpPr>
      </xdr:nvSpPr>
      <xdr:spPr bwMode="auto">
        <a:xfrm flipH="1" flipV="1">
          <a:off x="1885950" y="63655575"/>
          <a:ext cx="0" cy="3810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368</xdr:row>
      <xdr:rowOff>0</xdr:rowOff>
    </xdr:from>
    <xdr:to>
      <xdr:col>3</xdr:col>
      <xdr:colOff>95250</xdr:colOff>
      <xdr:row>368</xdr:row>
      <xdr:rowOff>114300</xdr:rowOff>
    </xdr:to>
    <xdr:sp macro="" textlink="">
      <xdr:nvSpPr>
        <xdr:cNvPr id="134715" name="Line 43">
          <a:extLst>
            <a:ext uri="{FF2B5EF4-FFF2-40B4-BE49-F238E27FC236}">
              <a16:creationId xmlns:a16="http://schemas.microsoft.com/office/drawing/2014/main" id="{00000000-0008-0000-0000-00003B0E0200}"/>
            </a:ext>
          </a:extLst>
        </xdr:cNvPr>
        <xdr:cNvSpPr>
          <a:spLocks noChangeAspect="1" noChangeShapeType="1"/>
        </xdr:cNvSpPr>
      </xdr:nvSpPr>
      <xdr:spPr bwMode="auto">
        <a:xfrm flipV="1">
          <a:off x="2238375" y="63655575"/>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368</xdr:row>
      <xdr:rowOff>0</xdr:rowOff>
    </xdr:from>
    <xdr:to>
      <xdr:col>3</xdr:col>
      <xdr:colOff>133350</xdr:colOff>
      <xdr:row>368</xdr:row>
      <xdr:rowOff>114300</xdr:rowOff>
    </xdr:to>
    <xdr:sp macro="" textlink="">
      <xdr:nvSpPr>
        <xdr:cNvPr id="134716" name="Line 44">
          <a:extLst>
            <a:ext uri="{FF2B5EF4-FFF2-40B4-BE49-F238E27FC236}">
              <a16:creationId xmlns:a16="http://schemas.microsoft.com/office/drawing/2014/main" id="{00000000-0008-0000-0000-00003C0E0200}"/>
            </a:ext>
          </a:extLst>
        </xdr:cNvPr>
        <xdr:cNvSpPr>
          <a:spLocks noChangeAspect="1" noChangeShapeType="1"/>
        </xdr:cNvSpPr>
      </xdr:nvSpPr>
      <xdr:spPr bwMode="auto">
        <a:xfrm flipV="1">
          <a:off x="2276475" y="63655575"/>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276225</xdr:colOff>
      <xdr:row>375</xdr:row>
      <xdr:rowOff>38100</xdr:rowOff>
    </xdr:from>
    <xdr:to>
      <xdr:col>4</xdr:col>
      <xdr:colOff>276225</xdr:colOff>
      <xdr:row>377</xdr:row>
      <xdr:rowOff>19050</xdr:rowOff>
    </xdr:to>
    <xdr:sp macro="" textlink="">
      <xdr:nvSpPr>
        <xdr:cNvPr id="134717" name="Line 45">
          <a:extLst>
            <a:ext uri="{FF2B5EF4-FFF2-40B4-BE49-F238E27FC236}">
              <a16:creationId xmlns:a16="http://schemas.microsoft.com/office/drawing/2014/main" id="{00000000-0008-0000-0000-00003D0E0200}"/>
            </a:ext>
          </a:extLst>
        </xdr:cNvPr>
        <xdr:cNvSpPr>
          <a:spLocks noChangeAspect="1" noChangeShapeType="1"/>
        </xdr:cNvSpPr>
      </xdr:nvSpPr>
      <xdr:spPr bwMode="auto">
        <a:xfrm>
          <a:off x="3133725" y="64846200"/>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375</xdr:row>
      <xdr:rowOff>19050</xdr:rowOff>
    </xdr:from>
    <xdr:to>
      <xdr:col>4</xdr:col>
      <xdr:colOff>266700</xdr:colOff>
      <xdr:row>375</xdr:row>
      <xdr:rowOff>19050</xdr:rowOff>
    </xdr:to>
    <xdr:sp macro="" textlink="">
      <xdr:nvSpPr>
        <xdr:cNvPr id="134718" name="Line 48">
          <a:extLst>
            <a:ext uri="{FF2B5EF4-FFF2-40B4-BE49-F238E27FC236}">
              <a16:creationId xmlns:a16="http://schemas.microsoft.com/office/drawing/2014/main" id="{00000000-0008-0000-0000-00003E0E0200}"/>
            </a:ext>
          </a:extLst>
        </xdr:cNvPr>
        <xdr:cNvSpPr>
          <a:spLocks noChangeAspect="1" noChangeShapeType="1"/>
        </xdr:cNvSpPr>
      </xdr:nvSpPr>
      <xdr:spPr bwMode="auto">
        <a:xfrm>
          <a:off x="1885950" y="64827150"/>
          <a:ext cx="1238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374</xdr:row>
      <xdr:rowOff>133350</xdr:rowOff>
    </xdr:from>
    <xdr:to>
      <xdr:col>5</xdr:col>
      <xdr:colOff>114300</xdr:colOff>
      <xdr:row>374</xdr:row>
      <xdr:rowOff>133350</xdr:rowOff>
    </xdr:to>
    <xdr:sp macro="" textlink="">
      <xdr:nvSpPr>
        <xdr:cNvPr id="134719" name="Line 49">
          <a:extLst>
            <a:ext uri="{FF2B5EF4-FFF2-40B4-BE49-F238E27FC236}">
              <a16:creationId xmlns:a16="http://schemas.microsoft.com/office/drawing/2014/main" id="{00000000-0008-0000-0000-00003F0E0200}"/>
            </a:ext>
          </a:extLst>
        </xdr:cNvPr>
        <xdr:cNvSpPr>
          <a:spLocks noChangeAspect="1" noChangeShapeType="1"/>
        </xdr:cNvSpPr>
      </xdr:nvSpPr>
      <xdr:spPr bwMode="auto">
        <a:xfrm>
          <a:off x="1885950" y="64779525"/>
          <a:ext cx="1800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123825</xdr:rowOff>
    </xdr:from>
    <xdr:to>
      <xdr:col>3</xdr:col>
      <xdr:colOff>85725</xdr:colOff>
      <xdr:row>370</xdr:row>
      <xdr:rowOff>123825</xdr:rowOff>
    </xdr:to>
    <xdr:sp macro="" textlink="">
      <xdr:nvSpPr>
        <xdr:cNvPr id="134720" name="Line 50">
          <a:extLst>
            <a:ext uri="{FF2B5EF4-FFF2-40B4-BE49-F238E27FC236}">
              <a16:creationId xmlns:a16="http://schemas.microsoft.com/office/drawing/2014/main" id="{00000000-0008-0000-0000-0000400E0200}"/>
            </a:ext>
          </a:extLst>
        </xdr:cNvPr>
        <xdr:cNvSpPr>
          <a:spLocks noChangeAspect="1" noChangeShapeType="1"/>
        </xdr:cNvSpPr>
      </xdr:nvSpPr>
      <xdr:spPr bwMode="auto">
        <a:xfrm>
          <a:off x="1885950" y="641223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2</xdr:col>
      <xdr:colOff>457200</xdr:colOff>
      <xdr:row>375</xdr:row>
      <xdr:rowOff>19050</xdr:rowOff>
    </xdr:to>
    <xdr:sp macro="" textlink="">
      <xdr:nvSpPr>
        <xdr:cNvPr id="134721" name="Line 51">
          <a:extLst>
            <a:ext uri="{FF2B5EF4-FFF2-40B4-BE49-F238E27FC236}">
              <a16:creationId xmlns:a16="http://schemas.microsoft.com/office/drawing/2014/main" id="{00000000-0008-0000-0000-0000410E0200}"/>
            </a:ext>
          </a:extLst>
        </xdr:cNvPr>
        <xdr:cNvSpPr>
          <a:spLocks noChangeAspect="1" noChangeShapeType="1"/>
        </xdr:cNvSpPr>
      </xdr:nvSpPr>
      <xdr:spPr bwMode="auto">
        <a:xfrm flipV="1">
          <a:off x="1885950" y="64084200"/>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369</xdr:row>
      <xdr:rowOff>0</xdr:rowOff>
    </xdr:from>
    <xdr:to>
      <xdr:col>3</xdr:col>
      <xdr:colOff>95250</xdr:colOff>
      <xdr:row>374</xdr:row>
      <xdr:rowOff>133350</xdr:rowOff>
    </xdr:to>
    <xdr:sp macro="" textlink="">
      <xdr:nvSpPr>
        <xdr:cNvPr id="134722" name="Line 52">
          <a:extLst>
            <a:ext uri="{FF2B5EF4-FFF2-40B4-BE49-F238E27FC236}">
              <a16:creationId xmlns:a16="http://schemas.microsoft.com/office/drawing/2014/main" id="{00000000-0008-0000-0000-0000420E0200}"/>
            </a:ext>
          </a:extLst>
        </xdr:cNvPr>
        <xdr:cNvSpPr>
          <a:spLocks noChangeAspect="1" noChangeShapeType="1"/>
        </xdr:cNvSpPr>
      </xdr:nvSpPr>
      <xdr:spPr bwMode="auto">
        <a:xfrm flipV="1">
          <a:off x="2238375" y="63827025"/>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142875</xdr:colOff>
      <xdr:row>369</xdr:row>
      <xdr:rowOff>0</xdr:rowOff>
    </xdr:from>
    <xdr:to>
      <xdr:col>3</xdr:col>
      <xdr:colOff>142875</xdr:colOff>
      <xdr:row>374</xdr:row>
      <xdr:rowOff>133350</xdr:rowOff>
    </xdr:to>
    <xdr:sp macro="" textlink="">
      <xdr:nvSpPr>
        <xdr:cNvPr id="134723" name="Line 53">
          <a:extLst>
            <a:ext uri="{FF2B5EF4-FFF2-40B4-BE49-F238E27FC236}">
              <a16:creationId xmlns:a16="http://schemas.microsoft.com/office/drawing/2014/main" id="{00000000-0008-0000-0000-0000430E0200}"/>
            </a:ext>
          </a:extLst>
        </xdr:cNvPr>
        <xdr:cNvSpPr>
          <a:spLocks noChangeAspect="1" noChangeShapeType="1"/>
        </xdr:cNvSpPr>
      </xdr:nvSpPr>
      <xdr:spPr bwMode="auto">
        <a:xfrm flipV="1">
          <a:off x="2286000" y="63827025"/>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3</xdr:col>
      <xdr:colOff>85725</xdr:colOff>
      <xdr:row>370</xdr:row>
      <xdr:rowOff>85725</xdr:rowOff>
    </xdr:to>
    <xdr:sp macro="" textlink="">
      <xdr:nvSpPr>
        <xdr:cNvPr id="134724" name="Line 54">
          <a:extLst>
            <a:ext uri="{FF2B5EF4-FFF2-40B4-BE49-F238E27FC236}">
              <a16:creationId xmlns:a16="http://schemas.microsoft.com/office/drawing/2014/main" id="{00000000-0008-0000-0000-0000440E0200}"/>
            </a:ext>
          </a:extLst>
        </xdr:cNvPr>
        <xdr:cNvSpPr>
          <a:spLocks noChangeAspect="1" noChangeShapeType="1"/>
        </xdr:cNvSpPr>
      </xdr:nvSpPr>
      <xdr:spPr bwMode="auto">
        <a:xfrm>
          <a:off x="1885950" y="64084200"/>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85725</xdr:rowOff>
    </xdr:from>
    <xdr:to>
      <xdr:col>2</xdr:col>
      <xdr:colOff>419100</xdr:colOff>
      <xdr:row>370</xdr:row>
      <xdr:rowOff>85725</xdr:rowOff>
    </xdr:to>
    <xdr:sp macro="" textlink="">
      <xdr:nvSpPr>
        <xdr:cNvPr id="134725" name="Line 57">
          <a:extLst>
            <a:ext uri="{FF2B5EF4-FFF2-40B4-BE49-F238E27FC236}">
              <a16:creationId xmlns:a16="http://schemas.microsoft.com/office/drawing/2014/main" id="{00000000-0008-0000-0000-0000450E0200}"/>
            </a:ext>
          </a:extLst>
        </xdr:cNvPr>
        <xdr:cNvSpPr>
          <a:spLocks noChangeAspect="1" noChangeShapeType="1"/>
        </xdr:cNvSpPr>
      </xdr:nvSpPr>
      <xdr:spPr bwMode="auto">
        <a:xfrm flipH="1">
          <a:off x="1581150" y="6408420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123825</xdr:rowOff>
    </xdr:from>
    <xdr:to>
      <xdr:col>2</xdr:col>
      <xdr:colOff>419100</xdr:colOff>
      <xdr:row>370</xdr:row>
      <xdr:rowOff>123825</xdr:rowOff>
    </xdr:to>
    <xdr:sp macro="" textlink="">
      <xdr:nvSpPr>
        <xdr:cNvPr id="134726" name="Line 58">
          <a:extLst>
            <a:ext uri="{FF2B5EF4-FFF2-40B4-BE49-F238E27FC236}">
              <a16:creationId xmlns:a16="http://schemas.microsoft.com/office/drawing/2014/main" id="{00000000-0008-0000-0000-0000460E0200}"/>
            </a:ext>
          </a:extLst>
        </xdr:cNvPr>
        <xdr:cNvSpPr>
          <a:spLocks noChangeAspect="1" noChangeShapeType="1"/>
        </xdr:cNvSpPr>
      </xdr:nvSpPr>
      <xdr:spPr bwMode="auto">
        <a:xfrm flipH="1">
          <a:off x="1581150" y="64122300"/>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47625</xdr:rowOff>
    </xdr:from>
    <xdr:to>
      <xdr:col>3</xdr:col>
      <xdr:colOff>95250</xdr:colOff>
      <xdr:row>368</xdr:row>
      <xdr:rowOff>47625</xdr:rowOff>
    </xdr:to>
    <xdr:sp macro="" textlink="">
      <xdr:nvSpPr>
        <xdr:cNvPr id="134727" name="Line 59">
          <a:extLst>
            <a:ext uri="{FF2B5EF4-FFF2-40B4-BE49-F238E27FC236}">
              <a16:creationId xmlns:a16="http://schemas.microsoft.com/office/drawing/2014/main" id="{00000000-0008-0000-0000-0000470E0200}"/>
            </a:ext>
          </a:extLst>
        </xdr:cNvPr>
        <xdr:cNvSpPr>
          <a:spLocks noChangeAspect="1" noChangeShapeType="1"/>
        </xdr:cNvSpPr>
      </xdr:nvSpPr>
      <xdr:spPr bwMode="auto">
        <a:xfrm>
          <a:off x="1885950" y="63703200"/>
          <a:ext cx="3524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375</xdr:row>
      <xdr:rowOff>19050</xdr:rowOff>
    </xdr:from>
    <xdr:to>
      <xdr:col>2</xdr:col>
      <xdr:colOff>180975</xdr:colOff>
      <xdr:row>376</xdr:row>
      <xdr:rowOff>85725</xdr:rowOff>
    </xdr:to>
    <xdr:sp macro="" textlink="">
      <xdr:nvSpPr>
        <xdr:cNvPr id="134728" name="Line 60">
          <a:extLst>
            <a:ext uri="{FF2B5EF4-FFF2-40B4-BE49-F238E27FC236}">
              <a16:creationId xmlns:a16="http://schemas.microsoft.com/office/drawing/2014/main" id="{00000000-0008-0000-0000-0000480E0200}"/>
            </a:ext>
          </a:extLst>
        </xdr:cNvPr>
        <xdr:cNvSpPr>
          <a:spLocks noChangeAspect="1" noChangeShapeType="1"/>
        </xdr:cNvSpPr>
      </xdr:nvSpPr>
      <xdr:spPr bwMode="auto">
        <a:xfrm flipV="1">
          <a:off x="1609725" y="64827150"/>
          <a:ext cx="0" cy="2286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371</xdr:row>
      <xdr:rowOff>0</xdr:rowOff>
    </xdr:from>
    <xdr:to>
      <xdr:col>2</xdr:col>
      <xdr:colOff>180975</xdr:colOff>
      <xdr:row>374</xdr:row>
      <xdr:rowOff>133350</xdr:rowOff>
    </xdr:to>
    <xdr:sp macro="" textlink="">
      <xdr:nvSpPr>
        <xdr:cNvPr id="134729" name="Line 61">
          <a:extLst>
            <a:ext uri="{FF2B5EF4-FFF2-40B4-BE49-F238E27FC236}">
              <a16:creationId xmlns:a16="http://schemas.microsoft.com/office/drawing/2014/main" id="{00000000-0008-0000-0000-0000490E0200}"/>
            </a:ext>
          </a:extLst>
        </xdr:cNvPr>
        <xdr:cNvSpPr>
          <a:spLocks noChangeAspect="1" noChangeShapeType="1"/>
        </xdr:cNvSpPr>
      </xdr:nvSpPr>
      <xdr:spPr bwMode="auto">
        <a:xfrm flipV="1">
          <a:off x="1609725" y="64160400"/>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370</xdr:row>
      <xdr:rowOff>47625</xdr:rowOff>
    </xdr:from>
    <xdr:to>
      <xdr:col>2</xdr:col>
      <xdr:colOff>180975</xdr:colOff>
      <xdr:row>376</xdr:row>
      <xdr:rowOff>9525</xdr:rowOff>
    </xdr:to>
    <xdr:sp macro="" textlink="">
      <xdr:nvSpPr>
        <xdr:cNvPr id="134730" name="Line 62">
          <a:extLst>
            <a:ext uri="{FF2B5EF4-FFF2-40B4-BE49-F238E27FC236}">
              <a16:creationId xmlns:a16="http://schemas.microsoft.com/office/drawing/2014/main" id="{00000000-0008-0000-0000-00004A0E0200}"/>
            </a:ext>
          </a:extLst>
        </xdr:cNvPr>
        <xdr:cNvSpPr>
          <a:spLocks noChangeAspect="1" noChangeShapeType="1"/>
        </xdr:cNvSpPr>
      </xdr:nvSpPr>
      <xdr:spPr bwMode="auto">
        <a:xfrm flipV="1">
          <a:off x="1609725" y="64046100"/>
          <a:ext cx="0" cy="933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368</xdr:row>
      <xdr:rowOff>152400</xdr:rowOff>
    </xdr:from>
    <xdr:to>
      <xdr:col>2</xdr:col>
      <xdr:colOff>180975</xdr:colOff>
      <xdr:row>370</xdr:row>
      <xdr:rowOff>76200</xdr:rowOff>
    </xdr:to>
    <xdr:sp macro="" textlink="">
      <xdr:nvSpPr>
        <xdr:cNvPr id="134731" name="Line 63">
          <a:extLst>
            <a:ext uri="{FF2B5EF4-FFF2-40B4-BE49-F238E27FC236}">
              <a16:creationId xmlns:a16="http://schemas.microsoft.com/office/drawing/2014/main" id="{00000000-0008-0000-0000-00004B0E0200}"/>
            </a:ext>
          </a:extLst>
        </xdr:cNvPr>
        <xdr:cNvSpPr>
          <a:spLocks noChangeAspect="1" noChangeShapeType="1"/>
        </xdr:cNvSpPr>
      </xdr:nvSpPr>
      <xdr:spPr bwMode="auto">
        <a:xfrm flipH="1">
          <a:off x="1609725" y="63807975"/>
          <a:ext cx="0" cy="266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704850</xdr:colOff>
      <xdr:row>368</xdr:row>
      <xdr:rowOff>47625</xdr:rowOff>
    </xdr:from>
    <xdr:to>
      <xdr:col>3</xdr:col>
      <xdr:colOff>161925</xdr:colOff>
      <xdr:row>368</xdr:row>
      <xdr:rowOff>47625</xdr:rowOff>
    </xdr:to>
    <xdr:sp macro="" textlink="">
      <xdr:nvSpPr>
        <xdr:cNvPr id="134732" name="Line 64">
          <a:extLst>
            <a:ext uri="{FF2B5EF4-FFF2-40B4-BE49-F238E27FC236}">
              <a16:creationId xmlns:a16="http://schemas.microsoft.com/office/drawing/2014/main" id="{00000000-0008-0000-0000-00004C0E0200}"/>
            </a:ext>
          </a:extLst>
        </xdr:cNvPr>
        <xdr:cNvSpPr>
          <a:spLocks noChangeAspect="1" noChangeShapeType="1"/>
        </xdr:cNvSpPr>
      </xdr:nvSpPr>
      <xdr:spPr bwMode="auto">
        <a:xfrm>
          <a:off x="2133600" y="63703200"/>
          <a:ext cx="1714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123825</xdr:colOff>
      <xdr:row>368</xdr:row>
      <xdr:rowOff>47625</xdr:rowOff>
    </xdr:from>
    <xdr:to>
      <xdr:col>3</xdr:col>
      <xdr:colOff>361950</xdr:colOff>
      <xdr:row>368</xdr:row>
      <xdr:rowOff>47625</xdr:rowOff>
    </xdr:to>
    <xdr:sp macro="" textlink="">
      <xdr:nvSpPr>
        <xdr:cNvPr id="134733" name="Line 65">
          <a:extLst>
            <a:ext uri="{FF2B5EF4-FFF2-40B4-BE49-F238E27FC236}">
              <a16:creationId xmlns:a16="http://schemas.microsoft.com/office/drawing/2014/main" id="{00000000-0008-0000-0000-00004D0E0200}"/>
            </a:ext>
          </a:extLst>
        </xdr:cNvPr>
        <xdr:cNvSpPr>
          <a:spLocks noChangeAspect="1" noChangeShapeType="1"/>
        </xdr:cNvSpPr>
      </xdr:nvSpPr>
      <xdr:spPr bwMode="auto">
        <a:xfrm flipH="1">
          <a:off x="2266950" y="63703200"/>
          <a:ext cx="238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377</xdr:row>
      <xdr:rowOff>0</xdr:rowOff>
    </xdr:from>
    <xdr:to>
      <xdr:col>4</xdr:col>
      <xdr:colOff>276225</xdr:colOff>
      <xdr:row>377</xdr:row>
      <xdr:rowOff>0</xdr:rowOff>
    </xdr:to>
    <xdr:sp macro="" textlink="">
      <xdr:nvSpPr>
        <xdr:cNvPr id="134734" name="Line 66">
          <a:extLst>
            <a:ext uri="{FF2B5EF4-FFF2-40B4-BE49-F238E27FC236}">
              <a16:creationId xmlns:a16="http://schemas.microsoft.com/office/drawing/2014/main" id="{00000000-0008-0000-0000-00004E0E0200}"/>
            </a:ext>
          </a:extLst>
        </xdr:cNvPr>
        <xdr:cNvSpPr>
          <a:spLocks noChangeAspect="1" noChangeShapeType="1"/>
        </xdr:cNvSpPr>
      </xdr:nvSpPr>
      <xdr:spPr bwMode="auto">
        <a:xfrm>
          <a:off x="2238375" y="65131950"/>
          <a:ext cx="895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266700</xdr:colOff>
      <xdr:row>374</xdr:row>
      <xdr:rowOff>133350</xdr:rowOff>
    </xdr:from>
    <xdr:to>
      <xdr:col>4</xdr:col>
      <xdr:colOff>266700</xdr:colOff>
      <xdr:row>375</xdr:row>
      <xdr:rowOff>19050</xdr:rowOff>
    </xdr:to>
    <xdr:sp macro="" textlink="">
      <xdr:nvSpPr>
        <xdr:cNvPr id="134735" name="Line 70">
          <a:extLst>
            <a:ext uri="{FF2B5EF4-FFF2-40B4-BE49-F238E27FC236}">
              <a16:creationId xmlns:a16="http://schemas.microsoft.com/office/drawing/2014/main" id="{00000000-0008-0000-0000-00004F0E0200}"/>
            </a:ext>
          </a:extLst>
        </xdr:cNvPr>
        <xdr:cNvSpPr>
          <a:spLocks noChangeAspect="1" noChangeShapeType="1"/>
        </xdr:cNvSpPr>
      </xdr:nvSpPr>
      <xdr:spPr bwMode="auto">
        <a:xfrm flipV="1">
          <a:off x="3124200" y="64779525"/>
          <a:ext cx="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368</xdr:row>
      <xdr:rowOff>152400</xdr:rowOff>
    </xdr:from>
    <xdr:to>
      <xdr:col>5</xdr:col>
      <xdr:colOff>123825</xdr:colOff>
      <xdr:row>374</xdr:row>
      <xdr:rowOff>152400</xdr:rowOff>
    </xdr:to>
    <xdr:sp macro="" textlink="">
      <xdr:nvSpPr>
        <xdr:cNvPr id="134736" name="Freeform 71">
          <a:extLst>
            <a:ext uri="{FF2B5EF4-FFF2-40B4-BE49-F238E27FC236}">
              <a16:creationId xmlns:a16="http://schemas.microsoft.com/office/drawing/2014/main" id="{00000000-0008-0000-0000-0000500E0200}"/>
            </a:ext>
          </a:extLst>
        </xdr:cNvPr>
        <xdr:cNvSpPr>
          <a:spLocks noChangeAspect="1"/>
        </xdr:cNvSpPr>
      </xdr:nvSpPr>
      <xdr:spPr bwMode="auto">
        <a:xfrm>
          <a:off x="2238375" y="63807975"/>
          <a:ext cx="1457325" cy="990600"/>
        </a:xfrm>
        <a:custGeom>
          <a:avLst/>
          <a:gdLst>
            <a:gd name="T0" fmla="*/ 0 w 323"/>
            <a:gd name="T1" fmla="*/ 2147483647 h 187"/>
            <a:gd name="T2" fmla="*/ 2147483647 w 323"/>
            <a:gd name="T3" fmla="*/ 2147483647 h 187"/>
            <a:gd name="T4" fmla="*/ 2147483647 w 323"/>
            <a:gd name="T5" fmla="*/ 2147483647 h 187"/>
            <a:gd name="T6" fmla="*/ 2147483647 w 323"/>
            <a:gd name="T7" fmla="*/ 2147483647 h 187"/>
            <a:gd name="T8" fmla="*/ 2147483647 w 323"/>
            <a:gd name="T9" fmla="*/ 2147483647 h 187"/>
            <a:gd name="T10" fmla="*/ 2147483647 w 323"/>
            <a:gd name="T11" fmla="*/ 2147483647 h 187"/>
            <a:gd name="T12" fmla="*/ 2147483647 w 323"/>
            <a:gd name="T13" fmla="*/ 2147483647 h 187"/>
            <a:gd name="T14" fmla="*/ 2147483647 w 323"/>
            <a:gd name="T15" fmla="*/ 2147483647 h 187"/>
            <a:gd name="T16" fmla="*/ 2147483647 w 323"/>
            <a:gd name="T17" fmla="*/ 2147483647 h 187"/>
            <a:gd name="T18" fmla="*/ 2147483647 w 323"/>
            <a:gd name="T19" fmla="*/ 2147483647 h 187"/>
            <a:gd name="T20" fmla="*/ 2147483647 w 323"/>
            <a:gd name="T21" fmla="*/ 2147483647 h 18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23" h="187">
              <a:moveTo>
                <a:pt x="0" y="2"/>
              </a:moveTo>
              <a:cubicBezTo>
                <a:pt x="12" y="1"/>
                <a:pt x="25" y="0"/>
                <a:pt x="39" y="3"/>
              </a:cubicBezTo>
              <a:cubicBezTo>
                <a:pt x="53" y="6"/>
                <a:pt x="66" y="15"/>
                <a:pt x="84" y="20"/>
              </a:cubicBezTo>
              <a:cubicBezTo>
                <a:pt x="102" y="25"/>
                <a:pt x="132" y="29"/>
                <a:pt x="148" y="36"/>
              </a:cubicBezTo>
              <a:cubicBezTo>
                <a:pt x="164" y="43"/>
                <a:pt x="168" y="56"/>
                <a:pt x="180" y="62"/>
              </a:cubicBezTo>
              <a:cubicBezTo>
                <a:pt x="192" y="68"/>
                <a:pt x="210" y="67"/>
                <a:pt x="221" y="75"/>
              </a:cubicBezTo>
              <a:cubicBezTo>
                <a:pt x="232" y="83"/>
                <a:pt x="233" y="100"/>
                <a:pt x="243" y="110"/>
              </a:cubicBezTo>
              <a:cubicBezTo>
                <a:pt x="253" y="120"/>
                <a:pt x="274" y="126"/>
                <a:pt x="283" y="134"/>
              </a:cubicBezTo>
              <a:cubicBezTo>
                <a:pt x="292" y="142"/>
                <a:pt x="296" y="151"/>
                <a:pt x="300" y="156"/>
              </a:cubicBezTo>
              <a:cubicBezTo>
                <a:pt x="304" y="161"/>
                <a:pt x="306" y="158"/>
                <a:pt x="310" y="163"/>
              </a:cubicBezTo>
              <a:cubicBezTo>
                <a:pt x="314" y="168"/>
                <a:pt x="321" y="183"/>
                <a:pt x="323" y="187"/>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gradFill rotWithShape="0">
                <a:gsLst>
                  <a:gs pos="0">
                    <a:srgbClr val="F3F3DD"/>
                  </a:gs>
                  <a:gs pos="50000">
                    <a:srgbClr val="707066"/>
                  </a:gs>
                  <a:gs pos="100000">
                    <a:srgbClr val="F3F3DD"/>
                  </a:gs>
                </a:gsLst>
                <a:lin ang="0" scaled="1"/>
              </a:gra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375</xdr:row>
      <xdr:rowOff>47625</xdr:rowOff>
    </xdr:from>
    <xdr:to>
      <xdr:col>3</xdr:col>
      <xdr:colOff>95250</xdr:colOff>
      <xdr:row>377</xdr:row>
      <xdr:rowOff>28575</xdr:rowOff>
    </xdr:to>
    <xdr:sp macro="" textlink="">
      <xdr:nvSpPr>
        <xdr:cNvPr id="134737" name="Line 72">
          <a:extLst>
            <a:ext uri="{FF2B5EF4-FFF2-40B4-BE49-F238E27FC236}">
              <a16:creationId xmlns:a16="http://schemas.microsoft.com/office/drawing/2014/main" id="{00000000-0008-0000-0000-0000510E0200}"/>
            </a:ext>
          </a:extLst>
        </xdr:cNvPr>
        <xdr:cNvSpPr>
          <a:spLocks noChangeAspect="1" noChangeShapeType="1"/>
        </xdr:cNvSpPr>
      </xdr:nvSpPr>
      <xdr:spPr bwMode="auto">
        <a:xfrm>
          <a:off x="2238375" y="64855725"/>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162" name="Drop Down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166" name="Drop Down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167" name="Drop Down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170" name="Drop Down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466725</xdr:colOff>
      <xdr:row>217</xdr:row>
      <xdr:rowOff>57150</xdr:rowOff>
    </xdr:from>
    <xdr:to>
      <xdr:col>8</xdr:col>
      <xdr:colOff>628650</xdr:colOff>
      <xdr:row>235</xdr:row>
      <xdr:rowOff>123825</xdr:rowOff>
    </xdr:to>
    <xdr:pic>
      <xdr:nvPicPr>
        <xdr:cNvPr id="134738" name="Picture 235">
          <a:extLst>
            <a:ext uri="{FF2B5EF4-FFF2-40B4-BE49-F238E27FC236}">
              <a16:creationId xmlns:a16="http://schemas.microsoft.com/office/drawing/2014/main" id="{00000000-0008-0000-0000-0000520E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9850" y="37309425"/>
          <a:ext cx="37338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657225</xdr:colOff>
      <xdr:row>236</xdr:row>
      <xdr:rowOff>47625</xdr:rowOff>
    </xdr:from>
    <xdr:to>
      <xdr:col>8</xdr:col>
      <xdr:colOff>276225</xdr:colOff>
      <xdr:row>248</xdr:row>
      <xdr:rowOff>57150</xdr:rowOff>
    </xdr:to>
    <xdr:pic>
      <xdr:nvPicPr>
        <xdr:cNvPr id="134739" name="Picture 236">
          <a:extLst>
            <a:ext uri="{FF2B5EF4-FFF2-40B4-BE49-F238E27FC236}">
              <a16:creationId xmlns:a16="http://schemas.microsoft.com/office/drawing/2014/main" id="{00000000-0008-0000-0000-0000530E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4725" y="40376475"/>
          <a:ext cx="2476500" cy="195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52</xdr:row>
      <xdr:rowOff>9525</xdr:rowOff>
    </xdr:from>
    <xdr:to>
      <xdr:col>8</xdr:col>
      <xdr:colOff>457200</xdr:colOff>
      <xdr:row>79</xdr:row>
      <xdr:rowOff>66675</xdr:rowOff>
    </xdr:to>
    <xdr:pic>
      <xdr:nvPicPr>
        <xdr:cNvPr id="134740" name="Picture 239">
          <a:extLst>
            <a:ext uri="{FF2B5EF4-FFF2-40B4-BE49-F238E27FC236}">
              <a16:creationId xmlns:a16="http://schemas.microsoft.com/office/drawing/2014/main" id="{00000000-0008-0000-0000-0000540E02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r="5124" b="5103"/>
        <a:stretch>
          <a:fillRect/>
        </a:stretch>
      </xdr:blipFill>
      <xdr:spPr bwMode="auto">
        <a:xfrm>
          <a:off x="0" y="9315450"/>
          <a:ext cx="6172200" cy="444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267" name="Object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268" name="Object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210</xdr:row>
          <xdr:rowOff>95250</xdr:rowOff>
        </xdr:from>
        <xdr:to>
          <xdr:col>8</xdr:col>
          <xdr:colOff>57150</xdr:colOff>
          <xdr:row>212</xdr:row>
          <xdr:rowOff>152400</xdr:rowOff>
        </xdr:to>
        <xdr:sp macro="" textlink="">
          <xdr:nvSpPr>
            <xdr:cNvPr id="1275" name="Object 251" hidden="1">
              <a:extLst>
                <a:ext uri="{63B3BB69-23CF-44E3-9099-C40C66FF867C}">
                  <a14:compatExt spid="_x0000_s1275"/>
                </a:ext>
                <a:ext uri="{FF2B5EF4-FFF2-40B4-BE49-F238E27FC236}">
                  <a16:creationId xmlns:a16="http://schemas.microsoft.com/office/drawing/2014/main" id="{00000000-0008-0000-0000-0000FB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232</xdr:row>
          <xdr:rowOff>0</xdr:rowOff>
        </xdr:from>
        <xdr:to>
          <xdr:col>2</xdr:col>
          <xdr:colOff>428625</xdr:colOff>
          <xdr:row>233</xdr:row>
          <xdr:rowOff>0</xdr:rowOff>
        </xdr:to>
        <xdr:sp macro="" textlink="">
          <xdr:nvSpPr>
            <xdr:cNvPr id="1278" name="Object 254" hidden="1">
              <a:extLst>
                <a:ext uri="{63B3BB69-23CF-44E3-9099-C40C66FF867C}">
                  <a14:compatExt spid="_x0000_s1278"/>
                </a:ext>
                <a:ext uri="{FF2B5EF4-FFF2-40B4-BE49-F238E27FC236}">
                  <a16:creationId xmlns:a16="http://schemas.microsoft.com/office/drawing/2014/main" id="{00000000-0008-0000-0000-0000FE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249</xdr:row>
          <xdr:rowOff>123825</xdr:rowOff>
        </xdr:from>
        <xdr:to>
          <xdr:col>7</xdr:col>
          <xdr:colOff>552450</xdr:colOff>
          <xdr:row>250</xdr:row>
          <xdr:rowOff>133350</xdr:rowOff>
        </xdr:to>
        <xdr:sp macro="" textlink="">
          <xdr:nvSpPr>
            <xdr:cNvPr id="1279" name="Object 255" hidden="1">
              <a:extLst>
                <a:ext uri="{63B3BB69-23CF-44E3-9099-C40C66FF867C}">
                  <a14:compatExt spid="_x0000_s1279"/>
                </a:ext>
                <a:ext uri="{FF2B5EF4-FFF2-40B4-BE49-F238E27FC236}">
                  <a16:creationId xmlns:a16="http://schemas.microsoft.com/office/drawing/2014/main" id="{00000000-0008-0000-0000-0000FF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250</xdr:row>
          <xdr:rowOff>114300</xdr:rowOff>
        </xdr:from>
        <xdr:to>
          <xdr:col>6</xdr:col>
          <xdr:colOff>628650</xdr:colOff>
          <xdr:row>252</xdr:row>
          <xdr:rowOff>0</xdr:rowOff>
        </xdr:to>
        <xdr:sp macro="" textlink="">
          <xdr:nvSpPr>
            <xdr:cNvPr id="1280" name="Object 256" hidden="1">
              <a:extLst>
                <a:ext uri="{63B3BB69-23CF-44E3-9099-C40C66FF867C}">
                  <a14:compatExt spid="_x0000_s1280"/>
                </a:ext>
                <a:ext uri="{FF2B5EF4-FFF2-40B4-BE49-F238E27FC236}">
                  <a16:creationId xmlns:a16="http://schemas.microsoft.com/office/drawing/2014/main" id="{00000000-0008-0000-0000-000000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210</xdr:row>
          <xdr:rowOff>142875</xdr:rowOff>
        </xdr:from>
        <xdr:to>
          <xdr:col>2</xdr:col>
          <xdr:colOff>600075</xdr:colOff>
          <xdr:row>214</xdr:row>
          <xdr:rowOff>104775</xdr:rowOff>
        </xdr:to>
        <xdr:sp macro="" textlink="">
          <xdr:nvSpPr>
            <xdr:cNvPr id="1281" name="Object 257" hidden="1">
              <a:extLst>
                <a:ext uri="{63B3BB69-23CF-44E3-9099-C40C66FF867C}">
                  <a14:compatExt spid="_x0000_s1281"/>
                </a:ext>
                <a:ext uri="{FF2B5EF4-FFF2-40B4-BE49-F238E27FC236}">
                  <a16:creationId xmlns:a16="http://schemas.microsoft.com/office/drawing/2014/main" id="{00000000-0008-0000-0000-000001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215</xdr:row>
          <xdr:rowOff>38100</xdr:rowOff>
        </xdr:from>
        <xdr:to>
          <xdr:col>3</xdr:col>
          <xdr:colOff>381000</xdr:colOff>
          <xdr:row>217</xdr:row>
          <xdr:rowOff>57150</xdr:rowOff>
        </xdr:to>
        <xdr:sp macro="" textlink="">
          <xdr:nvSpPr>
            <xdr:cNvPr id="1282" name="Object 258" hidden="1">
              <a:extLst>
                <a:ext uri="{63B3BB69-23CF-44E3-9099-C40C66FF867C}">
                  <a14:compatExt spid="_x0000_s1282"/>
                </a:ext>
                <a:ext uri="{FF2B5EF4-FFF2-40B4-BE49-F238E27FC236}">
                  <a16:creationId xmlns:a16="http://schemas.microsoft.com/office/drawing/2014/main" id="{00000000-0008-0000-0000-00000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218</xdr:row>
          <xdr:rowOff>85725</xdr:rowOff>
        </xdr:from>
        <xdr:to>
          <xdr:col>3</xdr:col>
          <xdr:colOff>400050</xdr:colOff>
          <xdr:row>222</xdr:row>
          <xdr:rowOff>47625</xdr:rowOff>
        </xdr:to>
        <xdr:sp macro="" textlink="">
          <xdr:nvSpPr>
            <xdr:cNvPr id="1285" name="Object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223</xdr:row>
          <xdr:rowOff>9525</xdr:rowOff>
        </xdr:from>
        <xdr:to>
          <xdr:col>3</xdr:col>
          <xdr:colOff>257175</xdr:colOff>
          <xdr:row>227</xdr:row>
          <xdr:rowOff>0</xdr:rowOff>
        </xdr:to>
        <xdr:sp macro="" textlink="">
          <xdr:nvSpPr>
            <xdr:cNvPr id="1286" name="Object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213</xdr:row>
          <xdr:rowOff>123825</xdr:rowOff>
        </xdr:from>
        <xdr:to>
          <xdr:col>7</xdr:col>
          <xdr:colOff>676275</xdr:colOff>
          <xdr:row>216</xdr:row>
          <xdr:rowOff>38100</xdr:rowOff>
        </xdr:to>
        <xdr:sp macro="" textlink="">
          <xdr:nvSpPr>
            <xdr:cNvPr id="1292" name="Object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228</xdr:row>
          <xdr:rowOff>85725</xdr:rowOff>
        </xdr:from>
        <xdr:to>
          <xdr:col>3</xdr:col>
          <xdr:colOff>304800</xdr:colOff>
          <xdr:row>231</xdr:row>
          <xdr:rowOff>47625</xdr:rowOff>
        </xdr:to>
        <xdr:sp macro="" textlink="">
          <xdr:nvSpPr>
            <xdr:cNvPr id="1293" name="Object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95250</xdr:colOff>
          <xdr:row>255</xdr:row>
          <xdr:rowOff>123825</xdr:rowOff>
        </xdr:from>
        <xdr:to>
          <xdr:col>5</xdr:col>
          <xdr:colOff>371475</xdr:colOff>
          <xdr:row>257</xdr:row>
          <xdr:rowOff>142875</xdr:rowOff>
        </xdr:to>
        <xdr:sp macro="" textlink="">
          <xdr:nvSpPr>
            <xdr:cNvPr id="1314" name="Object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258</xdr:row>
          <xdr:rowOff>0</xdr:rowOff>
        </xdr:from>
        <xdr:to>
          <xdr:col>7</xdr:col>
          <xdr:colOff>314325</xdr:colOff>
          <xdr:row>259</xdr:row>
          <xdr:rowOff>47625</xdr:rowOff>
        </xdr:to>
        <xdr:sp macro="" textlink="">
          <xdr:nvSpPr>
            <xdr:cNvPr id="1315" name="Object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277</xdr:row>
          <xdr:rowOff>9525</xdr:rowOff>
        </xdr:from>
        <xdr:to>
          <xdr:col>8</xdr:col>
          <xdr:colOff>514350</xdr:colOff>
          <xdr:row>281</xdr:row>
          <xdr:rowOff>9525</xdr:rowOff>
        </xdr:to>
        <xdr:sp macro="" textlink="">
          <xdr:nvSpPr>
            <xdr:cNvPr id="1316" name="Object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273</xdr:row>
          <xdr:rowOff>66675</xdr:rowOff>
        </xdr:from>
        <xdr:to>
          <xdr:col>4</xdr:col>
          <xdr:colOff>438150</xdr:colOff>
          <xdr:row>279</xdr:row>
          <xdr:rowOff>0</xdr:rowOff>
        </xdr:to>
        <xdr:sp macro="" textlink="">
          <xdr:nvSpPr>
            <xdr:cNvPr id="1317" name="Object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299</xdr:row>
          <xdr:rowOff>9525</xdr:rowOff>
        </xdr:from>
        <xdr:to>
          <xdr:col>5</xdr:col>
          <xdr:colOff>219075</xdr:colOff>
          <xdr:row>300</xdr:row>
          <xdr:rowOff>38100</xdr:rowOff>
        </xdr:to>
        <xdr:sp macro="" textlink="">
          <xdr:nvSpPr>
            <xdr:cNvPr id="1337" name="Drop Down 313" hidden="1">
              <a:extLst>
                <a:ext uri="{63B3BB69-23CF-44E3-9099-C40C66FF867C}">
                  <a14:compatExt spid="_x0000_s1337"/>
                </a:ext>
                <a:ext uri="{FF2B5EF4-FFF2-40B4-BE49-F238E27FC236}">
                  <a16:creationId xmlns:a16="http://schemas.microsoft.com/office/drawing/2014/main" id="{00000000-0008-0000-0000-00003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447675</xdr:colOff>
          <xdr:row>281</xdr:row>
          <xdr:rowOff>133350</xdr:rowOff>
        </xdr:from>
        <xdr:to>
          <xdr:col>6</xdr:col>
          <xdr:colOff>438150</xdr:colOff>
          <xdr:row>284</xdr:row>
          <xdr:rowOff>19050</xdr:rowOff>
        </xdr:to>
        <xdr:sp macro="" textlink="">
          <xdr:nvSpPr>
            <xdr:cNvPr id="1651" name="Object 627"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4</xdr:col>
      <xdr:colOff>266700</xdr:colOff>
      <xdr:row>374</xdr:row>
      <xdr:rowOff>152400</xdr:rowOff>
    </xdr:from>
    <xdr:to>
      <xdr:col>5</xdr:col>
      <xdr:colOff>123825</xdr:colOff>
      <xdr:row>374</xdr:row>
      <xdr:rowOff>152400</xdr:rowOff>
    </xdr:to>
    <xdr:sp macro="" textlink="">
      <xdr:nvSpPr>
        <xdr:cNvPr id="134741" name="Line 689">
          <a:extLst>
            <a:ext uri="{FF2B5EF4-FFF2-40B4-BE49-F238E27FC236}">
              <a16:creationId xmlns:a16="http://schemas.microsoft.com/office/drawing/2014/main" id="{00000000-0008-0000-0000-0000550E0200}"/>
            </a:ext>
          </a:extLst>
        </xdr:cNvPr>
        <xdr:cNvSpPr>
          <a:spLocks noChangeAspect="1" noChangeShapeType="1"/>
        </xdr:cNvSpPr>
      </xdr:nvSpPr>
      <xdr:spPr bwMode="auto">
        <a:xfrm>
          <a:off x="3124200" y="64798575"/>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533400</xdr:colOff>
      <xdr:row>917</xdr:row>
      <xdr:rowOff>114300</xdr:rowOff>
    </xdr:from>
    <xdr:to>
      <xdr:col>14</xdr:col>
      <xdr:colOff>533400</xdr:colOff>
      <xdr:row>921</xdr:row>
      <xdr:rowOff>0</xdr:rowOff>
    </xdr:to>
    <xdr:sp macro="" textlink="">
      <xdr:nvSpPr>
        <xdr:cNvPr id="134742" name="Line 1038">
          <a:extLst>
            <a:ext uri="{FF2B5EF4-FFF2-40B4-BE49-F238E27FC236}">
              <a16:creationId xmlns:a16="http://schemas.microsoft.com/office/drawing/2014/main" id="{00000000-0008-0000-0000-0000560E0200}"/>
            </a:ext>
          </a:extLst>
        </xdr:cNvPr>
        <xdr:cNvSpPr>
          <a:spLocks noChangeShapeType="1"/>
        </xdr:cNvSpPr>
      </xdr:nvSpPr>
      <xdr:spPr bwMode="auto">
        <a:xfrm flipH="1" flipV="1">
          <a:off x="6505575" y="153466800"/>
          <a:ext cx="0"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xdr:colOff>
      <xdr:row>448</xdr:row>
      <xdr:rowOff>76200</xdr:rowOff>
    </xdr:from>
    <xdr:to>
      <xdr:col>7</xdr:col>
      <xdr:colOff>619125</xdr:colOff>
      <xdr:row>463</xdr:row>
      <xdr:rowOff>0</xdr:rowOff>
    </xdr:to>
    <xdr:grpSp>
      <xdr:nvGrpSpPr>
        <xdr:cNvPr id="134743" name="Group 1073">
          <a:extLst>
            <a:ext uri="{FF2B5EF4-FFF2-40B4-BE49-F238E27FC236}">
              <a16:creationId xmlns:a16="http://schemas.microsoft.com/office/drawing/2014/main" id="{00000000-0008-0000-0000-0000570E0200}"/>
            </a:ext>
          </a:extLst>
        </xdr:cNvPr>
        <xdr:cNvGrpSpPr>
          <a:grpSpLocks/>
        </xdr:cNvGrpSpPr>
      </xdr:nvGrpSpPr>
      <xdr:grpSpPr bwMode="auto">
        <a:xfrm>
          <a:off x="4362450" y="78466950"/>
          <a:ext cx="1279525" cy="2406650"/>
          <a:chOff x="216" y="5358"/>
          <a:chExt cx="144" cy="222"/>
        </a:xfrm>
      </xdr:grpSpPr>
      <xdr:sp macro="" textlink="">
        <xdr:nvSpPr>
          <xdr:cNvPr id="134787" name="AutoShape 1074">
            <a:extLst>
              <a:ext uri="{FF2B5EF4-FFF2-40B4-BE49-F238E27FC236}">
                <a16:creationId xmlns:a16="http://schemas.microsoft.com/office/drawing/2014/main" id="{00000000-0008-0000-0000-0000830E0200}"/>
              </a:ext>
            </a:extLst>
          </xdr:cNvPr>
          <xdr:cNvSpPr>
            <a:spLocks noChangeArrowheads="1"/>
          </xdr:cNvSpPr>
        </xdr:nvSpPr>
        <xdr:spPr bwMode="auto">
          <a:xfrm>
            <a:off x="216" y="5384"/>
            <a:ext cx="144" cy="119"/>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0 w 21600"/>
              <a:gd name="T25" fmla="*/ 3086 h 21600"/>
              <a:gd name="T26" fmla="*/ 1845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C0C0C0" mc:Ignorable="a14" a14:legacySpreadsheetColorIndex="22"/>
              </a:gs>
              <a:gs pos="50000">
                <a:srgbClr val="595959"/>
              </a:gs>
              <a:gs pos="100000">
                <a:srgbClr xmlns:mc="http://schemas.openxmlformats.org/markup-compatibility/2006" xmlns:a14="http://schemas.microsoft.com/office/drawing/2010/main" val="C0C0C0" mc:Ignorable="a14" a14:legacySpreadsheetColorIndex="2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88" name="Line 1075">
            <a:extLst>
              <a:ext uri="{FF2B5EF4-FFF2-40B4-BE49-F238E27FC236}">
                <a16:creationId xmlns:a16="http://schemas.microsoft.com/office/drawing/2014/main" id="{00000000-0008-0000-0000-0000840E0200}"/>
              </a:ext>
            </a:extLst>
          </xdr:cNvPr>
          <xdr:cNvSpPr>
            <a:spLocks noChangeShapeType="1"/>
          </xdr:cNvSpPr>
        </xdr:nvSpPr>
        <xdr:spPr bwMode="auto">
          <a:xfrm>
            <a:off x="288"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89" name="Line 1076">
            <a:extLst>
              <a:ext uri="{FF2B5EF4-FFF2-40B4-BE49-F238E27FC236}">
                <a16:creationId xmlns:a16="http://schemas.microsoft.com/office/drawing/2014/main" id="{00000000-0008-0000-0000-0000850E0200}"/>
              </a:ext>
            </a:extLst>
          </xdr:cNvPr>
          <xdr:cNvSpPr>
            <a:spLocks noChangeShapeType="1"/>
          </xdr:cNvSpPr>
        </xdr:nvSpPr>
        <xdr:spPr bwMode="auto">
          <a:xfrm>
            <a:off x="216"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0" name="Line 1077">
            <a:extLst>
              <a:ext uri="{FF2B5EF4-FFF2-40B4-BE49-F238E27FC236}">
                <a16:creationId xmlns:a16="http://schemas.microsoft.com/office/drawing/2014/main" id="{00000000-0008-0000-0000-0000860E0200}"/>
              </a:ext>
            </a:extLst>
          </xdr:cNvPr>
          <xdr:cNvSpPr>
            <a:spLocks noChangeShapeType="1"/>
          </xdr:cNvSpPr>
        </xdr:nvSpPr>
        <xdr:spPr bwMode="auto">
          <a:xfrm>
            <a:off x="252"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1" name="Line 1078">
            <a:extLst>
              <a:ext uri="{FF2B5EF4-FFF2-40B4-BE49-F238E27FC236}">
                <a16:creationId xmlns:a16="http://schemas.microsoft.com/office/drawing/2014/main" id="{00000000-0008-0000-0000-0000870E0200}"/>
              </a:ext>
            </a:extLst>
          </xdr:cNvPr>
          <xdr:cNvSpPr>
            <a:spLocks noChangeShapeType="1"/>
          </xdr:cNvSpPr>
        </xdr:nvSpPr>
        <xdr:spPr bwMode="auto">
          <a:xfrm>
            <a:off x="360" y="5366"/>
            <a:ext cx="0" cy="213"/>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2" name="Line 1079">
            <a:extLst>
              <a:ext uri="{FF2B5EF4-FFF2-40B4-BE49-F238E27FC236}">
                <a16:creationId xmlns:a16="http://schemas.microsoft.com/office/drawing/2014/main" id="{00000000-0008-0000-0000-0000880E0200}"/>
              </a:ext>
            </a:extLst>
          </xdr:cNvPr>
          <xdr:cNvSpPr>
            <a:spLocks noChangeShapeType="1"/>
          </xdr:cNvSpPr>
        </xdr:nvSpPr>
        <xdr:spPr bwMode="auto">
          <a:xfrm>
            <a:off x="333"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3" name="Line 1080">
            <a:extLst>
              <a:ext uri="{FF2B5EF4-FFF2-40B4-BE49-F238E27FC236}">
                <a16:creationId xmlns:a16="http://schemas.microsoft.com/office/drawing/2014/main" id="{00000000-0008-0000-0000-0000890E0200}"/>
              </a:ext>
            </a:extLst>
          </xdr:cNvPr>
          <xdr:cNvSpPr>
            <a:spLocks noChangeShapeType="1"/>
          </xdr:cNvSpPr>
        </xdr:nvSpPr>
        <xdr:spPr bwMode="auto">
          <a:xfrm>
            <a:off x="216" y="5536"/>
            <a:ext cx="144"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4" name="AutoShape 1081">
            <a:extLst>
              <a:ext uri="{FF2B5EF4-FFF2-40B4-BE49-F238E27FC236}">
                <a16:creationId xmlns:a16="http://schemas.microsoft.com/office/drawing/2014/main" id="{00000000-0008-0000-0000-00008A0E0200}"/>
              </a:ext>
            </a:extLst>
          </xdr:cNvPr>
          <xdr:cNvSpPr>
            <a:spLocks noChangeArrowheads="1"/>
          </xdr:cNvSpPr>
        </xdr:nvSpPr>
        <xdr:spPr bwMode="auto">
          <a:xfrm rot="10800000">
            <a:off x="268" y="5536"/>
            <a:ext cx="92" cy="16"/>
          </a:xfrm>
          <a:prstGeom prst="rtTriangle">
            <a:avLst/>
          </a:prstGeom>
          <a:gradFill rotWithShape="0">
            <a:gsLst>
              <a:gs pos="0">
                <a:srgbClr xmlns:mc="http://schemas.openxmlformats.org/markup-compatibility/2006" xmlns:a14="http://schemas.microsoft.com/office/drawing/2010/main" val="993300" mc:Ignorable="a14" a14:legacySpreadsheetColorIndex="60"/>
              </a:gs>
              <a:gs pos="100000">
                <a:srgbClr val="F5EBE6"/>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5" name="Line 1082">
            <a:extLst>
              <a:ext uri="{FF2B5EF4-FFF2-40B4-BE49-F238E27FC236}">
                <a16:creationId xmlns:a16="http://schemas.microsoft.com/office/drawing/2014/main" id="{00000000-0008-0000-0000-00008B0E0200}"/>
              </a:ext>
            </a:extLst>
          </xdr:cNvPr>
          <xdr:cNvSpPr>
            <a:spLocks noChangeShapeType="1"/>
          </xdr:cNvSpPr>
        </xdr:nvSpPr>
        <xdr:spPr bwMode="auto">
          <a:xfrm>
            <a:off x="288" y="5519"/>
            <a:ext cx="4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6" name="Line 1083">
            <a:extLst>
              <a:ext uri="{FF2B5EF4-FFF2-40B4-BE49-F238E27FC236}">
                <a16:creationId xmlns:a16="http://schemas.microsoft.com/office/drawing/2014/main" id="{00000000-0008-0000-0000-00008C0E0200}"/>
              </a:ext>
            </a:extLst>
          </xdr:cNvPr>
          <xdr:cNvSpPr>
            <a:spLocks noChangeShapeType="1"/>
          </xdr:cNvSpPr>
        </xdr:nvSpPr>
        <xdr:spPr bwMode="auto">
          <a:xfrm flipH="1">
            <a:off x="252" y="5519"/>
            <a:ext cx="3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7" name="Line 1084">
            <a:extLst>
              <a:ext uri="{FF2B5EF4-FFF2-40B4-BE49-F238E27FC236}">
                <a16:creationId xmlns:a16="http://schemas.microsoft.com/office/drawing/2014/main" id="{00000000-0008-0000-0000-00008D0E0200}"/>
              </a:ext>
            </a:extLst>
          </xdr:cNvPr>
          <xdr:cNvSpPr>
            <a:spLocks noChangeShapeType="1"/>
          </xdr:cNvSpPr>
        </xdr:nvSpPr>
        <xdr:spPr bwMode="auto">
          <a:xfrm flipH="1">
            <a:off x="216" y="5519"/>
            <a:ext cx="7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8" name="Line 1085">
            <a:extLst>
              <a:ext uri="{FF2B5EF4-FFF2-40B4-BE49-F238E27FC236}">
                <a16:creationId xmlns:a16="http://schemas.microsoft.com/office/drawing/2014/main" id="{00000000-0008-0000-0000-00008E0E0200}"/>
              </a:ext>
            </a:extLst>
          </xdr:cNvPr>
          <xdr:cNvSpPr>
            <a:spLocks noChangeShapeType="1"/>
          </xdr:cNvSpPr>
        </xdr:nvSpPr>
        <xdr:spPr bwMode="auto">
          <a:xfrm>
            <a:off x="333" y="5501"/>
            <a:ext cx="0" cy="34"/>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799" name="Line 1086">
            <a:extLst>
              <a:ext uri="{FF2B5EF4-FFF2-40B4-BE49-F238E27FC236}">
                <a16:creationId xmlns:a16="http://schemas.microsoft.com/office/drawing/2014/main" id="{00000000-0008-0000-0000-00008F0E0200}"/>
              </a:ext>
            </a:extLst>
          </xdr:cNvPr>
          <xdr:cNvSpPr>
            <a:spLocks noChangeShapeType="1"/>
          </xdr:cNvSpPr>
        </xdr:nvSpPr>
        <xdr:spPr bwMode="auto">
          <a:xfrm>
            <a:off x="268" y="5358"/>
            <a:ext cx="0" cy="222"/>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0" name="Line 1087">
            <a:extLst>
              <a:ext uri="{FF2B5EF4-FFF2-40B4-BE49-F238E27FC236}">
                <a16:creationId xmlns:a16="http://schemas.microsoft.com/office/drawing/2014/main" id="{00000000-0008-0000-0000-0000900E0200}"/>
              </a:ext>
            </a:extLst>
          </xdr:cNvPr>
          <xdr:cNvSpPr>
            <a:spLocks noChangeShapeType="1"/>
          </xdr:cNvSpPr>
        </xdr:nvSpPr>
        <xdr:spPr bwMode="auto">
          <a:xfrm flipH="1">
            <a:off x="268" y="5570"/>
            <a:ext cx="9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1" name="Oval 1088">
            <a:extLst>
              <a:ext uri="{FF2B5EF4-FFF2-40B4-BE49-F238E27FC236}">
                <a16:creationId xmlns:a16="http://schemas.microsoft.com/office/drawing/2014/main" id="{00000000-0008-0000-0000-0000910E0200}"/>
              </a:ext>
            </a:extLst>
          </xdr:cNvPr>
          <xdr:cNvSpPr>
            <a:spLocks noChangeArrowheads="1"/>
          </xdr:cNvSpPr>
        </xdr:nvSpPr>
        <xdr:spPr bwMode="auto">
          <a:xfrm>
            <a:off x="331"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2" name="Oval 1089">
            <a:extLst>
              <a:ext uri="{FF2B5EF4-FFF2-40B4-BE49-F238E27FC236}">
                <a16:creationId xmlns:a16="http://schemas.microsoft.com/office/drawing/2014/main" id="{00000000-0008-0000-0000-0000920E0200}"/>
              </a:ext>
            </a:extLst>
          </xdr:cNvPr>
          <xdr:cNvSpPr>
            <a:spLocks noChangeArrowheads="1"/>
          </xdr:cNvSpPr>
        </xdr:nvSpPr>
        <xdr:spPr bwMode="auto">
          <a:xfrm>
            <a:off x="286"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34803" name="Oval 1090">
            <a:extLst>
              <a:ext uri="{FF2B5EF4-FFF2-40B4-BE49-F238E27FC236}">
                <a16:creationId xmlns:a16="http://schemas.microsoft.com/office/drawing/2014/main" id="{00000000-0008-0000-0000-0000930E0200}"/>
              </a:ext>
            </a:extLst>
          </xdr:cNvPr>
          <xdr:cNvSpPr>
            <a:spLocks noChangeArrowheads="1"/>
          </xdr:cNvSpPr>
        </xdr:nvSpPr>
        <xdr:spPr bwMode="auto">
          <a:xfrm>
            <a:off x="286" y="5517"/>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0</xdr:colOff>
      <xdr:row>412</xdr:row>
      <xdr:rowOff>114300</xdr:rowOff>
    </xdr:from>
    <xdr:to>
      <xdr:col>4</xdr:col>
      <xdr:colOff>0</xdr:colOff>
      <xdr:row>425</xdr:row>
      <xdr:rowOff>123825</xdr:rowOff>
    </xdr:to>
    <xdr:sp macro="" textlink="">
      <xdr:nvSpPr>
        <xdr:cNvPr id="134744" name="AutoShape 1091">
          <a:extLst>
            <a:ext uri="{FF2B5EF4-FFF2-40B4-BE49-F238E27FC236}">
              <a16:creationId xmlns:a16="http://schemas.microsoft.com/office/drawing/2014/main" id="{00000000-0008-0000-0000-0000580E0200}"/>
            </a:ext>
          </a:extLst>
        </xdr:cNvPr>
        <xdr:cNvSpPr>
          <a:spLocks noChangeArrowheads="1"/>
        </xdr:cNvSpPr>
      </xdr:nvSpPr>
      <xdr:spPr bwMode="auto">
        <a:xfrm>
          <a:off x="714375" y="71275575"/>
          <a:ext cx="2143125" cy="21145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99CCFF" mc:Ignorable="a14" a14:legacySpreadsheetColorIndex="44"/>
            </a:gs>
            <a:gs pos="50000">
              <a:srgbClr val="475E76"/>
            </a:gs>
            <a:gs pos="100000">
              <a:srgbClr xmlns:mc="http://schemas.openxmlformats.org/markup-compatibility/2006" xmlns:a14="http://schemas.microsoft.com/office/drawing/2010/main" val="99CCFF" mc:Ignorable="a14" a14:legacySpreadsheetColorIndex="44"/>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66675</xdr:colOff>
      <xdr:row>413</xdr:row>
      <xdr:rowOff>9525</xdr:rowOff>
    </xdr:from>
    <xdr:to>
      <xdr:col>3</xdr:col>
      <xdr:colOff>647700</xdr:colOff>
      <xdr:row>425</xdr:row>
      <xdr:rowOff>66675</xdr:rowOff>
    </xdr:to>
    <xdr:sp macro="" textlink="">
      <xdr:nvSpPr>
        <xdr:cNvPr id="134745" name="AutoShape 1092">
          <a:extLst>
            <a:ext uri="{FF2B5EF4-FFF2-40B4-BE49-F238E27FC236}">
              <a16:creationId xmlns:a16="http://schemas.microsoft.com/office/drawing/2014/main" id="{00000000-0008-0000-0000-0000590E0200}"/>
            </a:ext>
          </a:extLst>
        </xdr:cNvPr>
        <xdr:cNvSpPr>
          <a:spLocks noChangeArrowheads="1"/>
        </xdr:cNvSpPr>
      </xdr:nvSpPr>
      <xdr:spPr bwMode="auto">
        <a:xfrm>
          <a:off x="781050" y="71332725"/>
          <a:ext cx="2009775" cy="20002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283" y="10800"/>
              </a:moveTo>
              <a:cubicBezTo>
                <a:pt x="1283" y="16056"/>
                <a:pt x="5544" y="20317"/>
                <a:pt x="10800" y="20317"/>
              </a:cubicBezTo>
              <a:cubicBezTo>
                <a:pt x="16056" y="20317"/>
                <a:pt x="20317" y="16056"/>
                <a:pt x="20317" y="10800"/>
              </a:cubicBezTo>
              <a:cubicBezTo>
                <a:pt x="20317" y="5544"/>
                <a:pt x="16056" y="1283"/>
                <a:pt x="10800" y="1283"/>
              </a:cubicBezTo>
              <a:cubicBezTo>
                <a:pt x="5544" y="1283"/>
                <a:pt x="1283" y="5544"/>
                <a:pt x="1283" y="10800"/>
              </a:cubicBezTo>
              <a:close/>
            </a:path>
          </a:pathLst>
        </a:cu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425</xdr:row>
      <xdr:rowOff>142875</xdr:rowOff>
    </xdr:from>
    <xdr:to>
      <xdr:col>4</xdr:col>
      <xdr:colOff>0</xdr:colOff>
      <xdr:row>425</xdr:row>
      <xdr:rowOff>142875</xdr:rowOff>
    </xdr:to>
    <xdr:sp macro="" textlink="">
      <xdr:nvSpPr>
        <xdr:cNvPr id="134746" name="Line 1093">
          <a:extLst>
            <a:ext uri="{FF2B5EF4-FFF2-40B4-BE49-F238E27FC236}">
              <a16:creationId xmlns:a16="http://schemas.microsoft.com/office/drawing/2014/main" id="{00000000-0008-0000-0000-00005A0E0200}"/>
            </a:ext>
          </a:extLst>
        </xdr:cNvPr>
        <xdr:cNvSpPr>
          <a:spLocks noChangeShapeType="1"/>
        </xdr:cNvSpPr>
      </xdr:nvSpPr>
      <xdr:spPr bwMode="auto">
        <a:xfrm flipV="1">
          <a:off x="714375" y="73409175"/>
          <a:ext cx="2143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542925</xdr:colOff>
      <xdr:row>419</xdr:row>
      <xdr:rowOff>47625</xdr:rowOff>
    </xdr:from>
    <xdr:to>
      <xdr:col>3</xdr:col>
      <xdr:colOff>180975</xdr:colOff>
      <xdr:row>419</xdr:row>
      <xdr:rowOff>47625</xdr:rowOff>
    </xdr:to>
    <xdr:sp macro="" textlink="">
      <xdr:nvSpPr>
        <xdr:cNvPr id="134747" name="Line 1094">
          <a:extLst>
            <a:ext uri="{FF2B5EF4-FFF2-40B4-BE49-F238E27FC236}">
              <a16:creationId xmlns:a16="http://schemas.microsoft.com/office/drawing/2014/main" id="{00000000-0008-0000-0000-00005B0E0200}"/>
            </a:ext>
          </a:extLst>
        </xdr:cNvPr>
        <xdr:cNvSpPr>
          <a:spLocks noChangeShapeType="1"/>
        </xdr:cNvSpPr>
      </xdr:nvSpPr>
      <xdr:spPr bwMode="auto">
        <a:xfrm>
          <a:off x="1257300" y="72342375"/>
          <a:ext cx="10668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561975</xdr:colOff>
      <xdr:row>426</xdr:row>
      <xdr:rowOff>0</xdr:rowOff>
    </xdr:from>
    <xdr:to>
      <xdr:col>7</xdr:col>
      <xdr:colOff>514350</xdr:colOff>
      <xdr:row>426</xdr:row>
      <xdr:rowOff>0</xdr:rowOff>
    </xdr:to>
    <xdr:sp macro="" textlink="">
      <xdr:nvSpPr>
        <xdr:cNvPr id="134748" name="Line 1095">
          <a:extLst>
            <a:ext uri="{FF2B5EF4-FFF2-40B4-BE49-F238E27FC236}">
              <a16:creationId xmlns:a16="http://schemas.microsoft.com/office/drawing/2014/main" id="{00000000-0008-0000-0000-00005C0E0200}"/>
            </a:ext>
          </a:extLst>
        </xdr:cNvPr>
        <xdr:cNvSpPr>
          <a:spLocks noChangeShapeType="1"/>
        </xdr:cNvSpPr>
      </xdr:nvSpPr>
      <xdr:spPr bwMode="auto">
        <a:xfrm>
          <a:off x="3419475" y="73428225"/>
          <a:ext cx="20955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420</xdr:row>
      <xdr:rowOff>85725</xdr:rowOff>
    </xdr:from>
    <xdr:to>
      <xdr:col>7</xdr:col>
      <xdr:colOff>628650</xdr:colOff>
      <xdr:row>424</xdr:row>
      <xdr:rowOff>28575</xdr:rowOff>
    </xdr:to>
    <xdr:sp macro="" textlink="">
      <xdr:nvSpPr>
        <xdr:cNvPr id="134749" name="Line 1096">
          <a:extLst>
            <a:ext uri="{FF2B5EF4-FFF2-40B4-BE49-F238E27FC236}">
              <a16:creationId xmlns:a16="http://schemas.microsoft.com/office/drawing/2014/main" id="{00000000-0008-0000-0000-00005D0E0200}"/>
            </a:ext>
          </a:extLst>
        </xdr:cNvPr>
        <xdr:cNvSpPr>
          <a:spLocks noChangeShapeType="1"/>
        </xdr:cNvSpPr>
      </xdr:nvSpPr>
      <xdr:spPr bwMode="auto">
        <a:xfrm flipV="1">
          <a:off x="5629275" y="72542400"/>
          <a:ext cx="0" cy="590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417</xdr:row>
      <xdr:rowOff>19050</xdr:rowOff>
    </xdr:from>
    <xdr:to>
      <xdr:col>7</xdr:col>
      <xdr:colOff>628650</xdr:colOff>
      <xdr:row>420</xdr:row>
      <xdr:rowOff>85725</xdr:rowOff>
    </xdr:to>
    <xdr:sp macro="" textlink="">
      <xdr:nvSpPr>
        <xdr:cNvPr id="134750" name="Line 1097">
          <a:extLst>
            <a:ext uri="{FF2B5EF4-FFF2-40B4-BE49-F238E27FC236}">
              <a16:creationId xmlns:a16="http://schemas.microsoft.com/office/drawing/2014/main" id="{00000000-0008-0000-0000-00005E0E0200}"/>
            </a:ext>
          </a:extLst>
        </xdr:cNvPr>
        <xdr:cNvSpPr>
          <a:spLocks noChangeShapeType="1"/>
        </xdr:cNvSpPr>
      </xdr:nvSpPr>
      <xdr:spPr bwMode="auto">
        <a:xfrm flipH="1" flipV="1">
          <a:off x="5629275" y="71989950"/>
          <a:ext cx="0" cy="552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666750</xdr:colOff>
      <xdr:row>424</xdr:row>
      <xdr:rowOff>114300</xdr:rowOff>
    </xdr:from>
    <xdr:to>
      <xdr:col>6</xdr:col>
      <xdr:colOff>571500</xdr:colOff>
      <xdr:row>424</xdr:row>
      <xdr:rowOff>114300</xdr:rowOff>
    </xdr:to>
    <xdr:sp macro="" textlink="">
      <xdr:nvSpPr>
        <xdr:cNvPr id="134751" name="Line 1098">
          <a:extLst>
            <a:ext uri="{FF2B5EF4-FFF2-40B4-BE49-F238E27FC236}">
              <a16:creationId xmlns:a16="http://schemas.microsoft.com/office/drawing/2014/main" id="{00000000-0008-0000-0000-00005F0E0200}"/>
            </a:ext>
          </a:extLst>
        </xdr:cNvPr>
        <xdr:cNvSpPr>
          <a:spLocks noChangeShapeType="1"/>
        </xdr:cNvSpPr>
      </xdr:nvSpPr>
      <xdr:spPr bwMode="auto">
        <a:xfrm rot="16200000" flipV="1">
          <a:off x="4548188" y="72909112"/>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571500</xdr:colOff>
      <xdr:row>424</xdr:row>
      <xdr:rowOff>114300</xdr:rowOff>
    </xdr:from>
    <xdr:to>
      <xdr:col>7</xdr:col>
      <xdr:colOff>523875</xdr:colOff>
      <xdr:row>424</xdr:row>
      <xdr:rowOff>114300</xdr:rowOff>
    </xdr:to>
    <xdr:sp macro="" textlink="">
      <xdr:nvSpPr>
        <xdr:cNvPr id="134752" name="Line 1099">
          <a:extLst>
            <a:ext uri="{FF2B5EF4-FFF2-40B4-BE49-F238E27FC236}">
              <a16:creationId xmlns:a16="http://schemas.microsoft.com/office/drawing/2014/main" id="{00000000-0008-0000-0000-0000600E0200}"/>
            </a:ext>
          </a:extLst>
        </xdr:cNvPr>
        <xdr:cNvSpPr>
          <a:spLocks noChangeShapeType="1"/>
        </xdr:cNvSpPr>
      </xdr:nvSpPr>
      <xdr:spPr bwMode="auto">
        <a:xfrm rot="5400000">
          <a:off x="5191125" y="72885300"/>
          <a:ext cx="0" cy="6667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352425</xdr:colOff>
      <xdr:row>419</xdr:row>
      <xdr:rowOff>47625</xdr:rowOff>
    </xdr:from>
    <xdr:to>
      <xdr:col>2</xdr:col>
      <xdr:colOff>352425</xdr:colOff>
      <xdr:row>423</xdr:row>
      <xdr:rowOff>133350</xdr:rowOff>
    </xdr:to>
    <xdr:sp macro="" textlink="">
      <xdr:nvSpPr>
        <xdr:cNvPr id="134753" name="Line 1100">
          <a:extLst>
            <a:ext uri="{FF2B5EF4-FFF2-40B4-BE49-F238E27FC236}">
              <a16:creationId xmlns:a16="http://schemas.microsoft.com/office/drawing/2014/main" id="{00000000-0008-0000-0000-0000610E0200}"/>
            </a:ext>
          </a:extLst>
        </xdr:cNvPr>
        <xdr:cNvSpPr>
          <a:spLocks noChangeShapeType="1"/>
        </xdr:cNvSpPr>
      </xdr:nvSpPr>
      <xdr:spPr bwMode="auto">
        <a:xfrm flipH="1">
          <a:off x="1066800" y="72342375"/>
          <a:ext cx="71437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419</xdr:row>
      <xdr:rowOff>19050</xdr:rowOff>
    </xdr:from>
    <xdr:to>
      <xdr:col>2</xdr:col>
      <xdr:colOff>371475</xdr:colOff>
      <xdr:row>419</xdr:row>
      <xdr:rowOff>95250</xdr:rowOff>
    </xdr:to>
    <xdr:sp macro="" textlink="">
      <xdr:nvSpPr>
        <xdr:cNvPr id="134754" name="Oval 1101">
          <a:extLst>
            <a:ext uri="{FF2B5EF4-FFF2-40B4-BE49-F238E27FC236}">
              <a16:creationId xmlns:a16="http://schemas.microsoft.com/office/drawing/2014/main" id="{00000000-0008-0000-0000-0000620E0200}"/>
            </a:ext>
          </a:extLst>
        </xdr:cNvPr>
        <xdr:cNvSpPr>
          <a:spLocks noChangeArrowheads="1"/>
        </xdr:cNvSpPr>
      </xdr:nvSpPr>
      <xdr:spPr bwMode="auto">
        <a:xfrm>
          <a:off x="1724025" y="72313800"/>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round/>
          <a:headEnd/>
          <a:tailEnd/>
        </a:ln>
      </xdr:spPr>
    </xdr:sp>
    <xdr:clientData/>
  </xdr:twoCellAnchor>
  <xdr:twoCellAnchor>
    <xdr:from>
      <xdr:col>1</xdr:col>
      <xdr:colOff>0</xdr:colOff>
      <xdr:row>420</xdr:row>
      <xdr:rowOff>28575</xdr:rowOff>
    </xdr:from>
    <xdr:to>
      <xdr:col>1</xdr:col>
      <xdr:colOff>0</xdr:colOff>
      <xdr:row>426</xdr:row>
      <xdr:rowOff>66675</xdr:rowOff>
    </xdr:to>
    <xdr:sp macro="" textlink="">
      <xdr:nvSpPr>
        <xdr:cNvPr id="134755" name="Line 1102">
          <a:extLst>
            <a:ext uri="{FF2B5EF4-FFF2-40B4-BE49-F238E27FC236}">
              <a16:creationId xmlns:a16="http://schemas.microsoft.com/office/drawing/2014/main" id="{00000000-0008-0000-0000-0000630E0200}"/>
            </a:ext>
          </a:extLst>
        </xdr:cNvPr>
        <xdr:cNvSpPr>
          <a:spLocks noChangeShapeType="1"/>
        </xdr:cNvSpPr>
      </xdr:nvSpPr>
      <xdr:spPr bwMode="auto">
        <a:xfrm>
          <a:off x="714375" y="72485250"/>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420</xdr:row>
      <xdr:rowOff>0</xdr:rowOff>
    </xdr:from>
    <xdr:to>
      <xdr:col>4</xdr:col>
      <xdr:colOff>0</xdr:colOff>
      <xdr:row>426</xdr:row>
      <xdr:rowOff>38100</xdr:rowOff>
    </xdr:to>
    <xdr:sp macro="" textlink="">
      <xdr:nvSpPr>
        <xdr:cNvPr id="134756" name="Line 1103">
          <a:extLst>
            <a:ext uri="{FF2B5EF4-FFF2-40B4-BE49-F238E27FC236}">
              <a16:creationId xmlns:a16="http://schemas.microsoft.com/office/drawing/2014/main" id="{00000000-0008-0000-0000-0000640E0200}"/>
            </a:ext>
          </a:extLst>
        </xdr:cNvPr>
        <xdr:cNvSpPr>
          <a:spLocks noChangeShapeType="1"/>
        </xdr:cNvSpPr>
      </xdr:nvSpPr>
      <xdr:spPr bwMode="auto">
        <a:xfrm>
          <a:off x="2857500" y="72456675"/>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180975</xdr:colOff>
      <xdr:row>418</xdr:row>
      <xdr:rowOff>95250</xdr:rowOff>
    </xdr:from>
    <xdr:to>
      <xdr:col>3</xdr:col>
      <xdr:colOff>180975</xdr:colOff>
      <xdr:row>419</xdr:row>
      <xdr:rowOff>152400</xdr:rowOff>
    </xdr:to>
    <xdr:sp macro="" textlink="">
      <xdr:nvSpPr>
        <xdr:cNvPr id="134757" name="Line 1104">
          <a:extLst>
            <a:ext uri="{FF2B5EF4-FFF2-40B4-BE49-F238E27FC236}">
              <a16:creationId xmlns:a16="http://schemas.microsoft.com/office/drawing/2014/main" id="{00000000-0008-0000-0000-0000650E0200}"/>
            </a:ext>
          </a:extLst>
        </xdr:cNvPr>
        <xdr:cNvSpPr>
          <a:spLocks noChangeShapeType="1"/>
        </xdr:cNvSpPr>
      </xdr:nvSpPr>
      <xdr:spPr bwMode="auto">
        <a:xfrm>
          <a:off x="2324100" y="72228075"/>
          <a:ext cx="0" cy="219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533400</xdr:colOff>
      <xdr:row>418</xdr:row>
      <xdr:rowOff>66675</xdr:rowOff>
    </xdr:from>
    <xdr:to>
      <xdr:col>1</xdr:col>
      <xdr:colOff>533400</xdr:colOff>
      <xdr:row>419</xdr:row>
      <xdr:rowOff>142875</xdr:rowOff>
    </xdr:to>
    <xdr:sp macro="" textlink="">
      <xdr:nvSpPr>
        <xdr:cNvPr id="134758" name="Line 1105">
          <a:extLst>
            <a:ext uri="{FF2B5EF4-FFF2-40B4-BE49-F238E27FC236}">
              <a16:creationId xmlns:a16="http://schemas.microsoft.com/office/drawing/2014/main" id="{00000000-0008-0000-0000-0000660E0200}"/>
            </a:ext>
          </a:extLst>
        </xdr:cNvPr>
        <xdr:cNvSpPr>
          <a:spLocks noChangeShapeType="1"/>
        </xdr:cNvSpPr>
      </xdr:nvSpPr>
      <xdr:spPr bwMode="auto">
        <a:xfrm>
          <a:off x="1247775" y="72199500"/>
          <a:ext cx="0" cy="238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423</xdr:row>
      <xdr:rowOff>76200</xdr:rowOff>
    </xdr:from>
    <xdr:to>
      <xdr:col>1</xdr:col>
      <xdr:colOff>400050</xdr:colOff>
      <xdr:row>423</xdr:row>
      <xdr:rowOff>152400</xdr:rowOff>
    </xdr:to>
    <xdr:sp macro="" textlink="">
      <xdr:nvSpPr>
        <xdr:cNvPr id="134759" name="Line 1106">
          <a:extLst>
            <a:ext uri="{FF2B5EF4-FFF2-40B4-BE49-F238E27FC236}">
              <a16:creationId xmlns:a16="http://schemas.microsoft.com/office/drawing/2014/main" id="{00000000-0008-0000-0000-0000670E0200}"/>
            </a:ext>
          </a:extLst>
        </xdr:cNvPr>
        <xdr:cNvSpPr>
          <a:spLocks noChangeShapeType="1"/>
        </xdr:cNvSpPr>
      </xdr:nvSpPr>
      <xdr:spPr bwMode="auto">
        <a:xfrm>
          <a:off x="1038225" y="73018650"/>
          <a:ext cx="76200" cy="762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571500</xdr:colOff>
      <xdr:row>424</xdr:row>
      <xdr:rowOff>47625</xdr:rowOff>
    </xdr:from>
    <xdr:to>
      <xdr:col>6</xdr:col>
      <xdr:colOff>571500</xdr:colOff>
      <xdr:row>425</xdr:row>
      <xdr:rowOff>19050</xdr:rowOff>
    </xdr:to>
    <xdr:sp macro="" textlink="">
      <xdr:nvSpPr>
        <xdr:cNvPr id="134760" name="Line 1107">
          <a:extLst>
            <a:ext uri="{FF2B5EF4-FFF2-40B4-BE49-F238E27FC236}">
              <a16:creationId xmlns:a16="http://schemas.microsoft.com/office/drawing/2014/main" id="{00000000-0008-0000-0000-0000680E0200}"/>
            </a:ext>
          </a:extLst>
        </xdr:cNvPr>
        <xdr:cNvSpPr>
          <a:spLocks noChangeShapeType="1"/>
        </xdr:cNvSpPr>
      </xdr:nvSpPr>
      <xdr:spPr bwMode="auto">
        <a:xfrm>
          <a:off x="4857750" y="73152000"/>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523875</xdr:colOff>
      <xdr:row>424</xdr:row>
      <xdr:rowOff>47625</xdr:rowOff>
    </xdr:from>
    <xdr:to>
      <xdr:col>7</xdr:col>
      <xdr:colOff>523875</xdr:colOff>
      <xdr:row>426</xdr:row>
      <xdr:rowOff>66675</xdr:rowOff>
    </xdr:to>
    <xdr:sp macro="" textlink="">
      <xdr:nvSpPr>
        <xdr:cNvPr id="134761" name="Line 1108">
          <a:extLst>
            <a:ext uri="{FF2B5EF4-FFF2-40B4-BE49-F238E27FC236}">
              <a16:creationId xmlns:a16="http://schemas.microsoft.com/office/drawing/2014/main" id="{00000000-0008-0000-0000-0000690E0200}"/>
            </a:ext>
          </a:extLst>
        </xdr:cNvPr>
        <xdr:cNvSpPr>
          <a:spLocks noChangeShapeType="1"/>
        </xdr:cNvSpPr>
      </xdr:nvSpPr>
      <xdr:spPr bwMode="auto">
        <a:xfrm>
          <a:off x="5524500" y="73152000"/>
          <a:ext cx="0" cy="3429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424</xdr:row>
      <xdr:rowOff>47625</xdr:rowOff>
    </xdr:from>
    <xdr:to>
      <xdr:col>4</xdr:col>
      <xdr:colOff>561975</xdr:colOff>
      <xdr:row>426</xdr:row>
      <xdr:rowOff>57150</xdr:rowOff>
    </xdr:to>
    <xdr:sp macro="" textlink="">
      <xdr:nvSpPr>
        <xdr:cNvPr id="134762" name="Line 1109">
          <a:extLst>
            <a:ext uri="{FF2B5EF4-FFF2-40B4-BE49-F238E27FC236}">
              <a16:creationId xmlns:a16="http://schemas.microsoft.com/office/drawing/2014/main" id="{00000000-0008-0000-0000-00006A0E0200}"/>
            </a:ext>
          </a:extLst>
        </xdr:cNvPr>
        <xdr:cNvSpPr>
          <a:spLocks noChangeShapeType="1"/>
        </xdr:cNvSpPr>
      </xdr:nvSpPr>
      <xdr:spPr bwMode="auto">
        <a:xfrm flipH="1">
          <a:off x="3419475" y="73152000"/>
          <a:ext cx="0" cy="3333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424</xdr:row>
      <xdr:rowOff>47625</xdr:rowOff>
    </xdr:from>
    <xdr:to>
      <xdr:col>5</xdr:col>
      <xdr:colOff>666750</xdr:colOff>
      <xdr:row>425</xdr:row>
      <xdr:rowOff>19050</xdr:rowOff>
    </xdr:to>
    <xdr:sp macro="" textlink="">
      <xdr:nvSpPr>
        <xdr:cNvPr id="134763" name="Line 1110">
          <a:extLst>
            <a:ext uri="{FF2B5EF4-FFF2-40B4-BE49-F238E27FC236}">
              <a16:creationId xmlns:a16="http://schemas.microsoft.com/office/drawing/2014/main" id="{00000000-0008-0000-0000-00006B0E0200}"/>
            </a:ext>
          </a:extLst>
        </xdr:cNvPr>
        <xdr:cNvSpPr>
          <a:spLocks noChangeShapeType="1"/>
        </xdr:cNvSpPr>
      </xdr:nvSpPr>
      <xdr:spPr bwMode="auto">
        <a:xfrm flipH="1">
          <a:off x="4238625" y="73152000"/>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415</xdr:row>
      <xdr:rowOff>104775</xdr:rowOff>
    </xdr:from>
    <xdr:to>
      <xdr:col>6</xdr:col>
      <xdr:colOff>571500</xdr:colOff>
      <xdr:row>415</xdr:row>
      <xdr:rowOff>152400</xdr:rowOff>
    </xdr:to>
    <xdr:sp macro="" textlink="">
      <xdr:nvSpPr>
        <xdr:cNvPr id="134764" name="Rectangle 1112">
          <a:extLst>
            <a:ext uri="{FF2B5EF4-FFF2-40B4-BE49-F238E27FC236}">
              <a16:creationId xmlns:a16="http://schemas.microsoft.com/office/drawing/2014/main" id="{00000000-0008-0000-0000-00006C0E0200}"/>
            </a:ext>
          </a:extLst>
        </xdr:cNvPr>
        <xdr:cNvSpPr>
          <a:spLocks noChangeArrowheads="1"/>
        </xdr:cNvSpPr>
      </xdr:nvSpPr>
      <xdr:spPr bwMode="auto">
        <a:xfrm>
          <a:off x="3419475" y="71751825"/>
          <a:ext cx="1438275" cy="4762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412</xdr:row>
      <xdr:rowOff>28575</xdr:rowOff>
    </xdr:from>
    <xdr:to>
      <xdr:col>6</xdr:col>
      <xdr:colOff>314325</xdr:colOff>
      <xdr:row>415</xdr:row>
      <xdr:rowOff>104775</xdr:rowOff>
    </xdr:to>
    <xdr:sp macro="" textlink="">
      <xdr:nvSpPr>
        <xdr:cNvPr id="134765" name="Rectangle 1113">
          <a:extLst>
            <a:ext uri="{FF2B5EF4-FFF2-40B4-BE49-F238E27FC236}">
              <a16:creationId xmlns:a16="http://schemas.microsoft.com/office/drawing/2014/main" id="{00000000-0008-0000-0000-00006D0E0200}"/>
            </a:ext>
          </a:extLst>
        </xdr:cNvPr>
        <xdr:cNvSpPr>
          <a:spLocks noChangeArrowheads="1"/>
        </xdr:cNvSpPr>
      </xdr:nvSpPr>
      <xdr:spPr bwMode="auto">
        <a:xfrm>
          <a:off x="3419475" y="71189850"/>
          <a:ext cx="1181100" cy="561975"/>
        </a:xfrm>
        <a:prstGeom prst="rect">
          <a:avLst/>
        </a:prstGeom>
        <a:gradFill rotWithShape="0">
          <a:gsLst>
            <a:gs pos="0">
              <a:srgbClr val="5E7676"/>
            </a:gs>
            <a:gs pos="100000">
              <a:srgbClr xmlns:mc="http://schemas.openxmlformats.org/markup-compatibility/2006" xmlns:a14="http://schemas.microsoft.com/office/drawing/2010/main" val="CCFFFF" mc:Ignorable="a14" a14:legacySpreadsheetColorIndex="41"/>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416</xdr:row>
      <xdr:rowOff>0</xdr:rowOff>
    </xdr:from>
    <xdr:to>
      <xdr:col>6</xdr:col>
      <xdr:colOff>142875</xdr:colOff>
      <xdr:row>421</xdr:row>
      <xdr:rowOff>47625</xdr:rowOff>
    </xdr:to>
    <xdr:sp macro="" textlink="">
      <xdr:nvSpPr>
        <xdr:cNvPr id="134766" name="Rectangle 1114">
          <a:extLst>
            <a:ext uri="{FF2B5EF4-FFF2-40B4-BE49-F238E27FC236}">
              <a16:creationId xmlns:a16="http://schemas.microsoft.com/office/drawing/2014/main" id="{00000000-0008-0000-0000-00006E0E0200}"/>
            </a:ext>
          </a:extLst>
        </xdr:cNvPr>
        <xdr:cNvSpPr>
          <a:spLocks noChangeArrowheads="1"/>
        </xdr:cNvSpPr>
      </xdr:nvSpPr>
      <xdr:spPr bwMode="auto">
        <a:xfrm>
          <a:off x="3419475" y="71808975"/>
          <a:ext cx="1009650" cy="85725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314325</xdr:colOff>
      <xdr:row>412</xdr:row>
      <xdr:rowOff>28575</xdr:rowOff>
    </xdr:from>
    <xdr:to>
      <xdr:col>6</xdr:col>
      <xdr:colOff>342900</xdr:colOff>
      <xdr:row>415</xdr:row>
      <xdr:rowOff>104775</xdr:rowOff>
    </xdr:to>
    <xdr:sp macro="" textlink="">
      <xdr:nvSpPr>
        <xdr:cNvPr id="134767" name="Rectangle 1115">
          <a:extLst>
            <a:ext uri="{FF2B5EF4-FFF2-40B4-BE49-F238E27FC236}">
              <a16:creationId xmlns:a16="http://schemas.microsoft.com/office/drawing/2014/main" id="{00000000-0008-0000-0000-00006F0E0200}"/>
            </a:ext>
          </a:extLst>
        </xdr:cNvPr>
        <xdr:cNvSpPr>
          <a:spLocks noChangeArrowheads="1"/>
        </xdr:cNvSpPr>
      </xdr:nvSpPr>
      <xdr:spPr bwMode="auto">
        <a:xfrm>
          <a:off x="4600575" y="71189850"/>
          <a:ext cx="28575" cy="56197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533400</xdr:colOff>
      <xdr:row>417</xdr:row>
      <xdr:rowOff>38100</xdr:rowOff>
    </xdr:from>
    <xdr:to>
      <xdr:col>7</xdr:col>
      <xdr:colOff>523875</xdr:colOff>
      <xdr:row>421</xdr:row>
      <xdr:rowOff>38100</xdr:rowOff>
    </xdr:to>
    <xdr:sp macro="" textlink="">
      <xdr:nvSpPr>
        <xdr:cNvPr id="134768" name="Rectangle 1116">
          <a:extLst>
            <a:ext uri="{FF2B5EF4-FFF2-40B4-BE49-F238E27FC236}">
              <a16:creationId xmlns:a16="http://schemas.microsoft.com/office/drawing/2014/main" id="{00000000-0008-0000-0000-0000700E0200}"/>
            </a:ext>
          </a:extLst>
        </xdr:cNvPr>
        <xdr:cNvSpPr>
          <a:spLocks noChangeArrowheads="1"/>
        </xdr:cNvSpPr>
      </xdr:nvSpPr>
      <xdr:spPr bwMode="auto">
        <a:xfrm>
          <a:off x="4819650" y="72009000"/>
          <a:ext cx="704850" cy="64770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420</xdr:row>
      <xdr:rowOff>85725</xdr:rowOff>
    </xdr:from>
    <xdr:to>
      <xdr:col>7</xdr:col>
      <xdr:colOff>523875</xdr:colOff>
      <xdr:row>424</xdr:row>
      <xdr:rowOff>28575</xdr:rowOff>
    </xdr:to>
    <xdr:sp macro="" textlink="">
      <xdr:nvSpPr>
        <xdr:cNvPr id="134769" name="Rectangle 1117">
          <a:extLst>
            <a:ext uri="{FF2B5EF4-FFF2-40B4-BE49-F238E27FC236}">
              <a16:creationId xmlns:a16="http://schemas.microsoft.com/office/drawing/2014/main" id="{00000000-0008-0000-0000-0000710E0200}"/>
            </a:ext>
          </a:extLst>
        </xdr:cNvPr>
        <xdr:cNvSpPr>
          <a:spLocks noChangeArrowheads="1"/>
        </xdr:cNvSpPr>
      </xdr:nvSpPr>
      <xdr:spPr bwMode="auto">
        <a:xfrm>
          <a:off x="3419475" y="72542400"/>
          <a:ext cx="2105025" cy="5905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657225</xdr:colOff>
      <xdr:row>416</xdr:row>
      <xdr:rowOff>0</xdr:rowOff>
    </xdr:from>
    <xdr:to>
      <xdr:col>6</xdr:col>
      <xdr:colOff>571500</xdr:colOff>
      <xdr:row>424</xdr:row>
      <xdr:rowOff>28575</xdr:rowOff>
    </xdr:to>
    <xdr:sp macro="" textlink="">
      <xdr:nvSpPr>
        <xdr:cNvPr id="134770" name="Rectangle 1118">
          <a:extLst>
            <a:ext uri="{FF2B5EF4-FFF2-40B4-BE49-F238E27FC236}">
              <a16:creationId xmlns:a16="http://schemas.microsoft.com/office/drawing/2014/main" id="{00000000-0008-0000-0000-0000720E0200}"/>
            </a:ext>
          </a:extLst>
        </xdr:cNvPr>
        <xdr:cNvSpPr>
          <a:spLocks noChangeArrowheads="1"/>
        </xdr:cNvSpPr>
      </xdr:nvSpPr>
      <xdr:spPr bwMode="auto">
        <a:xfrm rot="-5400000">
          <a:off x="3881437" y="72156638"/>
          <a:ext cx="1323975" cy="6286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415</xdr:row>
      <xdr:rowOff>142875</xdr:rowOff>
    </xdr:from>
    <xdr:to>
      <xdr:col>7</xdr:col>
      <xdr:colOff>628650</xdr:colOff>
      <xdr:row>417</xdr:row>
      <xdr:rowOff>28575</xdr:rowOff>
    </xdr:to>
    <xdr:sp macro="" textlink="">
      <xdr:nvSpPr>
        <xdr:cNvPr id="134771" name="Line 1119">
          <a:extLst>
            <a:ext uri="{FF2B5EF4-FFF2-40B4-BE49-F238E27FC236}">
              <a16:creationId xmlns:a16="http://schemas.microsoft.com/office/drawing/2014/main" id="{00000000-0008-0000-0000-0000730E0200}"/>
            </a:ext>
          </a:extLst>
        </xdr:cNvPr>
        <xdr:cNvSpPr>
          <a:spLocks noChangeShapeType="1"/>
        </xdr:cNvSpPr>
      </xdr:nvSpPr>
      <xdr:spPr bwMode="auto">
        <a:xfrm flipH="1" flipV="1">
          <a:off x="5629275" y="71789925"/>
          <a:ext cx="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561975</xdr:colOff>
      <xdr:row>417</xdr:row>
      <xdr:rowOff>28575</xdr:rowOff>
    </xdr:from>
    <xdr:to>
      <xdr:col>7</xdr:col>
      <xdr:colOff>695325</xdr:colOff>
      <xdr:row>417</xdr:row>
      <xdr:rowOff>28575</xdr:rowOff>
    </xdr:to>
    <xdr:sp macro="" textlink="">
      <xdr:nvSpPr>
        <xdr:cNvPr id="134772" name="Line 1120">
          <a:extLst>
            <a:ext uri="{FF2B5EF4-FFF2-40B4-BE49-F238E27FC236}">
              <a16:creationId xmlns:a16="http://schemas.microsoft.com/office/drawing/2014/main" id="{00000000-0008-0000-0000-0000740E0200}"/>
            </a:ext>
          </a:extLst>
        </xdr:cNvPr>
        <xdr:cNvSpPr>
          <a:spLocks noChangeShapeType="1"/>
        </xdr:cNvSpPr>
      </xdr:nvSpPr>
      <xdr:spPr bwMode="auto">
        <a:xfrm>
          <a:off x="5562600" y="71999475"/>
          <a:ext cx="133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420</xdr:row>
      <xdr:rowOff>95250</xdr:rowOff>
    </xdr:from>
    <xdr:to>
      <xdr:col>7</xdr:col>
      <xdr:colOff>695325</xdr:colOff>
      <xdr:row>420</xdr:row>
      <xdr:rowOff>95250</xdr:rowOff>
    </xdr:to>
    <xdr:sp macro="" textlink="">
      <xdr:nvSpPr>
        <xdr:cNvPr id="134773" name="Line 1121">
          <a:extLst>
            <a:ext uri="{FF2B5EF4-FFF2-40B4-BE49-F238E27FC236}">
              <a16:creationId xmlns:a16="http://schemas.microsoft.com/office/drawing/2014/main" id="{00000000-0008-0000-0000-0000750E0200}"/>
            </a:ext>
          </a:extLst>
        </xdr:cNvPr>
        <xdr:cNvSpPr>
          <a:spLocks noChangeShapeType="1"/>
        </xdr:cNvSpPr>
      </xdr:nvSpPr>
      <xdr:spPr bwMode="auto">
        <a:xfrm>
          <a:off x="5553075" y="72551925"/>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424</xdr:row>
      <xdr:rowOff>28575</xdr:rowOff>
    </xdr:from>
    <xdr:to>
      <xdr:col>7</xdr:col>
      <xdr:colOff>695325</xdr:colOff>
      <xdr:row>424</xdr:row>
      <xdr:rowOff>28575</xdr:rowOff>
    </xdr:to>
    <xdr:sp macro="" textlink="">
      <xdr:nvSpPr>
        <xdr:cNvPr id="134774" name="Line 1122">
          <a:extLst>
            <a:ext uri="{FF2B5EF4-FFF2-40B4-BE49-F238E27FC236}">
              <a16:creationId xmlns:a16="http://schemas.microsoft.com/office/drawing/2014/main" id="{00000000-0008-0000-0000-0000760E0200}"/>
            </a:ext>
          </a:extLst>
        </xdr:cNvPr>
        <xdr:cNvSpPr>
          <a:spLocks noChangeShapeType="1"/>
        </xdr:cNvSpPr>
      </xdr:nvSpPr>
      <xdr:spPr bwMode="auto">
        <a:xfrm>
          <a:off x="5553075" y="73132950"/>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695325</xdr:colOff>
      <xdr:row>415</xdr:row>
      <xdr:rowOff>152400</xdr:rowOff>
    </xdr:from>
    <xdr:to>
      <xdr:col>7</xdr:col>
      <xdr:colOff>685800</xdr:colOff>
      <xdr:row>415</xdr:row>
      <xdr:rowOff>152400</xdr:rowOff>
    </xdr:to>
    <xdr:sp macro="" textlink="">
      <xdr:nvSpPr>
        <xdr:cNvPr id="134775" name="Line 1123">
          <a:extLst>
            <a:ext uri="{FF2B5EF4-FFF2-40B4-BE49-F238E27FC236}">
              <a16:creationId xmlns:a16="http://schemas.microsoft.com/office/drawing/2014/main" id="{00000000-0008-0000-0000-0000770E0200}"/>
            </a:ext>
          </a:extLst>
        </xdr:cNvPr>
        <xdr:cNvSpPr>
          <a:spLocks noChangeShapeType="1"/>
        </xdr:cNvSpPr>
      </xdr:nvSpPr>
      <xdr:spPr bwMode="auto">
        <a:xfrm>
          <a:off x="4981575" y="71799450"/>
          <a:ext cx="7048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9</xdr:col>
          <xdr:colOff>0</xdr:colOff>
          <xdr:row>439</xdr:row>
          <xdr:rowOff>104775</xdr:rowOff>
        </xdr:from>
        <xdr:to>
          <xdr:col>9</xdr:col>
          <xdr:colOff>0</xdr:colOff>
          <xdr:row>442</xdr:row>
          <xdr:rowOff>76200</xdr:rowOff>
        </xdr:to>
        <xdr:sp macro="" textlink="">
          <xdr:nvSpPr>
            <xdr:cNvPr id="7268" name="Object 1124" hidden="1">
              <a:extLst>
                <a:ext uri="{63B3BB69-23CF-44E3-9099-C40C66FF867C}">
                  <a14:compatExt spid="_x0000_s7268"/>
                </a:ext>
                <a:ext uri="{FF2B5EF4-FFF2-40B4-BE49-F238E27FC236}">
                  <a16:creationId xmlns:a16="http://schemas.microsoft.com/office/drawing/2014/main" id="{00000000-0008-0000-0000-000064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449</xdr:row>
      <xdr:rowOff>38100</xdr:rowOff>
    </xdr:from>
    <xdr:to>
      <xdr:col>25</xdr:col>
      <xdr:colOff>552450</xdr:colOff>
      <xdr:row>463</xdr:row>
      <xdr:rowOff>76200</xdr:rowOff>
    </xdr:to>
    <xdr:graphicFrame macro="">
      <xdr:nvGraphicFramePr>
        <xdr:cNvPr id="134776" name="Gráfico 1125">
          <a:extLst>
            <a:ext uri="{FF2B5EF4-FFF2-40B4-BE49-F238E27FC236}">
              <a16:creationId xmlns:a16="http://schemas.microsoft.com/office/drawing/2014/main" id="{00000000-0008-0000-0000-0000780E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28575</xdr:colOff>
      <xdr:row>467</xdr:row>
      <xdr:rowOff>142875</xdr:rowOff>
    </xdr:from>
    <xdr:to>
      <xdr:col>25</xdr:col>
      <xdr:colOff>476250</xdr:colOff>
      <xdr:row>489</xdr:row>
      <xdr:rowOff>9525</xdr:rowOff>
    </xdr:to>
    <xdr:graphicFrame macro="">
      <xdr:nvGraphicFramePr>
        <xdr:cNvPr id="134777" name="Gráfico 1126">
          <a:extLst>
            <a:ext uri="{FF2B5EF4-FFF2-40B4-BE49-F238E27FC236}">
              <a16:creationId xmlns:a16="http://schemas.microsoft.com/office/drawing/2014/main" id="{00000000-0008-0000-0000-0000790E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7398" name="Check Box 1254" hidden="1">
              <a:extLst>
                <a:ext uri="{63B3BB69-23CF-44E3-9099-C40C66FF867C}">
                  <a14:compatExt spid="_x0000_s7398"/>
                </a:ext>
                <a:ext uri="{FF2B5EF4-FFF2-40B4-BE49-F238E27FC236}">
                  <a16:creationId xmlns:a16="http://schemas.microsoft.com/office/drawing/2014/main" id="{00000000-0008-0000-0000-0000E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291</xdr:row>
          <xdr:rowOff>38100</xdr:rowOff>
        </xdr:from>
        <xdr:to>
          <xdr:col>6</xdr:col>
          <xdr:colOff>0</xdr:colOff>
          <xdr:row>293</xdr:row>
          <xdr:rowOff>19050</xdr:rowOff>
        </xdr:to>
        <xdr:sp macro="" textlink="">
          <xdr:nvSpPr>
            <xdr:cNvPr id="7399" name="Object 1255" hidden="1">
              <a:extLst>
                <a:ext uri="{63B3BB69-23CF-44E3-9099-C40C66FF867C}">
                  <a14:compatExt spid="_x0000_s7399"/>
                </a:ext>
                <a:ext uri="{FF2B5EF4-FFF2-40B4-BE49-F238E27FC236}">
                  <a16:creationId xmlns:a16="http://schemas.microsoft.com/office/drawing/2014/main" id="{00000000-0008-0000-0000-0000E71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297</xdr:row>
          <xdr:rowOff>142875</xdr:rowOff>
        </xdr:from>
        <xdr:to>
          <xdr:col>5</xdr:col>
          <xdr:colOff>219075</xdr:colOff>
          <xdr:row>299</xdr:row>
          <xdr:rowOff>9525</xdr:rowOff>
        </xdr:to>
        <xdr:sp macro="" textlink="">
          <xdr:nvSpPr>
            <xdr:cNvPr id="7505" name="Drop Down 1361" hidden="1">
              <a:extLst>
                <a:ext uri="{63B3BB69-23CF-44E3-9099-C40C66FF867C}">
                  <a14:compatExt spid="_x0000_s7505"/>
                </a:ext>
                <a:ext uri="{FF2B5EF4-FFF2-40B4-BE49-F238E27FC236}">
                  <a16:creationId xmlns:a16="http://schemas.microsoft.com/office/drawing/2014/main" id="{00000000-0008-0000-0000-000051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333</xdr:row>
          <xdr:rowOff>9525</xdr:rowOff>
        </xdr:from>
        <xdr:to>
          <xdr:col>5</xdr:col>
          <xdr:colOff>0</xdr:colOff>
          <xdr:row>334</xdr:row>
          <xdr:rowOff>28575</xdr:rowOff>
        </xdr:to>
        <xdr:sp macro="" textlink="">
          <xdr:nvSpPr>
            <xdr:cNvPr id="7626" name="Drop Down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331</xdr:row>
          <xdr:rowOff>0</xdr:rowOff>
        </xdr:from>
        <xdr:to>
          <xdr:col>4</xdr:col>
          <xdr:colOff>704850</xdr:colOff>
          <xdr:row>332</xdr:row>
          <xdr:rowOff>9525</xdr:rowOff>
        </xdr:to>
        <xdr:sp macro="" textlink="">
          <xdr:nvSpPr>
            <xdr:cNvPr id="7635" name="Drop Down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332</xdr:row>
          <xdr:rowOff>0</xdr:rowOff>
        </xdr:from>
        <xdr:to>
          <xdr:col>4</xdr:col>
          <xdr:colOff>704850</xdr:colOff>
          <xdr:row>333</xdr:row>
          <xdr:rowOff>9525</xdr:rowOff>
        </xdr:to>
        <xdr:sp macro="" textlink="">
          <xdr:nvSpPr>
            <xdr:cNvPr id="7637" name="Drop Down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341</xdr:row>
          <xdr:rowOff>19050</xdr:rowOff>
        </xdr:from>
        <xdr:to>
          <xdr:col>4</xdr:col>
          <xdr:colOff>704850</xdr:colOff>
          <xdr:row>342</xdr:row>
          <xdr:rowOff>57150</xdr:rowOff>
        </xdr:to>
        <xdr:sp macro="" textlink="">
          <xdr:nvSpPr>
            <xdr:cNvPr id="7645" name="Drop Down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609600</xdr:colOff>
      <xdr:row>373</xdr:row>
      <xdr:rowOff>85725</xdr:rowOff>
    </xdr:from>
    <xdr:to>
      <xdr:col>5</xdr:col>
      <xdr:colOff>200025</xdr:colOff>
      <xdr:row>374</xdr:row>
      <xdr:rowOff>133350</xdr:rowOff>
    </xdr:to>
    <xdr:sp macro="" textlink="">
      <xdr:nvSpPr>
        <xdr:cNvPr id="134778" name="Line 1511">
          <a:extLst>
            <a:ext uri="{FF2B5EF4-FFF2-40B4-BE49-F238E27FC236}">
              <a16:creationId xmlns:a16="http://schemas.microsoft.com/office/drawing/2014/main" id="{00000000-0008-0000-0000-00007A0E0200}"/>
            </a:ext>
          </a:extLst>
        </xdr:cNvPr>
        <xdr:cNvSpPr>
          <a:spLocks noChangeShapeType="1"/>
        </xdr:cNvSpPr>
      </xdr:nvSpPr>
      <xdr:spPr bwMode="auto">
        <a:xfrm flipH="1">
          <a:off x="3467100" y="64569975"/>
          <a:ext cx="30480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400050</xdr:colOff>
          <xdr:row>358</xdr:row>
          <xdr:rowOff>123825</xdr:rowOff>
        </xdr:from>
        <xdr:to>
          <xdr:col>4</xdr:col>
          <xdr:colOff>704850</xdr:colOff>
          <xdr:row>359</xdr:row>
          <xdr:rowOff>152400</xdr:rowOff>
        </xdr:to>
        <xdr:sp macro="" textlink="">
          <xdr:nvSpPr>
            <xdr:cNvPr id="7659" name="Drop Down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360</xdr:row>
          <xdr:rowOff>0</xdr:rowOff>
        </xdr:from>
        <xdr:to>
          <xdr:col>4</xdr:col>
          <xdr:colOff>704850</xdr:colOff>
          <xdr:row>361</xdr:row>
          <xdr:rowOff>28575</xdr:rowOff>
        </xdr:to>
        <xdr:sp macro="" textlink="">
          <xdr:nvSpPr>
            <xdr:cNvPr id="7660" name="Drop Down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438150</xdr:colOff>
      <xdr:row>413</xdr:row>
      <xdr:rowOff>57150</xdr:rowOff>
    </xdr:from>
    <xdr:to>
      <xdr:col>6</xdr:col>
      <xdr:colOff>466725</xdr:colOff>
      <xdr:row>415</xdr:row>
      <xdr:rowOff>104775</xdr:rowOff>
    </xdr:to>
    <xdr:sp macro="" textlink="">
      <xdr:nvSpPr>
        <xdr:cNvPr id="134779" name="Rectangle 1611">
          <a:extLst>
            <a:ext uri="{FF2B5EF4-FFF2-40B4-BE49-F238E27FC236}">
              <a16:creationId xmlns:a16="http://schemas.microsoft.com/office/drawing/2014/main" id="{00000000-0008-0000-0000-00007B0E0200}"/>
            </a:ext>
          </a:extLst>
        </xdr:cNvPr>
        <xdr:cNvSpPr>
          <a:spLocks noChangeArrowheads="1"/>
        </xdr:cNvSpPr>
      </xdr:nvSpPr>
      <xdr:spPr bwMode="auto">
        <a:xfrm>
          <a:off x="4724400" y="71380350"/>
          <a:ext cx="28575" cy="3714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409575</xdr:colOff>
      <xdr:row>412</xdr:row>
      <xdr:rowOff>142875</xdr:rowOff>
    </xdr:from>
    <xdr:to>
      <xdr:col>6</xdr:col>
      <xdr:colOff>495300</xdr:colOff>
      <xdr:row>413</xdr:row>
      <xdr:rowOff>19050</xdr:rowOff>
    </xdr:to>
    <xdr:sp macro="" textlink="">
      <xdr:nvSpPr>
        <xdr:cNvPr id="134780" name="Rectangle 1612">
          <a:extLst>
            <a:ext uri="{FF2B5EF4-FFF2-40B4-BE49-F238E27FC236}">
              <a16:creationId xmlns:a16="http://schemas.microsoft.com/office/drawing/2014/main" id="{00000000-0008-0000-0000-00007C0E0200}"/>
            </a:ext>
          </a:extLst>
        </xdr:cNvPr>
        <xdr:cNvSpPr>
          <a:spLocks noChangeArrowheads="1"/>
        </xdr:cNvSpPr>
      </xdr:nvSpPr>
      <xdr:spPr bwMode="auto">
        <a:xfrm>
          <a:off x="4695825" y="71304150"/>
          <a:ext cx="85725" cy="381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370</xdr:row>
      <xdr:rowOff>123825</xdr:rowOff>
    </xdr:from>
    <xdr:to>
      <xdr:col>2</xdr:col>
      <xdr:colOff>657225</xdr:colOff>
      <xdr:row>374</xdr:row>
      <xdr:rowOff>133350</xdr:rowOff>
    </xdr:to>
    <xdr:sp macro="" textlink="">
      <xdr:nvSpPr>
        <xdr:cNvPr id="134781" name="Rectangle 1613">
          <a:extLst>
            <a:ext uri="{FF2B5EF4-FFF2-40B4-BE49-F238E27FC236}">
              <a16:creationId xmlns:a16="http://schemas.microsoft.com/office/drawing/2014/main" id="{00000000-0008-0000-0000-00007D0E0200}"/>
            </a:ext>
          </a:extLst>
        </xdr:cNvPr>
        <xdr:cNvSpPr>
          <a:spLocks noChangeArrowheads="1"/>
        </xdr:cNvSpPr>
      </xdr:nvSpPr>
      <xdr:spPr bwMode="auto">
        <a:xfrm>
          <a:off x="2047875" y="64122300"/>
          <a:ext cx="38100" cy="6572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514350</xdr:colOff>
      <xdr:row>370</xdr:row>
      <xdr:rowOff>95250</xdr:rowOff>
    </xdr:from>
    <xdr:to>
      <xdr:col>4</xdr:col>
      <xdr:colOff>161925</xdr:colOff>
      <xdr:row>373</xdr:row>
      <xdr:rowOff>142875</xdr:rowOff>
    </xdr:to>
    <xdr:sp macro="" textlink="">
      <xdr:nvSpPr>
        <xdr:cNvPr id="134782" name="Line 1510">
          <a:extLst>
            <a:ext uri="{FF2B5EF4-FFF2-40B4-BE49-F238E27FC236}">
              <a16:creationId xmlns:a16="http://schemas.microsoft.com/office/drawing/2014/main" id="{00000000-0008-0000-0000-00007E0E0200}"/>
            </a:ext>
          </a:extLst>
        </xdr:cNvPr>
        <xdr:cNvSpPr>
          <a:spLocks noChangeShapeType="1"/>
        </xdr:cNvSpPr>
      </xdr:nvSpPr>
      <xdr:spPr bwMode="auto">
        <a:xfrm flipH="1">
          <a:off x="1943100" y="64093725"/>
          <a:ext cx="1076325"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571500</xdr:colOff>
      <xdr:row>370</xdr:row>
      <xdr:rowOff>19050</xdr:rowOff>
    </xdr:from>
    <xdr:to>
      <xdr:col>2</xdr:col>
      <xdr:colOff>704850</xdr:colOff>
      <xdr:row>370</xdr:row>
      <xdr:rowOff>85725</xdr:rowOff>
    </xdr:to>
    <xdr:sp macro="" textlink="">
      <xdr:nvSpPr>
        <xdr:cNvPr id="134783" name="Rectangle 1614">
          <a:extLst>
            <a:ext uri="{FF2B5EF4-FFF2-40B4-BE49-F238E27FC236}">
              <a16:creationId xmlns:a16="http://schemas.microsoft.com/office/drawing/2014/main" id="{00000000-0008-0000-0000-00007F0E0200}"/>
            </a:ext>
          </a:extLst>
        </xdr:cNvPr>
        <xdr:cNvSpPr>
          <a:spLocks noChangeArrowheads="1"/>
        </xdr:cNvSpPr>
      </xdr:nvSpPr>
      <xdr:spPr bwMode="auto">
        <a:xfrm>
          <a:off x="2000250" y="64017525"/>
          <a:ext cx="133350" cy="66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368</xdr:row>
      <xdr:rowOff>38100</xdr:rowOff>
    </xdr:from>
    <xdr:to>
      <xdr:col>4</xdr:col>
      <xdr:colOff>171450</xdr:colOff>
      <xdr:row>371</xdr:row>
      <xdr:rowOff>104775</xdr:rowOff>
    </xdr:to>
    <xdr:sp macro="" textlink="">
      <xdr:nvSpPr>
        <xdr:cNvPr id="134784" name="Line 1615">
          <a:extLst>
            <a:ext uri="{FF2B5EF4-FFF2-40B4-BE49-F238E27FC236}">
              <a16:creationId xmlns:a16="http://schemas.microsoft.com/office/drawing/2014/main" id="{00000000-0008-0000-0000-0000800E0200}"/>
            </a:ext>
          </a:extLst>
        </xdr:cNvPr>
        <xdr:cNvSpPr>
          <a:spLocks noChangeShapeType="1"/>
        </xdr:cNvSpPr>
      </xdr:nvSpPr>
      <xdr:spPr bwMode="auto">
        <a:xfrm flipH="1">
          <a:off x="2047875" y="63693675"/>
          <a:ext cx="981075" cy="5715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381000</xdr:colOff>
          <xdr:row>343</xdr:row>
          <xdr:rowOff>152400</xdr:rowOff>
        </xdr:from>
        <xdr:to>
          <xdr:col>4</xdr:col>
          <xdr:colOff>685800</xdr:colOff>
          <xdr:row>345</xdr:row>
          <xdr:rowOff>28575</xdr:rowOff>
        </xdr:to>
        <xdr:sp macro="" textlink="">
          <xdr:nvSpPr>
            <xdr:cNvPr id="7837" name="Drop Down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380</xdr:row>
          <xdr:rowOff>104775</xdr:rowOff>
        </xdr:from>
        <xdr:to>
          <xdr:col>5</xdr:col>
          <xdr:colOff>9525</xdr:colOff>
          <xdr:row>381</xdr:row>
          <xdr:rowOff>142875</xdr:rowOff>
        </xdr:to>
        <xdr:sp macro="" textlink="">
          <xdr:nvSpPr>
            <xdr:cNvPr id="7838" name="Drop Down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666750</xdr:colOff>
          <xdr:row>322</xdr:row>
          <xdr:rowOff>66675</xdr:rowOff>
        </xdr:from>
        <xdr:to>
          <xdr:col>4</xdr:col>
          <xdr:colOff>219075</xdr:colOff>
          <xdr:row>323</xdr:row>
          <xdr:rowOff>95250</xdr:rowOff>
        </xdr:to>
        <xdr:sp macro="" textlink="">
          <xdr:nvSpPr>
            <xdr:cNvPr id="7844" name="Check Box 1700" hidden="1">
              <a:extLst>
                <a:ext uri="{63B3BB69-23CF-44E3-9099-C40C66FF867C}">
                  <a14:compatExt spid="_x0000_s7844"/>
                </a:ext>
                <a:ext uri="{FF2B5EF4-FFF2-40B4-BE49-F238E27FC236}">
                  <a16:creationId xmlns:a16="http://schemas.microsoft.com/office/drawing/2014/main" id="{00000000-0008-0000-0000-0000A41E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FFFFFF" mc:Ignorable="a14" a14:legacySpreadsheetColorIndex="9"/>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Usar Anillo Rigidizador como Soporte de Pernos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381</xdr:row>
          <xdr:rowOff>142875</xdr:rowOff>
        </xdr:from>
        <xdr:to>
          <xdr:col>5</xdr:col>
          <xdr:colOff>9525</xdr:colOff>
          <xdr:row>383</xdr:row>
          <xdr:rowOff>9525</xdr:rowOff>
        </xdr:to>
        <xdr:sp macro="" textlink="">
          <xdr:nvSpPr>
            <xdr:cNvPr id="7845" name="Drop Down 1701" hidden="1">
              <a:extLst>
                <a:ext uri="{63B3BB69-23CF-44E3-9099-C40C66FF867C}">
                  <a14:compatExt spid="_x0000_s7845"/>
                </a:ext>
                <a:ext uri="{FF2B5EF4-FFF2-40B4-BE49-F238E27FC236}">
                  <a16:creationId xmlns:a16="http://schemas.microsoft.com/office/drawing/2014/main" id="{00000000-0008-0000-0000-0000A5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322</xdr:row>
          <xdr:rowOff>0</xdr:rowOff>
        </xdr:from>
        <xdr:to>
          <xdr:col>8</xdr:col>
          <xdr:colOff>361950</xdr:colOff>
          <xdr:row>323</xdr:row>
          <xdr:rowOff>133350</xdr:rowOff>
        </xdr:to>
        <xdr:sp macro="" textlink="">
          <xdr:nvSpPr>
            <xdr:cNvPr id="7872" name="Button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Arial"/>
                  <a:cs typeface="Arial"/>
                </a:rPr>
                <a:t>Aplicar Dimensiones Recomendadas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304</xdr:row>
          <xdr:rowOff>28575</xdr:rowOff>
        </xdr:from>
        <xdr:to>
          <xdr:col>4</xdr:col>
          <xdr:colOff>142875</xdr:colOff>
          <xdr:row>305</xdr:row>
          <xdr:rowOff>85725</xdr:rowOff>
        </xdr:to>
        <xdr:sp macro="" textlink="">
          <xdr:nvSpPr>
            <xdr:cNvPr id="7874" name="Check Box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619125</xdr:colOff>
          <xdr:row>274</xdr:row>
          <xdr:rowOff>95250</xdr:rowOff>
        </xdr:from>
        <xdr:to>
          <xdr:col>8</xdr:col>
          <xdr:colOff>590550</xdr:colOff>
          <xdr:row>276</xdr:row>
          <xdr:rowOff>66675</xdr:rowOff>
        </xdr:to>
        <xdr:sp macro="" textlink="">
          <xdr:nvSpPr>
            <xdr:cNvPr id="7910" name="Button 1766" hidden="1">
              <a:extLst>
                <a:ext uri="{63B3BB69-23CF-44E3-9099-C40C66FF867C}">
                  <a14:compatExt spid="_x0000_s7910"/>
                </a:ext>
                <a:ext uri="{FF2B5EF4-FFF2-40B4-BE49-F238E27FC236}">
                  <a16:creationId xmlns:a16="http://schemas.microsoft.com/office/drawing/2014/main" id="{00000000-0008-0000-0000-0000E6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otro tipo de estanque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153</xdr:row>
          <xdr:rowOff>133350</xdr:rowOff>
        </xdr:from>
        <xdr:to>
          <xdr:col>3</xdr:col>
          <xdr:colOff>504825</xdr:colOff>
          <xdr:row>153</xdr:row>
          <xdr:rowOff>333375</xdr:rowOff>
        </xdr:to>
        <xdr:sp macro="" textlink="">
          <xdr:nvSpPr>
            <xdr:cNvPr id="7915" name="Drop Down 1771" hidden="1">
              <a:extLst>
                <a:ext uri="{63B3BB69-23CF-44E3-9099-C40C66FF867C}">
                  <a14:compatExt spid="_x0000_s7915"/>
                </a:ext>
                <a:ext uri="{FF2B5EF4-FFF2-40B4-BE49-F238E27FC236}">
                  <a16:creationId xmlns:a16="http://schemas.microsoft.com/office/drawing/2014/main" id="{00000000-0008-0000-0000-0000EB1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704850</xdr:colOff>
          <xdr:row>122</xdr:row>
          <xdr:rowOff>76200</xdr:rowOff>
        </xdr:from>
        <xdr:to>
          <xdr:col>5</xdr:col>
          <xdr:colOff>466725</xdr:colOff>
          <xdr:row>123</xdr:row>
          <xdr:rowOff>114300</xdr:rowOff>
        </xdr:to>
        <xdr:sp macro="" textlink="">
          <xdr:nvSpPr>
            <xdr:cNvPr id="7956" name="Drop Down 1812" hidden="1">
              <a:extLst>
                <a:ext uri="{63B3BB69-23CF-44E3-9099-C40C66FF867C}">
                  <a14:compatExt spid="_x0000_s7956"/>
                </a:ext>
                <a:ext uri="{FF2B5EF4-FFF2-40B4-BE49-F238E27FC236}">
                  <a16:creationId xmlns:a16="http://schemas.microsoft.com/office/drawing/2014/main" id="{00000000-0008-0000-0000-0000141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581025</xdr:colOff>
      <xdr:row>312</xdr:row>
      <xdr:rowOff>38100</xdr:rowOff>
    </xdr:from>
    <xdr:to>
      <xdr:col>6</xdr:col>
      <xdr:colOff>542925</xdr:colOff>
      <xdr:row>321</xdr:row>
      <xdr:rowOff>161925</xdr:rowOff>
    </xdr:to>
    <xdr:pic>
      <xdr:nvPicPr>
        <xdr:cNvPr id="134785" name="Picture 1836">
          <a:extLst>
            <a:ext uri="{FF2B5EF4-FFF2-40B4-BE49-F238E27FC236}">
              <a16:creationId xmlns:a16="http://schemas.microsoft.com/office/drawing/2014/main" id="{00000000-0008-0000-0000-0000810E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4706" t="10764" r="6471" b="4892"/>
        <a:stretch>
          <a:fillRect/>
        </a:stretch>
      </xdr:blipFill>
      <xdr:spPr bwMode="auto">
        <a:xfrm>
          <a:off x="1295400" y="52920900"/>
          <a:ext cx="3533775" cy="25241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absolute">
    <xdr:from>
      <xdr:col>8</xdr:col>
      <xdr:colOff>114300</xdr:colOff>
      <xdr:row>208</xdr:row>
      <xdr:rowOff>57150</xdr:rowOff>
    </xdr:from>
    <xdr:to>
      <xdr:col>28</xdr:col>
      <xdr:colOff>400050</xdr:colOff>
      <xdr:row>211</xdr:row>
      <xdr:rowOff>0</xdr:rowOff>
    </xdr:to>
    <xdr:sp macro="" textlink="">
      <xdr:nvSpPr>
        <xdr:cNvPr id="1169" name="Text Box 145" hidden="1">
          <a:extLst>
            <a:ext uri="{FF2B5EF4-FFF2-40B4-BE49-F238E27FC236}">
              <a16:creationId xmlns:a16="http://schemas.microsoft.com/office/drawing/2014/main" id="{00000000-0008-0000-0000-000091040000}"/>
            </a:ext>
          </a:extLst>
        </xdr:cNvPr>
        <xdr:cNvSpPr txBox="1">
          <a:spLocks noChangeArrowheads="1"/>
        </xdr:cNvSpPr>
      </xdr:nvSpPr>
      <xdr:spPr bwMode="auto">
        <a:xfrm>
          <a:off x="5829300" y="35823525"/>
          <a:ext cx="1762125" cy="4286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absolute">
    <xdr:from>
      <xdr:col>1</xdr:col>
      <xdr:colOff>142875</xdr:colOff>
      <xdr:row>77</xdr:row>
      <xdr:rowOff>133350</xdr:rowOff>
    </xdr:from>
    <xdr:to>
      <xdr:col>7</xdr:col>
      <xdr:colOff>666750</xdr:colOff>
      <xdr:row>81</xdr:row>
      <xdr:rowOff>0</xdr:rowOff>
    </xdr:to>
    <xdr:sp macro="" textlink="">
      <xdr:nvSpPr>
        <xdr:cNvPr id="1177" name="Text Box 153" hidden="1">
          <a:extLst>
            <a:ext uri="{FF2B5EF4-FFF2-40B4-BE49-F238E27FC236}">
              <a16:creationId xmlns:a16="http://schemas.microsoft.com/office/drawing/2014/main" id="{00000000-0008-0000-0000-000099040000}"/>
            </a:ext>
          </a:extLst>
        </xdr:cNvPr>
        <xdr:cNvSpPr txBox="1">
          <a:spLocks noChangeArrowheads="1"/>
        </xdr:cNvSpPr>
      </xdr:nvSpPr>
      <xdr:spPr bwMode="auto">
        <a:xfrm>
          <a:off x="857250" y="13487400"/>
          <a:ext cx="4810125" cy="695325"/>
        </a:xfrm>
        <a:prstGeom prst="rect">
          <a:avLst/>
        </a:prstGeom>
        <a:solidFill>
          <a:srgbClr xmlns:mc="http://schemas.openxmlformats.org/markup-compatibility/2006" xmlns:a14="http://schemas.microsoft.com/office/drawing/2010/main" val="FFFFE1" mc:Ignorable="a14" a14:legacySpreadsheetColorIndex="80"/>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editAs="oneCell">
    <xdr:from>
      <xdr:col>0</xdr:col>
      <xdr:colOff>76200</xdr:colOff>
      <xdr:row>0</xdr:row>
      <xdr:rowOff>123824</xdr:rowOff>
    </xdr:from>
    <xdr:to>
      <xdr:col>1</xdr:col>
      <xdr:colOff>647700</xdr:colOff>
      <xdr:row>5</xdr:row>
      <xdr:rowOff>21966</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62" t="7713" r="52287" b="73072"/>
        <a:stretch/>
      </xdr:blipFill>
      <xdr:spPr>
        <a:xfrm>
          <a:off x="76200" y="123824"/>
          <a:ext cx="1285875" cy="7077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333375</xdr:colOff>
      <xdr:row>410</xdr:row>
      <xdr:rowOff>19050</xdr:rowOff>
    </xdr:from>
    <xdr:to>
      <xdr:col>6</xdr:col>
      <xdr:colOff>571500</xdr:colOff>
      <xdr:row>410</xdr:row>
      <xdr:rowOff>57150</xdr:rowOff>
    </xdr:to>
    <xdr:sp macro="" textlink="">
      <xdr:nvSpPr>
        <xdr:cNvPr id="187405" name="Rectangle 1">
          <a:extLst>
            <a:ext uri="{FF2B5EF4-FFF2-40B4-BE49-F238E27FC236}">
              <a16:creationId xmlns:a16="http://schemas.microsoft.com/office/drawing/2014/main" id="{00000000-0008-0000-0100-00000DDC0200}"/>
            </a:ext>
          </a:extLst>
        </xdr:cNvPr>
        <xdr:cNvSpPr>
          <a:spLocks noChangeArrowheads="1"/>
        </xdr:cNvSpPr>
      </xdr:nvSpPr>
      <xdr:spPr bwMode="auto">
        <a:xfrm>
          <a:off x="4619625" y="70913625"/>
          <a:ext cx="238125" cy="381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342900</xdr:colOff>
      <xdr:row>410</xdr:row>
      <xdr:rowOff>57150</xdr:rowOff>
    </xdr:from>
    <xdr:to>
      <xdr:col>6</xdr:col>
      <xdr:colOff>571500</xdr:colOff>
      <xdr:row>412</xdr:row>
      <xdr:rowOff>114300</xdr:rowOff>
    </xdr:to>
    <xdr:sp macro="" textlink="">
      <xdr:nvSpPr>
        <xdr:cNvPr id="187406" name="Rectangle 2">
          <a:extLst>
            <a:ext uri="{FF2B5EF4-FFF2-40B4-BE49-F238E27FC236}">
              <a16:creationId xmlns:a16="http://schemas.microsoft.com/office/drawing/2014/main" id="{00000000-0008-0000-0100-00000EDC0200}"/>
            </a:ext>
          </a:extLst>
        </xdr:cNvPr>
        <xdr:cNvSpPr>
          <a:spLocks noChangeArrowheads="1"/>
        </xdr:cNvSpPr>
      </xdr:nvSpPr>
      <xdr:spPr bwMode="auto">
        <a:xfrm>
          <a:off x="4629150" y="70951725"/>
          <a:ext cx="228600" cy="381000"/>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152400</xdr:colOff>
      <xdr:row>374</xdr:row>
      <xdr:rowOff>142875</xdr:rowOff>
    </xdr:from>
    <xdr:to>
      <xdr:col>2</xdr:col>
      <xdr:colOff>419100</xdr:colOff>
      <xdr:row>374</xdr:row>
      <xdr:rowOff>142875</xdr:rowOff>
    </xdr:to>
    <xdr:sp macro="" textlink="">
      <xdr:nvSpPr>
        <xdr:cNvPr id="187407" name="Line 3">
          <a:extLst>
            <a:ext uri="{FF2B5EF4-FFF2-40B4-BE49-F238E27FC236}">
              <a16:creationId xmlns:a16="http://schemas.microsoft.com/office/drawing/2014/main" id="{00000000-0008-0000-0100-00000FDC0200}"/>
            </a:ext>
          </a:extLst>
        </xdr:cNvPr>
        <xdr:cNvSpPr>
          <a:spLocks noChangeAspect="1" noChangeShapeType="1"/>
        </xdr:cNvSpPr>
      </xdr:nvSpPr>
      <xdr:spPr bwMode="auto">
        <a:xfrm flipH="1">
          <a:off x="1581150" y="6487477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375</xdr:row>
      <xdr:rowOff>19050</xdr:rowOff>
    </xdr:from>
    <xdr:to>
      <xdr:col>2</xdr:col>
      <xdr:colOff>419100</xdr:colOff>
      <xdr:row>375</xdr:row>
      <xdr:rowOff>19050</xdr:rowOff>
    </xdr:to>
    <xdr:sp macro="" textlink="">
      <xdr:nvSpPr>
        <xdr:cNvPr id="187408" name="Line 4">
          <a:extLst>
            <a:ext uri="{FF2B5EF4-FFF2-40B4-BE49-F238E27FC236}">
              <a16:creationId xmlns:a16="http://schemas.microsoft.com/office/drawing/2014/main" id="{00000000-0008-0000-0100-000010DC0200}"/>
            </a:ext>
          </a:extLst>
        </xdr:cNvPr>
        <xdr:cNvSpPr>
          <a:spLocks noChangeAspect="1" noChangeShapeType="1"/>
        </xdr:cNvSpPr>
      </xdr:nvSpPr>
      <xdr:spPr bwMode="auto">
        <a:xfrm flipH="1">
          <a:off x="1581150" y="6491287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0</xdr:rowOff>
    </xdr:from>
    <xdr:to>
      <xdr:col>2</xdr:col>
      <xdr:colOff>457200</xdr:colOff>
      <xdr:row>370</xdr:row>
      <xdr:rowOff>38100</xdr:rowOff>
    </xdr:to>
    <xdr:sp macro="" textlink="">
      <xdr:nvSpPr>
        <xdr:cNvPr id="187409" name="Line 5">
          <a:extLst>
            <a:ext uri="{FF2B5EF4-FFF2-40B4-BE49-F238E27FC236}">
              <a16:creationId xmlns:a16="http://schemas.microsoft.com/office/drawing/2014/main" id="{00000000-0008-0000-0100-000011DC0200}"/>
            </a:ext>
          </a:extLst>
        </xdr:cNvPr>
        <xdr:cNvSpPr>
          <a:spLocks noChangeAspect="1" noChangeShapeType="1"/>
        </xdr:cNvSpPr>
      </xdr:nvSpPr>
      <xdr:spPr bwMode="auto">
        <a:xfrm flipH="1" flipV="1">
          <a:off x="1885950" y="63741300"/>
          <a:ext cx="0" cy="3810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368</xdr:row>
      <xdr:rowOff>0</xdr:rowOff>
    </xdr:from>
    <xdr:to>
      <xdr:col>3</xdr:col>
      <xdr:colOff>95250</xdr:colOff>
      <xdr:row>368</xdr:row>
      <xdr:rowOff>114300</xdr:rowOff>
    </xdr:to>
    <xdr:sp macro="" textlink="">
      <xdr:nvSpPr>
        <xdr:cNvPr id="187410" name="Line 6">
          <a:extLst>
            <a:ext uri="{FF2B5EF4-FFF2-40B4-BE49-F238E27FC236}">
              <a16:creationId xmlns:a16="http://schemas.microsoft.com/office/drawing/2014/main" id="{00000000-0008-0000-0100-000012DC0200}"/>
            </a:ext>
          </a:extLst>
        </xdr:cNvPr>
        <xdr:cNvSpPr>
          <a:spLocks noChangeAspect="1" noChangeShapeType="1"/>
        </xdr:cNvSpPr>
      </xdr:nvSpPr>
      <xdr:spPr bwMode="auto">
        <a:xfrm flipV="1">
          <a:off x="2238375" y="63741300"/>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133350</xdr:colOff>
      <xdr:row>368</xdr:row>
      <xdr:rowOff>0</xdr:rowOff>
    </xdr:from>
    <xdr:to>
      <xdr:col>3</xdr:col>
      <xdr:colOff>133350</xdr:colOff>
      <xdr:row>368</xdr:row>
      <xdr:rowOff>114300</xdr:rowOff>
    </xdr:to>
    <xdr:sp macro="" textlink="">
      <xdr:nvSpPr>
        <xdr:cNvPr id="187411" name="Line 7">
          <a:extLst>
            <a:ext uri="{FF2B5EF4-FFF2-40B4-BE49-F238E27FC236}">
              <a16:creationId xmlns:a16="http://schemas.microsoft.com/office/drawing/2014/main" id="{00000000-0008-0000-0100-000013DC0200}"/>
            </a:ext>
          </a:extLst>
        </xdr:cNvPr>
        <xdr:cNvSpPr>
          <a:spLocks noChangeAspect="1" noChangeShapeType="1"/>
        </xdr:cNvSpPr>
      </xdr:nvSpPr>
      <xdr:spPr bwMode="auto">
        <a:xfrm flipV="1">
          <a:off x="2276475" y="63741300"/>
          <a:ext cx="0" cy="1143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276225</xdr:colOff>
      <xdr:row>375</xdr:row>
      <xdr:rowOff>38100</xdr:rowOff>
    </xdr:from>
    <xdr:to>
      <xdr:col>4</xdr:col>
      <xdr:colOff>276225</xdr:colOff>
      <xdr:row>377</xdr:row>
      <xdr:rowOff>19050</xdr:rowOff>
    </xdr:to>
    <xdr:sp macro="" textlink="">
      <xdr:nvSpPr>
        <xdr:cNvPr id="187412" name="Line 8">
          <a:extLst>
            <a:ext uri="{FF2B5EF4-FFF2-40B4-BE49-F238E27FC236}">
              <a16:creationId xmlns:a16="http://schemas.microsoft.com/office/drawing/2014/main" id="{00000000-0008-0000-0100-000014DC0200}"/>
            </a:ext>
          </a:extLst>
        </xdr:cNvPr>
        <xdr:cNvSpPr>
          <a:spLocks noChangeAspect="1" noChangeShapeType="1"/>
        </xdr:cNvSpPr>
      </xdr:nvSpPr>
      <xdr:spPr bwMode="auto">
        <a:xfrm>
          <a:off x="3133725" y="64931925"/>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375</xdr:row>
      <xdr:rowOff>19050</xdr:rowOff>
    </xdr:from>
    <xdr:to>
      <xdr:col>4</xdr:col>
      <xdr:colOff>266700</xdr:colOff>
      <xdr:row>375</xdr:row>
      <xdr:rowOff>19050</xdr:rowOff>
    </xdr:to>
    <xdr:sp macro="" textlink="">
      <xdr:nvSpPr>
        <xdr:cNvPr id="187413" name="Line 9">
          <a:extLst>
            <a:ext uri="{FF2B5EF4-FFF2-40B4-BE49-F238E27FC236}">
              <a16:creationId xmlns:a16="http://schemas.microsoft.com/office/drawing/2014/main" id="{00000000-0008-0000-0100-000015DC0200}"/>
            </a:ext>
          </a:extLst>
        </xdr:cNvPr>
        <xdr:cNvSpPr>
          <a:spLocks noChangeAspect="1" noChangeShapeType="1"/>
        </xdr:cNvSpPr>
      </xdr:nvSpPr>
      <xdr:spPr bwMode="auto">
        <a:xfrm>
          <a:off x="1885950" y="64912875"/>
          <a:ext cx="123825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374</xdr:row>
      <xdr:rowOff>133350</xdr:rowOff>
    </xdr:from>
    <xdr:to>
      <xdr:col>5</xdr:col>
      <xdr:colOff>114300</xdr:colOff>
      <xdr:row>374</xdr:row>
      <xdr:rowOff>133350</xdr:rowOff>
    </xdr:to>
    <xdr:sp macro="" textlink="">
      <xdr:nvSpPr>
        <xdr:cNvPr id="187414" name="Line 10">
          <a:extLst>
            <a:ext uri="{FF2B5EF4-FFF2-40B4-BE49-F238E27FC236}">
              <a16:creationId xmlns:a16="http://schemas.microsoft.com/office/drawing/2014/main" id="{00000000-0008-0000-0100-000016DC0200}"/>
            </a:ext>
          </a:extLst>
        </xdr:cNvPr>
        <xdr:cNvSpPr>
          <a:spLocks noChangeAspect="1" noChangeShapeType="1"/>
        </xdr:cNvSpPr>
      </xdr:nvSpPr>
      <xdr:spPr bwMode="auto">
        <a:xfrm>
          <a:off x="1885950" y="64865250"/>
          <a:ext cx="18002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123825</xdr:rowOff>
    </xdr:from>
    <xdr:to>
      <xdr:col>3</xdr:col>
      <xdr:colOff>85725</xdr:colOff>
      <xdr:row>370</xdr:row>
      <xdr:rowOff>123825</xdr:rowOff>
    </xdr:to>
    <xdr:sp macro="" textlink="">
      <xdr:nvSpPr>
        <xdr:cNvPr id="187415" name="Line 11">
          <a:extLst>
            <a:ext uri="{FF2B5EF4-FFF2-40B4-BE49-F238E27FC236}">
              <a16:creationId xmlns:a16="http://schemas.microsoft.com/office/drawing/2014/main" id="{00000000-0008-0000-0100-000017DC0200}"/>
            </a:ext>
          </a:extLst>
        </xdr:cNvPr>
        <xdr:cNvSpPr>
          <a:spLocks noChangeAspect="1" noChangeShapeType="1"/>
        </xdr:cNvSpPr>
      </xdr:nvSpPr>
      <xdr:spPr bwMode="auto">
        <a:xfrm>
          <a:off x="1885950" y="64208025"/>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2</xdr:col>
      <xdr:colOff>457200</xdr:colOff>
      <xdr:row>375</xdr:row>
      <xdr:rowOff>19050</xdr:rowOff>
    </xdr:to>
    <xdr:sp macro="" textlink="">
      <xdr:nvSpPr>
        <xdr:cNvPr id="187416" name="Line 12">
          <a:extLst>
            <a:ext uri="{FF2B5EF4-FFF2-40B4-BE49-F238E27FC236}">
              <a16:creationId xmlns:a16="http://schemas.microsoft.com/office/drawing/2014/main" id="{00000000-0008-0000-0100-000018DC0200}"/>
            </a:ext>
          </a:extLst>
        </xdr:cNvPr>
        <xdr:cNvSpPr>
          <a:spLocks noChangeAspect="1" noChangeShapeType="1"/>
        </xdr:cNvSpPr>
      </xdr:nvSpPr>
      <xdr:spPr bwMode="auto">
        <a:xfrm flipV="1">
          <a:off x="1885950" y="64169925"/>
          <a:ext cx="0" cy="742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95250</xdr:colOff>
      <xdr:row>369</xdr:row>
      <xdr:rowOff>0</xdr:rowOff>
    </xdr:from>
    <xdr:to>
      <xdr:col>3</xdr:col>
      <xdr:colOff>95250</xdr:colOff>
      <xdr:row>374</xdr:row>
      <xdr:rowOff>133350</xdr:rowOff>
    </xdr:to>
    <xdr:sp macro="" textlink="">
      <xdr:nvSpPr>
        <xdr:cNvPr id="187417" name="Line 13">
          <a:extLst>
            <a:ext uri="{FF2B5EF4-FFF2-40B4-BE49-F238E27FC236}">
              <a16:creationId xmlns:a16="http://schemas.microsoft.com/office/drawing/2014/main" id="{00000000-0008-0000-0100-000019DC0200}"/>
            </a:ext>
          </a:extLst>
        </xdr:cNvPr>
        <xdr:cNvSpPr>
          <a:spLocks noChangeAspect="1" noChangeShapeType="1"/>
        </xdr:cNvSpPr>
      </xdr:nvSpPr>
      <xdr:spPr bwMode="auto">
        <a:xfrm flipV="1">
          <a:off x="2238375" y="63912750"/>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142875</xdr:colOff>
      <xdr:row>369</xdr:row>
      <xdr:rowOff>0</xdr:rowOff>
    </xdr:from>
    <xdr:to>
      <xdr:col>3</xdr:col>
      <xdr:colOff>142875</xdr:colOff>
      <xdr:row>374</xdr:row>
      <xdr:rowOff>133350</xdr:rowOff>
    </xdr:to>
    <xdr:sp macro="" textlink="">
      <xdr:nvSpPr>
        <xdr:cNvPr id="187418" name="Line 14">
          <a:extLst>
            <a:ext uri="{FF2B5EF4-FFF2-40B4-BE49-F238E27FC236}">
              <a16:creationId xmlns:a16="http://schemas.microsoft.com/office/drawing/2014/main" id="{00000000-0008-0000-0100-00001ADC0200}"/>
            </a:ext>
          </a:extLst>
        </xdr:cNvPr>
        <xdr:cNvSpPr>
          <a:spLocks noChangeAspect="1" noChangeShapeType="1"/>
        </xdr:cNvSpPr>
      </xdr:nvSpPr>
      <xdr:spPr bwMode="auto">
        <a:xfrm flipV="1">
          <a:off x="2286000" y="63912750"/>
          <a:ext cx="0" cy="9525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370</xdr:row>
      <xdr:rowOff>85725</xdr:rowOff>
    </xdr:from>
    <xdr:to>
      <xdr:col>3</xdr:col>
      <xdr:colOff>85725</xdr:colOff>
      <xdr:row>370</xdr:row>
      <xdr:rowOff>85725</xdr:rowOff>
    </xdr:to>
    <xdr:sp macro="" textlink="">
      <xdr:nvSpPr>
        <xdr:cNvPr id="187419" name="Line 15">
          <a:extLst>
            <a:ext uri="{FF2B5EF4-FFF2-40B4-BE49-F238E27FC236}">
              <a16:creationId xmlns:a16="http://schemas.microsoft.com/office/drawing/2014/main" id="{00000000-0008-0000-0100-00001BDC0200}"/>
            </a:ext>
          </a:extLst>
        </xdr:cNvPr>
        <xdr:cNvSpPr>
          <a:spLocks noChangeAspect="1" noChangeShapeType="1"/>
        </xdr:cNvSpPr>
      </xdr:nvSpPr>
      <xdr:spPr bwMode="auto">
        <a:xfrm>
          <a:off x="1885950" y="64169925"/>
          <a:ext cx="342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85725</xdr:rowOff>
    </xdr:from>
    <xdr:to>
      <xdr:col>2</xdr:col>
      <xdr:colOff>419100</xdr:colOff>
      <xdr:row>370</xdr:row>
      <xdr:rowOff>85725</xdr:rowOff>
    </xdr:to>
    <xdr:sp macro="" textlink="">
      <xdr:nvSpPr>
        <xdr:cNvPr id="187420" name="Line 16">
          <a:extLst>
            <a:ext uri="{FF2B5EF4-FFF2-40B4-BE49-F238E27FC236}">
              <a16:creationId xmlns:a16="http://schemas.microsoft.com/office/drawing/2014/main" id="{00000000-0008-0000-0100-00001CDC0200}"/>
            </a:ext>
          </a:extLst>
        </xdr:cNvPr>
        <xdr:cNvSpPr>
          <a:spLocks noChangeAspect="1" noChangeShapeType="1"/>
        </xdr:cNvSpPr>
      </xdr:nvSpPr>
      <xdr:spPr bwMode="auto">
        <a:xfrm flipH="1">
          <a:off x="1581150" y="6416992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152400</xdr:colOff>
      <xdr:row>370</xdr:row>
      <xdr:rowOff>123825</xdr:rowOff>
    </xdr:from>
    <xdr:to>
      <xdr:col>2</xdr:col>
      <xdr:colOff>419100</xdr:colOff>
      <xdr:row>370</xdr:row>
      <xdr:rowOff>123825</xdr:rowOff>
    </xdr:to>
    <xdr:sp macro="" textlink="">
      <xdr:nvSpPr>
        <xdr:cNvPr id="187421" name="Line 17">
          <a:extLst>
            <a:ext uri="{FF2B5EF4-FFF2-40B4-BE49-F238E27FC236}">
              <a16:creationId xmlns:a16="http://schemas.microsoft.com/office/drawing/2014/main" id="{00000000-0008-0000-0100-00001DDC0200}"/>
            </a:ext>
          </a:extLst>
        </xdr:cNvPr>
        <xdr:cNvSpPr>
          <a:spLocks noChangeAspect="1" noChangeShapeType="1"/>
        </xdr:cNvSpPr>
      </xdr:nvSpPr>
      <xdr:spPr bwMode="auto">
        <a:xfrm flipH="1">
          <a:off x="1581150" y="64208025"/>
          <a:ext cx="266700" cy="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457200</xdr:colOff>
      <xdr:row>368</xdr:row>
      <xdr:rowOff>47625</xdr:rowOff>
    </xdr:from>
    <xdr:to>
      <xdr:col>3</xdr:col>
      <xdr:colOff>95250</xdr:colOff>
      <xdr:row>368</xdr:row>
      <xdr:rowOff>47625</xdr:rowOff>
    </xdr:to>
    <xdr:sp macro="" textlink="">
      <xdr:nvSpPr>
        <xdr:cNvPr id="187422" name="Line 18">
          <a:extLst>
            <a:ext uri="{FF2B5EF4-FFF2-40B4-BE49-F238E27FC236}">
              <a16:creationId xmlns:a16="http://schemas.microsoft.com/office/drawing/2014/main" id="{00000000-0008-0000-0100-00001EDC0200}"/>
            </a:ext>
          </a:extLst>
        </xdr:cNvPr>
        <xdr:cNvSpPr>
          <a:spLocks noChangeAspect="1" noChangeShapeType="1"/>
        </xdr:cNvSpPr>
      </xdr:nvSpPr>
      <xdr:spPr bwMode="auto">
        <a:xfrm>
          <a:off x="1885950" y="63788925"/>
          <a:ext cx="3524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375</xdr:row>
      <xdr:rowOff>19050</xdr:rowOff>
    </xdr:from>
    <xdr:to>
      <xdr:col>2</xdr:col>
      <xdr:colOff>180975</xdr:colOff>
      <xdr:row>376</xdr:row>
      <xdr:rowOff>85725</xdr:rowOff>
    </xdr:to>
    <xdr:sp macro="" textlink="">
      <xdr:nvSpPr>
        <xdr:cNvPr id="187423" name="Line 19">
          <a:extLst>
            <a:ext uri="{FF2B5EF4-FFF2-40B4-BE49-F238E27FC236}">
              <a16:creationId xmlns:a16="http://schemas.microsoft.com/office/drawing/2014/main" id="{00000000-0008-0000-0100-00001FDC0200}"/>
            </a:ext>
          </a:extLst>
        </xdr:cNvPr>
        <xdr:cNvSpPr>
          <a:spLocks noChangeAspect="1" noChangeShapeType="1"/>
        </xdr:cNvSpPr>
      </xdr:nvSpPr>
      <xdr:spPr bwMode="auto">
        <a:xfrm flipV="1">
          <a:off x="1609725" y="64912875"/>
          <a:ext cx="0" cy="2286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371</xdr:row>
      <xdr:rowOff>0</xdr:rowOff>
    </xdr:from>
    <xdr:to>
      <xdr:col>2</xdr:col>
      <xdr:colOff>180975</xdr:colOff>
      <xdr:row>374</xdr:row>
      <xdr:rowOff>133350</xdr:rowOff>
    </xdr:to>
    <xdr:sp macro="" textlink="">
      <xdr:nvSpPr>
        <xdr:cNvPr id="187424" name="Line 20">
          <a:extLst>
            <a:ext uri="{FF2B5EF4-FFF2-40B4-BE49-F238E27FC236}">
              <a16:creationId xmlns:a16="http://schemas.microsoft.com/office/drawing/2014/main" id="{00000000-0008-0000-0100-000020DC0200}"/>
            </a:ext>
          </a:extLst>
        </xdr:cNvPr>
        <xdr:cNvSpPr>
          <a:spLocks noChangeAspect="1" noChangeShapeType="1"/>
        </xdr:cNvSpPr>
      </xdr:nvSpPr>
      <xdr:spPr bwMode="auto">
        <a:xfrm flipV="1">
          <a:off x="1609725" y="64246125"/>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370</xdr:row>
      <xdr:rowOff>47625</xdr:rowOff>
    </xdr:from>
    <xdr:to>
      <xdr:col>2</xdr:col>
      <xdr:colOff>180975</xdr:colOff>
      <xdr:row>376</xdr:row>
      <xdr:rowOff>9525</xdr:rowOff>
    </xdr:to>
    <xdr:sp macro="" textlink="">
      <xdr:nvSpPr>
        <xdr:cNvPr id="187425" name="Line 21">
          <a:extLst>
            <a:ext uri="{FF2B5EF4-FFF2-40B4-BE49-F238E27FC236}">
              <a16:creationId xmlns:a16="http://schemas.microsoft.com/office/drawing/2014/main" id="{00000000-0008-0000-0100-000021DC0200}"/>
            </a:ext>
          </a:extLst>
        </xdr:cNvPr>
        <xdr:cNvSpPr>
          <a:spLocks noChangeAspect="1" noChangeShapeType="1"/>
        </xdr:cNvSpPr>
      </xdr:nvSpPr>
      <xdr:spPr bwMode="auto">
        <a:xfrm flipV="1">
          <a:off x="1609725" y="64131825"/>
          <a:ext cx="0" cy="933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180975</xdr:colOff>
      <xdr:row>368</xdr:row>
      <xdr:rowOff>152400</xdr:rowOff>
    </xdr:from>
    <xdr:to>
      <xdr:col>2</xdr:col>
      <xdr:colOff>180975</xdr:colOff>
      <xdr:row>370</xdr:row>
      <xdr:rowOff>76200</xdr:rowOff>
    </xdr:to>
    <xdr:sp macro="" textlink="">
      <xdr:nvSpPr>
        <xdr:cNvPr id="187426" name="Line 22">
          <a:extLst>
            <a:ext uri="{FF2B5EF4-FFF2-40B4-BE49-F238E27FC236}">
              <a16:creationId xmlns:a16="http://schemas.microsoft.com/office/drawing/2014/main" id="{00000000-0008-0000-0100-000022DC0200}"/>
            </a:ext>
          </a:extLst>
        </xdr:cNvPr>
        <xdr:cNvSpPr>
          <a:spLocks noChangeAspect="1" noChangeShapeType="1"/>
        </xdr:cNvSpPr>
      </xdr:nvSpPr>
      <xdr:spPr bwMode="auto">
        <a:xfrm flipH="1">
          <a:off x="1609725" y="63893700"/>
          <a:ext cx="0" cy="2667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2</xdr:col>
      <xdr:colOff>704850</xdr:colOff>
      <xdr:row>368</xdr:row>
      <xdr:rowOff>47625</xdr:rowOff>
    </xdr:from>
    <xdr:to>
      <xdr:col>3</xdr:col>
      <xdr:colOff>161925</xdr:colOff>
      <xdr:row>368</xdr:row>
      <xdr:rowOff>47625</xdr:rowOff>
    </xdr:to>
    <xdr:sp macro="" textlink="">
      <xdr:nvSpPr>
        <xdr:cNvPr id="187427" name="Line 23">
          <a:extLst>
            <a:ext uri="{FF2B5EF4-FFF2-40B4-BE49-F238E27FC236}">
              <a16:creationId xmlns:a16="http://schemas.microsoft.com/office/drawing/2014/main" id="{00000000-0008-0000-0100-000023DC0200}"/>
            </a:ext>
          </a:extLst>
        </xdr:cNvPr>
        <xdr:cNvSpPr>
          <a:spLocks noChangeAspect="1" noChangeShapeType="1"/>
        </xdr:cNvSpPr>
      </xdr:nvSpPr>
      <xdr:spPr bwMode="auto">
        <a:xfrm>
          <a:off x="2133600" y="63788925"/>
          <a:ext cx="1714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123825</xdr:colOff>
      <xdr:row>368</xdr:row>
      <xdr:rowOff>47625</xdr:rowOff>
    </xdr:from>
    <xdr:to>
      <xdr:col>3</xdr:col>
      <xdr:colOff>361950</xdr:colOff>
      <xdr:row>368</xdr:row>
      <xdr:rowOff>47625</xdr:rowOff>
    </xdr:to>
    <xdr:sp macro="" textlink="">
      <xdr:nvSpPr>
        <xdr:cNvPr id="187428" name="Line 24">
          <a:extLst>
            <a:ext uri="{FF2B5EF4-FFF2-40B4-BE49-F238E27FC236}">
              <a16:creationId xmlns:a16="http://schemas.microsoft.com/office/drawing/2014/main" id="{00000000-0008-0000-0100-000024DC0200}"/>
            </a:ext>
          </a:extLst>
        </xdr:cNvPr>
        <xdr:cNvSpPr>
          <a:spLocks noChangeAspect="1" noChangeShapeType="1"/>
        </xdr:cNvSpPr>
      </xdr:nvSpPr>
      <xdr:spPr bwMode="auto">
        <a:xfrm flipH="1">
          <a:off x="2266950" y="63788925"/>
          <a:ext cx="238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377</xdr:row>
      <xdr:rowOff>0</xdr:rowOff>
    </xdr:from>
    <xdr:to>
      <xdr:col>4</xdr:col>
      <xdr:colOff>276225</xdr:colOff>
      <xdr:row>377</xdr:row>
      <xdr:rowOff>0</xdr:rowOff>
    </xdr:to>
    <xdr:sp macro="" textlink="">
      <xdr:nvSpPr>
        <xdr:cNvPr id="187429" name="Line 25">
          <a:extLst>
            <a:ext uri="{FF2B5EF4-FFF2-40B4-BE49-F238E27FC236}">
              <a16:creationId xmlns:a16="http://schemas.microsoft.com/office/drawing/2014/main" id="{00000000-0008-0000-0100-000025DC0200}"/>
            </a:ext>
          </a:extLst>
        </xdr:cNvPr>
        <xdr:cNvSpPr>
          <a:spLocks noChangeAspect="1" noChangeShapeType="1"/>
        </xdr:cNvSpPr>
      </xdr:nvSpPr>
      <xdr:spPr bwMode="auto">
        <a:xfrm>
          <a:off x="2238375" y="65217675"/>
          <a:ext cx="895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266700</xdr:colOff>
      <xdr:row>374</xdr:row>
      <xdr:rowOff>133350</xdr:rowOff>
    </xdr:from>
    <xdr:to>
      <xdr:col>4</xdr:col>
      <xdr:colOff>266700</xdr:colOff>
      <xdr:row>375</xdr:row>
      <xdr:rowOff>19050</xdr:rowOff>
    </xdr:to>
    <xdr:sp macro="" textlink="">
      <xdr:nvSpPr>
        <xdr:cNvPr id="187430" name="Line 26">
          <a:extLst>
            <a:ext uri="{FF2B5EF4-FFF2-40B4-BE49-F238E27FC236}">
              <a16:creationId xmlns:a16="http://schemas.microsoft.com/office/drawing/2014/main" id="{00000000-0008-0000-0100-000026DC0200}"/>
            </a:ext>
          </a:extLst>
        </xdr:cNvPr>
        <xdr:cNvSpPr>
          <a:spLocks noChangeAspect="1" noChangeShapeType="1"/>
        </xdr:cNvSpPr>
      </xdr:nvSpPr>
      <xdr:spPr bwMode="auto">
        <a:xfrm flipV="1">
          <a:off x="3124200" y="64865250"/>
          <a:ext cx="0" cy="476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368</xdr:row>
      <xdr:rowOff>152400</xdr:rowOff>
    </xdr:from>
    <xdr:to>
      <xdr:col>5</xdr:col>
      <xdr:colOff>123825</xdr:colOff>
      <xdr:row>374</xdr:row>
      <xdr:rowOff>152400</xdr:rowOff>
    </xdr:to>
    <xdr:sp macro="" textlink="">
      <xdr:nvSpPr>
        <xdr:cNvPr id="187431" name="Freeform 27">
          <a:extLst>
            <a:ext uri="{FF2B5EF4-FFF2-40B4-BE49-F238E27FC236}">
              <a16:creationId xmlns:a16="http://schemas.microsoft.com/office/drawing/2014/main" id="{00000000-0008-0000-0100-000027DC0200}"/>
            </a:ext>
          </a:extLst>
        </xdr:cNvPr>
        <xdr:cNvSpPr>
          <a:spLocks noChangeAspect="1"/>
        </xdr:cNvSpPr>
      </xdr:nvSpPr>
      <xdr:spPr bwMode="auto">
        <a:xfrm>
          <a:off x="2238375" y="63893700"/>
          <a:ext cx="1457325" cy="990600"/>
        </a:xfrm>
        <a:custGeom>
          <a:avLst/>
          <a:gdLst>
            <a:gd name="T0" fmla="*/ 0 w 323"/>
            <a:gd name="T1" fmla="*/ 2147483647 h 187"/>
            <a:gd name="T2" fmla="*/ 2147483647 w 323"/>
            <a:gd name="T3" fmla="*/ 2147483647 h 187"/>
            <a:gd name="T4" fmla="*/ 2147483647 w 323"/>
            <a:gd name="T5" fmla="*/ 2147483647 h 187"/>
            <a:gd name="T6" fmla="*/ 2147483647 w 323"/>
            <a:gd name="T7" fmla="*/ 2147483647 h 187"/>
            <a:gd name="T8" fmla="*/ 2147483647 w 323"/>
            <a:gd name="T9" fmla="*/ 2147483647 h 187"/>
            <a:gd name="T10" fmla="*/ 2147483647 w 323"/>
            <a:gd name="T11" fmla="*/ 2147483647 h 187"/>
            <a:gd name="T12" fmla="*/ 2147483647 w 323"/>
            <a:gd name="T13" fmla="*/ 2147483647 h 187"/>
            <a:gd name="T14" fmla="*/ 2147483647 w 323"/>
            <a:gd name="T15" fmla="*/ 2147483647 h 187"/>
            <a:gd name="T16" fmla="*/ 2147483647 w 323"/>
            <a:gd name="T17" fmla="*/ 2147483647 h 187"/>
            <a:gd name="T18" fmla="*/ 2147483647 w 323"/>
            <a:gd name="T19" fmla="*/ 2147483647 h 187"/>
            <a:gd name="T20" fmla="*/ 2147483647 w 323"/>
            <a:gd name="T21" fmla="*/ 2147483647 h 187"/>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23" h="187">
              <a:moveTo>
                <a:pt x="0" y="2"/>
              </a:moveTo>
              <a:cubicBezTo>
                <a:pt x="12" y="1"/>
                <a:pt x="25" y="0"/>
                <a:pt x="39" y="3"/>
              </a:cubicBezTo>
              <a:cubicBezTo>
                <a:pt x="53" y="6"/>
                <a:pt x="66" y="15"/>
                <a:pt x="84" y="20"/>
              </a:cubicBezTo>
              <a:cubicBezTo>
                <a:pt x="102" y="25"/>
                <a:pt x="132" y="29"/>
                <a:pt x="148" y="36"/>
              </a:cubicBezTo>
              <a:cubicBezTo>
                <a:pt x="164" y="43"/>
                <a:pt x="168" y="56"/>
                <a:pt x="180" y="62"/>
              </a:cubicBezTo>
              <a:cubicBezTo>
                <a:pt x="192" y="68"/>
                <a:pt x="210" y="67"/>
                <a:pt x="221" y="75"/>
              </a:cubicBezTo>
              <a:cubicBezTo>
                <a:pt x="232" y="83"/>
                <a:pt x="233" y="100"/>
                <a:pt x="243" y="110"/>
              </a:cubicBezTo>
              <a:cubicBezTo>
                <a:pt x="253" y="120"/>
                <a:pt x="274" y="126"/>
                <a:pt x="283" y="134"/>
              </a:cubicBezTo>
              <a:cubicBezTo>
                <a:pt x="292" y="142"/>
                <a:pt x="296" y="151"/>
                <a:pt x="300" y="156"/>
              </a:cubicBezTo>
              <a:cubicBezTo>
                <a:pt x="304" y="161"/>
                <a:pt x="306" y="158"/>
                <a:pt x="310" y="163"/>
              </a:cubicBezTo>
              <a:cubicBezTo>
                <a:pt x="314" y="168"/>
                <a:pt x="321" y="183"/>
                <a:pt x="323" y="187"/>
              </a:cubicBezTo>
            </a:path>
          </a:pathLst>
        </a:custGeom>
        <a:noFill/>
        <a:ln w="9525" cap="flat" cmpd="sng">
          <a:solidFill>
            <a:srgbClr xmlns:mc="http://schemas.openxmlformats.org/markup-compatibility/2006" xmlns:a14="http://schemas.microsoft.com/office/drawing/2010/main" val="000000" mc:Ignorable="a14" a14:legacySpreadsheetColorIndex="64"/>
          </a:solidFill>
          <a:prstDash val="solid"/>
          <a:round/>
          <a:headEnd/>
          <a:tailEnd/>
        </a:ln>
        <a:effectLst/>
        <a:extLst>
          <a:ext uri="{909E8E84-426E-40DD-AFC4-6F175D3DCCD1}">
            <a14:hiddenFill xmlns:a14="http://schemas.microsoft.com/office/drawing/2010/main">
              <a:gradFill rotWithShape="0">
                <a:gsLst>
                  <a:gs pos="0">
                    <a:srgbClr val="F3F3DD"/>
                  </a:gs>
                  <a:gs pos="50000">
                    <a:srgbClr val="707066"/>
                  </a:gs>
                  <a:gs pos="100000">
                    <a:srgbClr val="F3F3DD"/>
                  </a:gs>
                </a:gsLst>
                <a:lin ang="0" scaled="1"/>
              </a:gra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95250</xdr:colOff>
      <xdr:row>375</xdr:row>
      <xdr:rowOff>47625</xdr:rowOff>
    </xdr:from>
    <xdr:to>
      <xdr:col>3</xdr:col>
      <xdr:colOff>95250</xdr:colOff>
      <xdr:row>377</xdr:row>
      <xdr:rowOff>28575</xdr:rowOff>
    </xdr:to>
    <xdr:sp macro="" textlink="">
      <xdr:nvSpPr>
        <xdr:cNvPr id="187432" name="Line 28">
          <a:extLst>
            <a:ext uri="{FF2B5EF4-FFF2-40B4-BE49-F238E27FC236}">
              <a16:creationId xmlns:a16="http://schemas.microsoft.com/office/drawing/2014/main" id="{00000000-0008-0000-0100-000028DC0200}"/>
            </a:ext>
          </a:extLst>
        </xdr:cNvPr>
        <xdr:cNvSpPr>
          <a:spLocks noChangeAspect="1" noChangeShapeType="1"/>
        </xdr:cNvSpPr>
      </xdr:nvSpPr>
      <xdr:spPr bwMode="auto">
        <a:xfrm>
          <a:off x="2238375" y="64941450"/>
          <a:ext cx="0" cy="304800"/>
        </a:xfrm>
        <a:prstGeom prst="line">
          <a:avLst/>
        </a:prstGeom>
        <a:noFill/>
        <a:ln w="9525">
          <a:solidFill>
            <a:srgbClr val="FF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5390" name="Drop Down 30" hidden="1">
              <a:extLst>
                <a:ext uri="{63B3BB69-23CF-44E3-9099-C40C66FF867C}">
                  <a14:compatExt spid="_x0000_s15390"/>
                </a:ext>
                <a:ext uri="{FF2B5EF4-FFF2-40B4-BE49-F238E27FC236}">
                  <a16:creationId xmlns:a16="http://schemas.microsoft.com/office/drawing/2014/main" id="{00000000-0008-0000-0100-00001E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5391" name="Drop Down 31" hidden="1">
              <a:extLst>
                <a:ext uri="{63B3BB69-23CF-44E3-9099-C40C66FF867C}">
                  <a14:compatExt spid="_x0000_s15391"/>
                </a:ext>
                <a:ext uri="{FF2B5EF4-FFF2-40B4-BE49-F238E27FC236}">
                  <a16:creationId xmlns:a16="http://schemas.microsoft.com/office/drawing/2014/main" id="{00000000-0008-0000-0100-00001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5392" name="Drop Down 32" hidden="1">
              <a:extLst>
                <a:ext uri="{63B3BB69-23CF-44E3-9099-C40C66FF867C}">
                  <a14:compatExt spid="_x0000_s15392"/>
                </a:ext>
                <a:ext uri="{FF2B5EF4-FFF2-40B4-BE49-F238E27FC236}">
                  <a16:creationId xmlns:a16="http://schemas.microsoft.com/office/drawing/2014/main" id="{00000000-0008-0000-0100-00002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5393" name="Drop Down 33" hidden="1">
              <a:extLst>
                <a:ext uri="{63B3BB69-23CF-44E3-9099-C40C66FF867C}">
                  <a14:compatExt spid="_x0000_s15393"/>
                </a:ext>
                <a:ext uri="{FF2B5EF4-FFF2-40B4-BE49-F238E27FC236}">
                  <a16:creationId xmlns:a16="http://schemas.microsoft.com/office/drawing/2014/main" id="{00000000-0008-0000-0100-00002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466725</xdr:colOff>
      <xdr:row>217</xdr:row>
      <xdr:rowOff>57150</xdr:rowOff>
    </xdr:from>
    <xdr:to>
      <xdr:col>8</xdr:col>
      <xdr:colOff>628650</xdr:colOff>
      <xdr:row>235</xdr:row>
      <xdr:rowOff>123825</xdr:rowOff>
    </xdr:to>
    <xdr:pic>
      <xdr:nvPicPr>
        <xdr:cNvPr id="187433" name="Picture 34">
          <a:extLst>
            <a:ext uri="{FF2B5EF4-FFF2-40B4-BE49-F238E27FC236}">
              <a16:creationId xmlns:a16="http://schemas.microsoft.com/office/drawing/2014/main" id="{00000000-0008-0000-0100-000029DC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609850" y="37442775"/>
          <a:ext cx="3733800" cy="2981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657225</xdr:colOff>
      <xdr:row>236</xdr:row>
      <xdr:rowOff>47625</xdr:rowOff>
    </xdr:from>
    <xdr:to>
      <xdr:col>8</xdr:col>
      <xdr:colOff>276225</xdr:colOff>
      <xdr:row>248</xdr:row>
      <xdr:rowOff>57150</xdr:rowOff>
    </xdr:to>
    <xdr:pic>
      <xdr:nvPicPr>
        <xdr:cNvPr id="187434" name="Picture 35">
          <a:extLst>
            <a:ext uri="{FF2B5EF4-FFF2-40B4-BE49-F238E27FC236}">
              <a16:creationId xmlns:a16="http://schemas.microsoft.com/office/drawing/2014/main" id="{00000000-0008-0000-0100-00002ADC0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14725" y="40509825"/>
          <a:ext cx="2476500" cy="1952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52</xdr:row>
      <xdr:rowOff>9525</xdr:rowOff>
    </xdr:from>
    <xdr:to>
      <xdr:col>8</xdr:col>
      <xdr:colOff>695325</xdr:colOff>
      <xdr:row>79</xdr:row>
      <xdr:rowOff>76200</xdr:rowOff>
    </xdr:to>
    <xdr:pic>
      <xdr:nvPicPr>
        <xdr:cNvPr id="187435" name="Picture 36">
          <a:extLst>
            <a:ext uri="{FF2B5EF4-FFF2-40B4-BE49-F238E27FC236}">
              <a16:creationId xmlns:a16="http://schemas.microsoft.com/office/drawing/2014/main" id="{00000000-0008-0000-0100-00002BDC02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r="11911" b="4898"/>
        <a:stretch>
          <a:fillRect/>
        </a:stretch>
      </xdr:blipFill>
      <xdr:spPr bwMode="auto">
        <a:xfrm>
          <a:off x="0" y="9467850"/>
          <a:ext cx="6410325" cy="445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5397" name="Object 37" hidden="1">
              <a:extLst>
                <a:ext uri="{63B3BB69-23CF-44E3-9099-C40C66FF867C}">
                  <a14:compatExt spid="_x0000_s15397"/>
                </a:ext>
                <a:ext uri="{FF2B5EF4-FFF2-40B4-BE49-F238E27FC236}">
                  <a16:creationId xmlns:a16="http://schemas.microsoft.com/office/drawing/2014/main" id="{00000000-0008-0000-0100-000025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5398" name="Object 38" hidden="1">
              <a:extLst>
                <a:ext uri="{63B3BB69-23CF-44E3-9099-C40C66FF867C}">
                  <a14:compatExt spid="_x0000_s15398"/>
                </a:ext>
                <a:ext uri="{FF2B5EF4-FFF2-40B4-BE49-F238E27FC236}">
                  <a16:creationId xmlns:a16="http://schemas.microsoft.com/office/drawing/2014/main" id="{00000000-0008-0000-0100-000026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210</xdr:row>
          <xdr:rowOff>95250</xdr:rowOff>
        </xdr:from>
        <xdr:to>
          <xdr:col>8</xdr:col>
          <xdr:colOff>57150</xdr:colOff>
          <xdr:row>212</xdr:row>
          <xdr:rowOff>152400</xdr:rowOff>
        </xdr:to>
        <xdr:sp macro="" textlink="">
          <xdr:nvSpPr>
            <xdr:cNvPr id="15399" name="Object 39" hidden="1">
              <a:extLst>
                <a:ext uri="{63B3BB69-23CF-44E3-9099-C40C66FF867C}">
                  <a14:compatExt spid="_x0000_s15399"/>
                </a:ext>
                <a:ext uri="{FF2B5EF4-FFF2-40B4-BE49-F238E27FC236}">
                  <a16:creationId xmlns:a16="http://schemas.microsoft.com/office/drawing/2014/main" id="{00000000-0008-0000-0100-000027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232</xdr:row>
          <xdr:rowOff>0</xdr:rowOff>
        </xdr:from>
        <xdr:to>
          <xdr:col>2</xdr:col>
          <xdr:colOff>428625</xdr:colOff>
          <xdr:row>233</xdr:row>
          <xdr:rowOff>0</xdr:rowOff>
        </xdr:to>
        <xdr:sp macro="" textlink="">
          <xdr:nvSpPr>
            <xdr:cNvPr id="15400" name="Object 40" hidden="1">
              <a:extLst>
                <a:ext uri="{63B3BB69-23CF-44E3-9099-C40C66FF867C}">
                  <a14:compatExt spid="_x0000_s15400"/>
                </a:ext>
                <a:ext uri="{FF2B5EF4-FFF2-40B4-BE49-F238E27FC236}">
                  <a16:creationId xmlns:a16="http://schemas.microsoft.com/office/drawing/2014/main" id="{00000000-0008-0000-0100-00002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249</xdr:row>
          <xdr:rowOff>133350</xdr:rowOff>
        </xdr:from>
        <xdr:to>
          <xdr:col>7</xdr:col>
          <xdr:colOff>552450</xdr:colOff>
          <xdr:row>250</xdr:row>
          <xdr:rowOff>142875</xdr:rowOff>
        </xdr:to>
        <xdr:sp macro="" textlink="">
          <xdr:nvSpPr>
            <xdr:cNvPr id="15401" name="Object 41" hidden="1">
              <a:extLst>
                <a:ext uri="{63B3BB69-23CF-44E3-9099-C40C66FF867C}">
                  <a14:compatExt spid="_x0000_s15401"/>
                </a:ext>
                <a:ext uri="{FF2B5EF4-FFF2-40B4-BE49-F238E27FC236}">
                  <a16:creationId xmlns:a16="http://schemas.microsoft.com/office/drawing/2014/main" id="{00000000-0008-0000-0100-000029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47625</xdr:colOff>
          <xdr:row>250</xdr:row>
          <xdr:rowOff>114300</xdr:rowOff>
        </xdr:from>
        <xdr:to>
          <xdr:col>6</xdr:col>
          <xdr:colOff>628650</xdr:colOff>
          <xdr:row>252</xdr:row>
          <xdr:rowOff>0</xdr:rowOff>
        </xdr:to>
        <xdr:sp macro="" textlink="">
          <xdr:nvSpPr>
            <xdr:cNvPr id="15402" name="Object 42" hidden="1">
              <a:extLst>
                <a:ext uri="{63B3BB69-23CF-44E3-9099-C40C66FF867C}">
                  <a14:compatExt spid="_x0000_s15402"/>
                </a:ext>
                <a:ext uri="{FF2B5EF4-FFF2-40B4-BE49-F238E27FC236}">
                  <a16:creationId xmlns:a16="http://schemas.microsoft.com/office/drawing/2014/main" id="{00000000-0008-0000-0100-00002A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210</xdr:row>
          <xdr:rowOff>142875</xdr:rowOff>
        </xdr:from>
        <xdr:to>
          <xdr:col>2</xdr:col>
          <xdr:colOff>600075</xdr:colOff>
          <xdr:row>214</xdr:row>
          <xdr:rowOff>104775</xdr:rowOff>
        </xdr:to>
        <xdr:sp macro="" textlink="">
          <xdr:nvSpPr>
            <xdr:cNvPr id="15403" name="Object 43" hidden="1">
              <a:extLst>
                <a:ext uri="{63B3BB69-23CF-44E3-9099-C40C66FF867C}">
                  <a14:compatExt spid="_x0000_s15403"/>
                </a:ext>
                <a:ext uri="{FF2B5EF4-FFF2-40B4-BE49-F238E27FC236}">
                  <a16:creationId xmlns:a16="http://schemas.microsoft.com/office/drawing/2014/main" id="{00000000-0008-0000-0100-00002B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215</xdr:row>
          <xdr:rowOff>38100</xdr:rowOff>
        </xdr:from>
        <xdr:to>
          <xdr:col>3</xdr:col>
          <xdr:colOff>485775</xdr:colOff>
          <xdr:row>217</xdr:row>
          <xdr:rowOff>95250</xdr:rowOff>
        </xdr:to>
        <xdr:sp macro="" textlink="">
          <xdr:nvSpPr>
            <xdr:cNvPr id="15404" name="Object 44" hidden="1">
              <a:extLst>
                <a:ext uri="{63B3BB69-23CF-44E3-9099-C40C66FF867C}">
                  <a14:compatExt spid="_x0000_s15404"/>
                </a:ext>
                <a:ext uri="{FF2B5EF4-FFF2-40B4-BE49-F238E27FC236}">
                  <a16:creationId xmlns:a16="http://schemas.microsoft.com/office/drawing/2014/main" id="{00000000-0008-0000-0100-00002C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218</xdr:row>
          <xdr:rowOff>85725</xdr:rowOff>
        </xdr:from>
        <xdr:to>
          <xdr:col>3</xdr:col>
          <xdr:colOff>400050</xdr:colOff>
          <xdr:row>222</xdr:row>
          <xdr:rowOff>47625</xdr:rowOff>
        </xdr:to>
        <xdr:sp macro="" textlink="">
          <xdr:nvSpPr>
            <xdr:cNvPr id="15405" name="Object 45" hidden="1">
              <a:extLst>
                <a:ext uri="{63B3BB69-23CF-44E3-9099-C40C66FF867C}">
                  <a14:compatExt spid="_x0000_s15405"/>
                </a:ext>
                <a:ext uri="{FF2B5EF4-FFF2-40B4-BE49-F238E27FC236}">
                  <a16:creationId xmlns:a16="http://schemas.microsoft.com/office/drawing/2014/main" id="{00000000-0008-0000-0100-00002D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142875</xdr:colOff>
          <xdr:row>223</xdr:row>
          <xdr:rowOff>9525</xdr:rowOff>
        </xdr:from>
        <xdr:to>
          <xdr:col>3</xdr:col>
          <xdr:colOff>257175</xdr:colOff>
          <xdr:row>227</xdr:row>
          <xdr:rowOff>0</xdr:rowOff>
        </xdr:to>
        <xdr:sp macro="" textlink="">
          <xdr:nvSpPr>
            <xdr:cNvPr id="15406" name="Object 46" hidden="1">
              <a:extLst>
                <a:ext uri="{63B3BB69-23CF-44E3-9099-C40C66FF867C}">
                  <a14:compatExt spid="_x0000_s15406"/>
                </a:ext>
                <a:ext uri="{FF2B5EF4-FFF2-40B4-BE49-F238E27FC236}">
                  <a16:creationId xmlns:a16="http://schemas.microsoft.com/office/drawing/2014/main" id="{00000000-0008-0000-0100-00002E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213</xdr:row>
          <xdr:rowOff>123825</xdr:rowOff>
        </xdr:from>
        <xdr:to>
          <xdr:col>7</xdr:col>
          <xdr:colOff>676275</xdr:colOff>
          <xdr:row>216</xdr:row>
          <xdr:rowOff>38100</xdr:rowOff>
        </xdr:to>
        <xdr:sp macro="" textlink="">
          <xdr:nvSpPr>
            <xdr:cNvPr id="15407" name="Object 47" hidden="1">
              <a:extLst>
                <a:ext uri="{63B3BB69-23CF-44E3-9099-C40C66FF867C}">
                  <a14:compatExt spid="_x0000_s15407"/>
                </a:ext>
                <a:ext uri="{FF2B5EF4-FFF2-40B4-BE49-F238E27FC236}">
                  <a16:creationId xmlns:a16="http://schemas.microsoft.com/office/drawing/2014/main" id="{00000000-0008-0000-0100-00002F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104775</xdr:colOff>
          <xdr:row>228</xdr:row>
          <xdr:rowOff>85725</xdr:rowOff>
        </xdr:from>
        <xdr:to>
          <xdr:col>3</xdr:col>
          <xdr:colOff>304800</xdr:colOff>
          <xdr:row>231</xdr:row>
          <xdr:rowOff>47625</xdr:rowOff>
        </xdr:to>
        <xdr:sp macro="" textlink="">
          <xdr:nvSpPr>
            <xdr:cNvPr id="15408" name="Object 48" hidden="1">
              <a:extLst>
                <a:ext uri="{63B3BB69-23CF-44E3-9099-C40C66FF867C}">
                  <a14:compatExt spid="_x0000_s15408"/>
                </a:ext>
                <a:ext uri="{FF2B5EF4-FFF2-40B4-BE49-F238E27FC236}">
                  <a16:creationId xmlns:a16="http://schemas.microsoft.com/office/drawing/2014/main" id="{00000000-0008-0000-0100-000030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95250</xdr:colOff>
          <xdr:row>255</xdr:row>
          <xdr:rowOff>123825</xdr:rowOff>
        </xdr:from>
        <xdr:to>
          <xdr:col>5</xdr:col>
          <xdr:colOff>371475</xdr:colOff>
          <xdr:row>257</xdr:row>
          <xdr:rowOff>142875</xdr:rowOff>
        </xdr:to>
        <xdr:sp macro="" textlink="">
          <xdr:nvSpPr>
            <xdr:cNvPr id="15409" name="Object 49" hidden="1">
              <a:extLst>
                <a:ext uri="{63B3BB69-23CF-44E3-9099-C40C66FF867C}">
                  <a14:compatExt spid="_x0000_s15409"/>
                </a:ext>
                <a:ext uri="{FF2B5EF4-FFF2-40B4-BE49-F238E27FC236}">
                  <a16:creationId xmlns:a16="http://schemas.microsoft.com/office/drawing/2014/main" id="{00000000-0008-0000-0100-000031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104775</xdr:colOff>
          <xdr:row>258</xdr:row>
          <xdr:rowOff>0</xdr:rowOff>
        </xdr:from>
        <xdr:to>
          <xdr:col>7</xdr:col>
          <xdr:colOff>314325</xdr:colOff>
          <xdr:row>259</xdr:row>
          <xdr:rowOff>47625</xdr:rowOff>
        </xdr:to>
        <xdr:sp macro="" textlink="">
          <xdr:nvSpPr>
            <xdr:cNvPr id="15410" name="Object 50" hidden="1">
              <a:extLst>
                <a:ext uri="{63B3BB69-23CF-44E3-9099-C40C66FF867C}">
                  <a14:compatExt spid="_x0000_s15410"/>
                </a:ext>
                <a:ext uri="{FF2B5EF4-FFF2-40B4-BE49-F238E27FC236}">
                  <a16:creationId xmlns:a16="http://schemas.microsoft.com/office/drawing/2014/main" id="{00000000-0008-0000-0100-000032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277</xdr:row>
          <xdr:rowOff>85725</xdr:rowOff>
        </xdr:from>
        <xdr:to>
          <xdr:col>8</xdr:col>
          <xdr:colOff>514350</xdr:colOff>
          <xdr:row>281</xdr:row>
          <xdr:rowOff>85725</xdr:rowOff>
        </xdr:to>
        <xdr:sp macro="" textlink="">
          <xdr:nvSpPr>
            <xdr:cNvPr id="15411" name="Object 51" hidden="1">
              <a:extLst>
                <a:ext uri="{63B3BB69-23CF-44E3-9099-C40C66FF867C}">
                  <a14:compatExt spid="_x0000_s15411"/>
                </a:ext>
                <a:ext uri="{FF2B5EF4-FFF2-40B4-BE49-F238E27FC236}">
                  <a16:creationId xmlns:a16="http://schemas.microsoft.com/office/drawing/2014/main" id="{00000000-0008-0000-0100-000033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371475</xdr:colOff>
          <xdr:row>273</xdr:row>
          <xdr:rowOff>57150</xdr:rowOff>
        </xdr:from>
        <xdr:to>
          <xdr:col>4</xdr:col>
          <xdr:colOff>619125</xdr:colOff>
          <xdr:row>279</xdr:row>
          <xdr:rowOff>0</xdr:rowOff>
        </xdr:to>
        <xdr:sp macro="" textlink="">
          <xdr:nvSpPr>
            <xdr:cNvPr id="15412" name="Object 52" hidden="1">
              <a:extLst>
                <a:ext uri="{63B3BB69-23CF-44E3-9099-C40C66FF867C}">
                  <a14:compatExt spid="_x0000_s15412"/>
                </a:ext>
                <a:ext uri="{FF2B5EF4-FFF2-40B4-BE49-F238E27FC236}">
                  <a16:creationId xmlns:a16="http://schemas.microsoft.com/office/drawing/2014/main" id="{00000000-0008-0000-0100-000034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299</xdr:row>
          <xdr:rowOff>9525</xdr:rowOff>
        </xdr:from>
        <xdr:to>
          <xdr:col>5</xdr:col>
          <xdr:colOff>219075</xdr:colOff>
          <xdr:row>300</xdr:row>
          <xdr:rowOff>38100</xdr:rowOff>
        </xdr:to>
        <xdr:sp macro="" textlink="">
          <xdr:nvSpPr>
            <xdr:cNvPr id="15413" name="Drop Down 53" hidden="1">
              <a:extLst>
                <a:ext uri="{63B3BB69-23CF-44E3-9099-C40C66FF867C}">
                  <a14:compatExt spid="_x0000_s15413"/>
                </a:ext>
                <a:ext uri="{FF2B5EF4-FFF2-40B4-BE49-F238E27FC236}">
                  <a16:creationId xmlns:a16="http://schemas.microsoft.com/office/drawing/2014/main" id="{00000000-0008-0000-0100-00003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447675</xdr:colOff>
          <xdr:row>281</xdr:row>
          <xdr:rowOff>133350</xdr:rowOff>
        </xdr:from>
        <xdr:to>
          <xdr:col>6</xdr:col>
          <xdr:colOff>438150</xdr:colOff>
          <xdr:row>284</xdr:row>
          <xdr:rowOff>19050</xdr:rowOff>
        </xdr:to>
        <xdr:sp macro="" textlink="">
          <xdr:nvSpPr>
            <xdr:cNvPr id="15416" name="Object 56" hidden="1">
              <a:extLst>
                <a:ext uri="{63B3BB69-23CF-44E3-9099-C40C66FF867C}">
                  <a14:compatExt spid="_x0000_s15416"/>
                </a:ext>
                <a:ext uri="{FF2B5EF4-FFF2-40B4-BE49-F238E27FC236}">
                  <a16:creationId xmlns:a16="http://schemas.microsoft.com/office/drawing/2014/main" id="{00000000-0008-0000-0100-00003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4</xdr:col>
      <xdr:colOff>266700</xdr:colOff>
      <xdr:row>374</xdr:row>
      <xdr:rowOff>152400</xdr:rowOff>
    </xdr:from>
    <xdr:to>
      <xdr:col>5</xdr:col>
      <xdr:colOff>123825</xdr:colOff>
      <xdr:row>374</xdr:row>
      <xdr:rowOff>152400</xdr:rowOff>
    </xdr:to>
    <xdr:sp macro="" textlink="">
      <xdr:nvSpPr>
        <xdr:cNvPr id="187437" name="Line 57">
          <a:extLst>
            <a:ext uri="{FF2B5EF4-FFF2-40B4-BE49-F238E27FC236}">
              <a16:creationId xmlns:a16="http://schemas.microsoft.com/office/drawing/2014/main" id="{00000000-0008-0000-0100-00002DDC0200}"/>
            </a:ext>
          </a:extLst>
        </xdr:cNvPr>
        <xdr:cNvSpPr>
          <a:spLocks noChangeAspect="1" noChangeShapeType="1"/>
        </xdr:cNvSpPr>
      </xdr:nvSpPr>
      <xdr:spPr bwMode="auto">
        <a:xfrm>
          <a:off x="3124200" y="64884300"/>
          <a:ext cx="5715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533400</xdr:colOff>
      <xdr:row>915</xdr:row>
      <xdr:rowOff>114300</xdr:rowOff>
    </xdr:from>
    <xdr:to>
      <xdr:col>14</xdr:col>
      <xdr:colOff>533400</xdr:colOff>
      <xdr:row>919</xdr:row>
      <xdr:rowOff>0</xdr:rowOff>
    </xdr:to>
    <xdr:sp macro="" textlink="">
      <xdr:nvSpPr>
        <xdr:cNvPr id="187438" name="Line 64">
          <a:extLst>
            <a:ext uri="{FF2B5EF4-FFF2-40B4-BE49-F238E27FC236}">
              <a16:creationId xmlns:a16="http://schemas.microsoft.com/office/drawing/2014/main" id="{00000000-0008-0000-0100-00002EDC0200}"/>
            </a:ext>
          </a:extLst>
        </xdr:cNvPr>
        <xdr:cNvSpPr>
          <a:spLocks noChangeShapeType="1"/>
        </xdr:cNvSpPr>
      </xdr:nvSpPr>
      <xdr:spPr bwMode="auto">
        <a:xfrm flipH="1" flipV="1">
          <a:off x="6429375" y="153228675"/>
          <a:ext cx="0"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66675</xdr:colOff>
      <xdr:row>449</xdr:row>
      <xdr:rowOff>9525</xdr:rowOff>
    </xdr:from>
    <xdr:to>
      <xdr:col>7</xdr:col>
      <xdr:colOff>628650</xdr:colOff>
      <xdr:row>463</xdr:row>
      <xdr:rowOff>95250</xdr:rowOff>
    </xdr:to>
    <xdr:grpSp>
      <xdr:nvGrpSpPr>
        <xdr:cNvPr id="187439" name="Group 65">
          <a:extLst>
            <a:ext uri="{FF2B5EF4-FFF2-40B4-BE49-F238E27FC236}">
              <a16:creationId xmlns:a16="http://schemas.microsoft.com/office/drawing/2014/main" id="{00000000-0008-0000-0100-00002FDC0200}"/>
            </a:ext>
          </a:extLst>
        </xdr:cNvPr>
        <xdr:cNvGrpSpPr>
          <a:grpSpLocks/>
        </xdr:cNvGrpSpPr>
      </xdr:nvGrpSpPr>
      <xdr:grpSpPr bwMode="auto">
        <a:xfrm>
          <a:off x="4371975" y="78628875"/>
          <a:ext cx="1279525" cy="2397125"/>
          <a:chOff x="216" y="5358"/>
          <a:chExt cx="144" cy="222"/>
        </a:xfrm>
      </xdr:grpSpPr>
      <xdr:sp macro="" textlink="">
        <xdr:nvSpPr>
          <xdr:cNvPr id="187484" name="AutoShape 66">
            <a:extLst>
              <a:ext uri="{FF2B5EF4-FFF2-40B4-BE49-F238E27FC236}">
                <a16:creationId xmlns:a16="http://schemas.microsoft.com/office/drawing/2014/main" id="{00000000-0008-0000-0100-00005CDC0200}"/>
              </a:ext>
            </a:extLst>
          </xdr:cNvPr>
          <xdr:cNvSpPr>
            <a:spLocks noChangeArrowheads="1"/>
          </xdr:cNvSpPr>
        </xdr:nvSpPr>
        <xdr:spPr bwMode="auto">
          <a:xfrm>
            <a:off x="216" y="5384"/>
            <a:ext cx="144" cy="119"/>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50 w 21600"/>
              <a:gd name="T25" fmla="*/ 3086 h 21600"/>
              <a:gd name="T26" fmla="*/ 18450 w 21600"/>
              <a:gd name="T27" fmla="*/ 18514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C0C0C0" mc:Ignorable="a14" a14:legacySpreadsheetColorIndex="22"/>
              </a:gs>
              <a:gs pos="50000">
                <a:srgbClr val="595959"/>
              </a:gs>
              <a:gs pos="100000">
                <a:srgbClr xmlns:mc="http://schemas.openxmlformats.org/markup-compatibility/2006" xmlns:a14="http://schemas.microsoft.com/office/drawing/2010/main" val="C0C0C0" mc:Ignorable="a14" a14:legacySpreadsheetColorIndex="2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5" name="Line 67">
            <a:extLst>
              <a:ext uri="{FF2B5EF4-FFF2-40B4-BE49-F238E27FC236}">
                <a16:creationId xmlns:a16="http://schemas.microsoft.com/office/drawing/2014/main" id="{00000000-0008-0000-0100-00005DDC0200}"/>
              </a:ext>
            </a:extLst>
          </xdr:cNvPr>
          <xdr:cNvSpPr>
            <a:spLocks noChangeShapeType="1"/>
          </xdr:cNvSpPr>
        </xdr:nvSpPr>
        <xdr:spPr bwMode="auto">
          <a:xfrm>
            <a:off x="288"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6" name="Line 68">
            <a:extLst>
              <a:ext uri="{FF2B5EF4-FFF2-40B4-BE49-F238E27FC236}">
                <a16:creationId xmlns:a16="http://schemas.microsoft.com/office/drawing/2014/main" id="{00000000-0008-0000-0100-00005EDC0200}"/>
              </a:ext>
            </a:extLst>
          </xdr:cNvPr>
          <xdr:cNvSpPr>
            <a:spLocks noChangeShapeType="1"/>
          </xdr:cNvSpPr>
        </xdr:nvSpPr>
        <xdr:spPr bwMode="auto">
          <a:xfrm>
            <a:off x="216"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7" name="Line 69">
            <a:extLst>
              <a:ext uri="{FF2B5EF4-FFF2-40B4-BE49-F238E27FC236}">
                <a16:creationId xmlns:a16="http://schemas.microsoft.com/office/drawing/2014/main" id="{00000000-0008-0000-0100-00005FDC0200}"/>
              </a:ext>
            </a:extLst>
          </xdr:cNvPr>
          <xdr:cNvSpPr>
            <a:spLocks noChangeShapeType="1"/>
          </xdr:cNvSpPr>
        </xdr:nvSpPr>
        <xdr:spPr bwMode="auto">
          <a:xfrm>
            <a:off x="252"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8" name="Line 70">
            <a:extLst>
              <a:ext uri="{FF2B5EF4-FFF2-40B4-BE49-F238E27FC236}">
                <a16:creationId xmlns:a16="http://schemas.microsoft.com/office/drawing/2014/main" id="{00000000-0008-0000-0100-000060DC0200}"/>
              </a:ext>
            </a:extLst>
          </xdr:cNvPr>
          <xdr:cNvSpPr>
            <a:spLocks noChangeShapeType="1"/>
          </xdr:cNvSpPr>
        </xdr:nvSpPr>
        <xdr:spPr bwMode="auto">
          <a:xfrm>
            <a:off x="360" y="5366"/>
            <a:ext cx="0" cy="213"/>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89" name="Line 71">
            <a:extLst>
              <a:ext uri="{FF2B5EF4-FFF2-40B4-BE49-F238E27FC236}">
                <a16:creationId xmlns:a16="http://schemas.microsoft.com/office/drawing/2014/main" id="{00000000-0008-0000-0100-000061DC0200}"/>
              </a:ext>
            </a:extLst>
          </xdr:cNvPr>
          <xdr:cNvSpPr>
            <a:spLocks noChangeShapeType="1"/>
          </xdr:cNvSpPr>
        </xdr:nvSpPr>
        <xdr:spPr bwMode="auto">
          <a:xfrm>
            <a:off x="333" y="5366"/>
            <a:ext cx="0" cy="187"/>
          </a:xfrm>
          <a:prstGeom prst="line">
            <a:avLst/>
          </a:prstGeom>
          <a:noFill/>
          <a:ln w="12700">
            <a:solidFill>
              <a:srgbClr xmlns:mc="http://schemas.openxmlformats.org/markup-compatibility/2006" xmlns:a14="http://schemas.microsoft.com/office/drawing/2010/main" val="000000" mc:Ignorable="a14" a14:legacySpreadsheetColorIndex="64"/>
            </a:solidFill>
            <a:prstDash val="lgDashDotDot"/>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0" name="Line 72">
            <a:extLst>
              <a:ext uri="{FF2B5EF4-FFF2-40B4-BE49-F238E27FC236}">
                <a16:creationId xmlns:a16="http://schemas.microsoft.com/office/drawing/2014/main" id="{00000000-0008-0000-0100-000062DC0200}"/>
              </a:ext>
            </a:extLst>
          </xdr:cNvPr>
          <xdr:cNvSpPr>
            <a:spLocks noChangeShapeType="1"/>
          </xdr:cNvSpPr>
        </xdr:nvSpPr>
        <xdr:spPr bwMode="auto">
          <a:xfrm>
            <a:off x="216" y="5536"/>
            <a:ext cx="144" cy="0"/>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1" name="AutoShape 73">
            <a:extLst>
              <a:ext uri="{FF2B5EF4-FFF2-40B4-BE49-F238E27FC236}">
                <a16:creationId xmlns:a16="http://schemas.microsoft.com/office/drawing/2014/main" id="{00000000-0008-0000-0100-000063DC0200}"/>
              </a:ext>
            </a:extLst>
          </xdr:cNvPr>
          <xdr:cNvSpPr>
            <a:spLocks noChangeArrowheads="1"/>
          </xdr:cNvSpPr>
        </xdr:nvSpPr>
        <xdr:spPr bwMode="auto">
          <a:xfrm rot="10800000">
            <a:off x="268" y="5536"/>
            <a:ext cx="92" cy="16"/>
          </a:xfrm>
          <a:prstGeom prst="rtTriangle">
            <a:avLst/>
          </a:prstGeom>
          <a:gradFill rotWithShape="0">
            <a:gsLst>
              <a:gs pos="0">
                <a:srgbClr xmlns:mc="http://schemas.openxmlformats.org/markup-compatibility/2006" xmlns:a14="http://schemas.microsoft.com/office/drawing/2010/main" val="993300" mc:Ignorable="a14" a14:legacySpreadsheetColorIndex="60"/>
              </a:gs>
              <a:gs pos="100000">
                <a:srgbClr val="F5EBE6"/>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2" name="Line 74">
            <a:extLst>
              <a:ext uri="{FF2B5EF4-FFF2-40B4-BE49-F238E27FC236}">
                <a16:creationId xmlns:a16="http://schemas.microsoft.com/office/drawing/2014/main" id="{00000000-0008-0000-0100-000064DC0200}"/>
              </a:ext>
            </a:extLst>
          </xdr:cNvPr>
          <xdr:cNvSpPr>
            <a:spLocks noChangeShapeType="1"/>
          </xdr:cNvSpPr>
        </xdr:nvSpPr>
        <xdr:spPr bwMode="auto">
          <a:xfrm>
            <a:off x="288" y="5519"/>
            <a:ext cx="4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3" name="Line 75">
            <a:extLst>
              <a:ext uri="{FF2B5EF4-FFF2-40B4-BE49-F238E27FC236}">
                <a16:creationId xmlns:a16="http://schemas.microsoft.com/office/drawing/2014/main" id="{00000000-0008-0000-0100-000065DC0200}"/>
              </a:ext>
            </a:extLst>
          </xdr:cNvPr>
          <xdr:cNvSpPr>
            <a:spLocks noChangeShapeType="1"/>
          </xdr:cNvSpPr>
        </xdr:nvSpPr>
        <xdr:spPr bwMode="auto">
          <a:xfrm flipH="1">
            <a:off x="252" y="5519"/>
            <a:ext cx="3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4" name="Line 76">
            <a:extLst>
              <a:ext uri="{FF2B5EF4-FFF2-40B4-BE49-F238E27FC236}">
                <a16:creationId xmlns:a16="http://schemas.microsoft.com/office/drawing/2014/main" id="{00000000-0008-0000-0100-000066DC0200}"/>
              </a:ext>
            </a:extLst>
          </xdr:cNvPr>
          <xdr:cNvSpPr>
            <a:spLocks noChangeShapeType="1"/>
          </xdr:cNvSpPr>
        </xdr:nvSpPr>
        <xdr:spPr bwMode="auto">
          <a:xfrm flipH="1">
            <a:off x="216" y="5519"/>
            <a:ext cx="7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5" name="Line 77">
            <a:extLst>
              <a:ext uri="{FF2B5EF4-FFF2-40B4-BE49-F238E27FC236}">
                <a16:creationId xmlns:a16="http://schemas.microsoft.com/office/drawing/2014/main" id="{00000000-0008-0000-0100-000067DC0200}"/>
              </a:ext>
            </a:extLst>
          </xdr:cNvPr>
          <xdr:cNvSpPr>
            <a:spLocks noChangeShapeType="1"/>
          </xdr:cNvSpPr>
        </xdr:nvSpPr>
        <xdr:spPr bwMode="auto">
          <a:xfrm>
            <a:off x="333" y="5501"/>
            <a:ext cx="0" cy="34"/>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6" name="Line 78">
            <a:extLst>
              <a:ext uri="{FF2B5EF4-FFF2-40B4-BE49-F238E27FC236}">
                <a16:creationId xmlns:a16="http://schemas.microsoft.com/office/drawing/2014/main" id="{00000000-0008-0000-0100-000068DC0200}"/>
              </a:ext>
            </a:extLst>
          </xdr:cNvPr>
          <xdr:cNvSpPr>
            <a:spLocks noChangeShapeType="1"/>
          </xdr:cNvSpPr>
        </xdr:nvSpPr>
        <xdr:spPr bwMode="auto">
          <a:xfrm>
            <a:off x="268" y="5358"/>
            <a:ext cx="0" cy="222"/>
          </a:xfrm>
          <a:prstGeom prst="line">
            <a:avLst/>
          </a:prstGeom>
          <a:noFill/>
          <a:ln w="12700">
            <a:solidFill>
              <a:srgbClr xmlns:mc="http://schemas.openxmlformats.org/markup-compatibility/2006" xmlns:a14="http://schemas.microsoft.com/office/drawing/2010/main" val="000000" mc:Ignorable="a14" a14:legacySpreadsheetColorIndex="64"/>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7" name="Line 79">
            <a:extLst>
              <a:ext uri="{FF2B5EF4-FFF2-40B4-BE49-F238E27FC236}">
                <a16:creationId xmlns:a16="http://schemas.microsoft.com/office/drawing/2014/main" id="{00000000-0008-0000-0100-000069DC0200}"/>
              </a:ext>
            </a:extLst>
          </xdr:cNvPr>
          <xdr:cNvSpPr>
            <a:spLocks noChangeShapeType="1"/>
          </xdr:cNvSpPr>
        </xdr:nvSpPr>
        <xdr:spPr bwMode="auto">
          <a:xfrm flipH="1">
            <a:off x="268" y="5570"/>
            <a:ext cx="9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8" name="Oval 80">
            <a:extLst>
              <a:ext uri="{FF2B5EF4-FFF2-40B4-BE49-F238E27FC236}">
                <a16:creationId xmlns:a16="http://schemas.microsoft.com/office/drawing/2014/main" id="{00000000-0008-0000-0100-00006ADC0200}"/>
              </a:ext>
            </a:extLst>
          </xdr:cNvPr>
          <xdr:cNvSpPr>
            <a:spLocks noChangeArrowheads="1"/>
          </xdr:cNvSpPr>
        </xdr:nvSpPr>
        <xdr:spPr bwMode="auto">
          <a:xfrm>
            <a:off x="331"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499" name="Oval 81">
            <a:extLst>
              <a:ext uri="{FF2B5EF4-FFF2-40B4-BE49-F238E27FC236}">
                <a16:creationId xmlns:a16="http://schemas.microsoft.com/office/drawing/2014/main" id="{00000000-0008-0000-0100-00006BDC0200}"/>
              </a:ext>
            </a:extLst>
          </xdr:cNvPr>
          <xdr:cNvSpPr>
            <a:spLocks noChangeArrowheads="1"/>
          </xdr:cNvSpPr>
        </xdr:nvSpPr>
        <xdr:spPr bwMode="auto">
          <a:xfrm>
            <a:off x="286" y="5441"/>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
        <xdr:nvSpPr>
          <xdr:cNvPr id="187500" name="Oval 82">
            <a:extLst>
              <a:ext uri="{FF2B5EF4-FFF2-40B4-BE49-F238E27FC236}">
                <a16:creationId xmlns:a16="http://schemas.microsoft.com/office/drawing/2014/main" id="{00000000-0008-0000-0100-00006CDC0200}"/>
              </a:ext>
            </a:extLst>
          </xdr:cNvPr>
          <xdr:cNvSpPr>
            <a:spLocks noChangeArrowheads="1"/>
          </xdr:cNvSpPr>
        </xdr:nvSpPr>
        <xdr:spPr bwMode="auto">
          <a:xfrm>
            <a:off x="286" y="5517"/>
            <a:ext cx="4" cy="4"/>
          </a:xfrm>
          <a:prstGeom prst="ellipse">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grpSp>
    <xdr:clientData/>
  </xdr:twoCellAnchor>
  <xdr:twoCellAnchor>
    <xdr:from>
      <xdr:col>1</xdr:col>
      <xdr:colOff>0</xdr:colOff>
      <xdr:row>409</xdr:row>
      <xdr:rowOff>114300</xdr:rowOff>
    </xdr:from>
    <xdr:to>
      <xdr:col>4</xdr:col>
      <xdr:colOff>0</xdr:colOff>
      <xdr:row>422</xdr:row>
      <xdr:rowOff>123825</xdr:rowOff>
    </xdr:to>
    <xdr:sp macro="" textlink="">
      <xdr:nvSpPr>
        <xdr:cNvPr id="187440" name="AutoShape 83">
          <a:extLst>
            <a:ext uri="{FF2B5EF4-FFF2-40B4-BE49-F238E27FC236}">
              <a16:creationId xmlns:a16="http://schemas.microsoft.com/office/drawing/2014/main" id="{00000000-0008-0000-0100-000030DC0200}"/>
            </a:ext>
          </a:extLst>
        </xdr:cNvPr>
        <xdr:cNvSpPr>
          <a:spLocks noChangeArrowheads="1"/>
        </xdr:cNvSpPr>
      </xdr:nvSpPr>
      <xdr:spPr bwMode="auto">
        <a:xfrm>
          <a:off x="714375" y="70846950"/>
          <a:ext cx="2143125" cy="21145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0">
          <a:gsLst>
            <a:gs pos="0">
              <a:srgbClr xmlns:mc="http://schemas.openxmlformats.org/markup-compatibility/2006" xmlns:a14="http://schemas.microsoft.com/office/drawing/2010/main" val="99CCFF" mc:Ignorable="a14" a14:legacySpreadsheetColorIndex="44"/>
            </a:gs>
            <a:gs pos="50000">
              <a:srgbClr val="475E76"/>
            </a:gs>
            <a:gs pos="100000">
              <a:srgbClr xmlns:mc="http://schemas.openxmlformats.org/markup-compatibility/2006" xmlns:a14="http://schemas.microsoft.com/office/drawing/2010/main" val="99CCFF" mc:Ignorable="a14" a14:legacySpreadsheetColorIndex="44"/>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66675</xdr:colOff>
      <xdr:row>410</xdr:row>
      <xdr:rowOff>9525</xdr:rowOff>
    </xdr:from>
    <xdr:to>
      <xdr:col>3</xdr:col>
      <xdr:colOff>647700</xdr:colOff>
      <xdr:row>422</xdr:row>
      <xdr:rowOff>66675</xdr:rowOff>
    </xdr:to>
    <xdr:sp macro="" textlink="">
      <xdr:nvSpPr>
        <xdr:cNvPr id="187441" name="AutoShape 84">
          <a:extLst>
            <a:ext uri="{FF2B5EF4-FFF2-40B4-BE49-F238E27FC236}">
              <a16:creationId xmlns:a16="http://schemas.microsoft.com/office/drawing/2014/main" id="{00000000-0008-0000-0100-000031DC0200}"/>
            </a:ext>
          </a:extLst>
        </xdr:cNvPr>
        <xdr:cNvSpPr>
          <a:spLocks noChangeArrowheads="1"/>
        </xdr:cNvSpPr>
      </xdr:nvSpPr>
      <xdr:spPr bwMode="auto">
        <a:xfrm>
          <a:off x="781050" y="70904100"/>
          <a:ext cx="2009775" cy="2000250"/>
        </a:xfrm>
        <a:custGeom>
          <a:avLst/>
          <a:gdLst>
            <a:gd name="T0" fmla="*/ 2147483647 w 21600"/>
            <a:gd name="T1" fmla="*/ 0 h 21600"/>
            <a:gd name="T2" fmla="*/ 2147483647 w 21600"/>
            <a:gd name="T3" fmla="*/ 2147483647 h 21600"/>
            <a:gd name="T4" fmla="*/ 0 w 21600"/>
            <a:gd name="T5" fmla="*/ 2147483647 h 21600"/>
            <a:gd name="T6" fmla="*/ 2147483647 w 21600"/>
            <a:gd name="T7" fmla="*/ 2147483647 h 21600"/>
            <a:gd name="T8" fmla="*/ 2147483647 w 21600"/>
            <a:gd name="T9" fmla="*/ 2147483647 h 21600"/>
            <a:gd name="T10" fmla="*/ 2147483647 w 21600"/>
            <a:gd name="T11" fmla="*/ 2147483647 h 21600"/>
            <a:gd name="T12" fmla="*/ 2147483647 w 21600"/>
            <a:gd name="T13" fmla="*/ 2147483647 h 21600"/>
            <a:gd name="T14" fmla="*/ 2147483647 w 21600"/>
            <a:gd name="T15" fmla="*/ 2147483647 h 21600"/>
            <a:gd name="T16" fmla="*/ 0 60000 65536"/>
            <a:gd name="T17" fmla="*/ 0 60000 65536"/>
            <a:gd name="T18" fmla="*/ 0 60000 65536"/>
            <a:gd name="T19" fmla="*/ 0 60000 65536"/>
            <a:gd name="T20" fmla="*/ 0 60000 65536"/>
            <a:gd name="T21" fmla="*/ 0 60000 65536"/>
            <a:gd name="T22" fmla="*/ 0 60000 65536"/>
            <a:gd name="T23" fmla="*/ 0 60000 65536"/>
            <a:gd name="T24" fmla="*/ 3163 w 21600"/>
            <a:gd name="T25" fmla="*/ 3163 h 21600"/>
            <a:gd name="T26" fmla="*/ 18437 w 21600"/>
            <a:gd name="T27" fmla="*/ 18437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283" y="10800"/>
              </a:moveTo>
              <a:cubicBezTo>
                <a:pt x="1283" y="16056"/>
                <a:pt x="5544" y="20317"/>
                <a:pt x="10800" y="20317"/>
              </a:cubicBezTo>
              <a:cubicBezTo>
                <a:pt x="16056" y="20317"/>
                <a:pt x="20317" y="16056"/>
                <a:pt x="20317" y="10800"/>
              </a:cubicBezTo>
              <a:cubicBezTo>
                <a:pt x="20317" y="5544"/>
                <a:pt x="16056" y="1283"/>
                <a:pt x="10800" y="1283"/>
              </a:cubicBezTo>
              <a:cubicBezTo>
                <a:pt x="5544" y="1283"/>
                <a:pt x="1283" y="5544"/>
                <a:pt x="1283" y="10800"/>
              </a:cubicBezTo>
              <a:close/>
            </a:path>
          </a:pathLst>
        </a:cu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0</xdr:colOff>
      <xdr:row>422</xdr:row>
      <xdr:rowOff>142875</xdr:rowOff>
    </xdr:from>
    <xdr:to>
      <xdr:col>4</xdr:col>
      <xdr:colOff>0</xdr:colOff>
      <xdr:row>422</xdr:row>
      <xdr:rowOff>142875</xdr:rowOff>
    </xdr:to>
    <xdr:sp macro="" textlink="">
      <xdr:nvSpPr>
        <xdr:cNvPr id="187442" name="Line 85">
          <a:extLst>
            <a:ext uri="{FF2B5EF4-FFF2-40B4-BE49-F238E27FC236}">
              <a16:creationId xmlns:a16="http://schemas.microsoft.com/office/drawing/2014/main" id="{00000000-0008-0000-0100-000032DC0200}"/>
            </a:ext>
          </a:extLst>
        </xdr:cNvPr>
        <xdr:cNvSpPr>
          <a:spLocks noChangeShapeType="1"/>
        </xdr:cNvSpPr>
      </xdr:nvSpPr>
      <xdr:spPr bwMode="auto">
        <a:xfrm flipV="1">
          <a:off x="714375" y="72980550"/>
          <a:ext cx="214312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542925</xdr:colOff>
      <xdr:row>416</xdr:row>
      <xdr:rowOff>47625</xdr:rowOff>
    </xdr:from>
    <xdr:to>
      <xdr:col>3</xdr:col>
      <xdr:colOff>180975</xdr:colOff>
      <xdr:row>416</xdr:row>
      <xdr:rowOff>47625</xdr:rowOff>
    </xdr:to>
    <xdr:sp macro="" textlink="">
      <xdr:nvSpPr>
        <xdr:cNvPr id="187443" name="Line 86">
          <a:extLst>
            <a:ext uri="{FF2B5EF4-FFF2-40B4-BE49-F238E27FC236}">
              <a16:creationId xmlns:a16="http://schemas.microsoft.com/office/drawing/2014/main" id="{00000000-0008-0000-0100-000033DC0200}"/>
            </a:ext>
          </a:extLst>
        </xdr:cNvPr>
        <xdr:cNvSpPr>
          <a:spLocks noChangeShapeType="1"/>
        </xdr:cNvSpPr>
      </xdr:nvSpPr>
      <xdr:spPr bwMode="auto">
        <a:xfrm>
          <a:off x="1257300" y="71913750"/>
          <a:ext cx="10668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4</xdr:col>
      <xdr:colOff>561975</xdr:colOff>
      <xdr:row>423</xdr:row>
      <xdr:rowOff>0</xdr:rowOff>
    </xdr:from>
    <xdr:to>
      <xdr:col>7</xdr:col>
      <xdr:colOff>514350</xdr:colOff>
      <xdr:row>423</xdr:row>
      <xdr:rowOff>0</xdr:rowOff>
    </xdr:to>
    <xdr:sp macro="" textlink="">
      <xdr:nvSpPr>
        <xdr:cNvPr id="187444" name="Line 87">
          <a:extLst>
            <a:ext uri="{FF2B5EF4-FFF2-40B4-BE49-F238E27FC236}">
              <a16:creationId xmlns:a16="http://schemas.microsoft.com/office/drawing/2014/main" id="{00000000-0008-0000-0100-000034DC0200}"/>
            </a:ext>
          </a:extLst>
        </xdr:cNvPr>
        <xdr:cNvSpPr>
          <a:spLocks noChangeShapeType="1"/>
        </xdr:cNvSpPr>
      </xdr:nvSpPr>
      <xdr:spPr bwMode="auto">
        <a:xfrm>
          <a:off x="3419475" y="72999600"/>
          <a:ext cx="209550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417</xdr:row>
      <xdr:rowOff>104775</xdr:rowOff>
    </xdr:from>
    <xdr:to>
      <xdr:col>7</xdr:col>
      <xdr:colOff>628650</xdr:colOff>
      <xdr:row>421</xdr:row>
      <xdr:rowOff>28575</xdr:rowOff>
    </xdr:to>
    <xdr:sp macro="" textlink="">
      <xdr:nvSpPr>
        <xdr:cNvPr id="187445" name="Line 88">
          <a:extLst>
            <a:ext uri="{FF2B5EF4-FFF2-40B4-BE49-F238E27FC236}">
              <a16:creationId xmlns:a16="http://schemas.microsoft.com/office/drawing/2014/main" id="{00000000-0008-0000-0100-000035DC0200}"/>
            </a:ext>
          </a:extLst>
        </xdr:cNvPr>
        <xdr:cNvSpPr>
          <a:spLocks noChangeShapeType="1"/>
        </xdr:cNvSpPr>
      </xdr:nvSpPr>
      <xdr:spPr bwMode="auto">
        <a:xfrm flipV="1">
          <a:off x="5629275" y="72132825"/>
          <a:ext cx="0" cy="5715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414</xdr:row>
      <xdr:rowOff>19050</xdr:rowOff>
    </xdr:from>
    <xdr:to>
      <xdr:col>7</xdr:col>
      <xdr:colOff>628650</xdr:colOff>
      <xdr:row>417</xdr:row>
      <xdr:rowOff>85725</xdr:rowOff>
    </xdr:to>
    <xdr:sp macro="" textlink="">
      <xdr:nvSpPr>
        <xdr:cNvPr id="187446" name="Line 89">
          <a:extLst>
            <a:ext uri="{FF2B5EF4-FFF2-40B4-BE49-F238E27FC236}">
              <a16:creationId xmlns:a16="http://schemas.microsoft.com/office/drawing/2014/main" id="{00000000-0008-0000-0100-000036DC0200}"/>
            </a:ext>
          </a:extLst>
        </xdr:cNvPr>
        <xdr:cNvSpPr>
          <a:spLocks noChangeShapeType="1"/>
        </xdr:cNvSpPr>
      </xdr:nvSpPr>
      <xdr:spPr bwMode="auto">
        <a:xfrm flipH="1" flipV="1">
          <a:off x="5629275" y="71561325"/>
          <a:ext cx="0" cy="5524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666750</xdr:colOff>
      <xdr:row>421</xdr:row>
      <xdr:rowOff>114300</xdr:rowOff>
    </xdr:from>
    <xdr:to>
      <xdr:col>6</xdr:col>
      <xdr:colOff>571500</xdr:colOff>
      <xdr:row>421</xdr:row>
      <xdr:rowOff>114300</xdr:rowOff>
    </xdr:to>
    <xdr:sp macro="" textlink="">
      <xdr:nvSpPr>
        <xdr:cNvPr id="187447" name="Line 90">
          <a:extLst>
            <a:ext uri="{FF2B5EF4-FFF2-40B4-BE49-F238E27FC236}">
              <a16:creationId xmlns:a16="http://schemas.microsoft.com/office/drawing/2014/main" id="{00000000-0008-0000-0100-000037DC0200}"/>
            </a:ext>
          </a:extLst>
        </xdr:cNvPr>
        <xdr:cNvSpPr>
          <a:spLocks noChangeShapeType="1"/>
        </xdr:cNvSpPr>
      </xdr:nvSpPr>
      <xdr:spPr bwMode="auto">
        <a:xfrm rot="16200000" flipV="1">
          <a:off x="4548188" y="72480487"/>
          <a:ext cx="0" cy="619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6</xdr:col>
      <xdr:colOff>571500</xdr:colOff>
      <xdr:row>421</xdr:row>
      <xdr:rowOff>114300</xdr:rowOff>
    </xdr:from>
    <xdr:to>
      <xdr:col>7</xdr:col>
      <xdr:colOff>523875</xdr:colOff>
      <xdr:row>421</xdr:row>
      <xdr:rowOff>114300</xdr:rowOff>
    </xdr:to>
    <xdr:sp macro="" textlink="">
      <xdr:nvSpPr>
        <xdr:cNvPr id="187448" name="Line 91">
          <a:extLst>
            <a:ext uri="{FF2B5EF4-FFF2-40B4-BE49-F238E27FC236}">
              <a16:creationId xmlns:a16="http://schemas.microsoft.com/office/drawing/2014/main" id="{00000000-0008-0000-0100-000038DC0200}"/>
            </a:ext>
          </a:extLst>
        </xdr:cNvPr>
        <xdr:cNvSpPr>
          <a:spLocks noChangeShapeType="1"/>
        </xdr:cNvSpPr>
      </xdr:nvSpPr>
      <xdr:spPr bwMode="auto">
        <a:xfrm rot="5400000">
          <a:off x="5191125" y="72456675"/>
          <a:ext cx="0" cy="6667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xdr:col>
      <xdr:colOff>352425</xdr:colOff>
      <xdr:row>416</xdr:row>
      <xdr:rowOff>47625</xdr:rowOff>
    </xdr:from>
    <xdr:to>
      <xdr:col>2</xdr:col>
      <xdr:colOff>352425</xdr:colOff>
      <xdr:row>420</xdr:row>
      <xdr:rowOff>133350</xdr:rowOff>
    </xdr:to>
    <xdr:sp macro="" textlink="">
      <xdr:nvSpPr>
        <xdr:cNvPr id="187449" name="Line 92">
          <a:extLst>
            <a:ext uri="{FF2B5EF4-FFF2-40B4-BE49-F238E27FC236}">
              <a16:creationId xmlns:a16="http://schemas.microsoft.com/office/drawing/2014/main" id="{00000000-0008-0000-0100-000039DC0200}"/>
            </a:ext>
          </a:extLst>
        </xdr:cNvPr>
        <xdr:cNvSpPr>
          <a:spLocks noChangeShapeType="1"/>
        </xdr:cNvSpPr>
      </xdr:nvSpPr>
      <xdr:spPr bwMode="auto">
        <a:xfrm flipH="1">
          <a:off x="1066800" y="71913750"/>
          <a:ext cx="714375" cy="7334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295275</xdr:colOff>
      <xdr:row>416</xdr:row>
      <xdr:rowOff>19050</xdr:rowOff>
    </xdr:from>
    <xdr:to>
      <xdr:col>2</xdr:col>
      <xdr:colOff>371475</xdr:colOff>
      <xdr:row>416</xdr:row>
      <xdr:rowOff>95250</xdr:rowOff>
    </xdr:to>
    <xdr:sp macro="" textlink="">
      <xdr:nvSpPr>
        <xdr:cNvPr id="187450" name="Oval 93">
          <a:extLst>
            <a:ext uri="{FF2B5EF4-FFF2-40B4-BE49-F238E27FC236}">
              <a16:creationId xmlns:a16="http://schemas.microsoft.com/office/drawing/2014/main" id="{00000000-0008-0000-0100-00003ADC0200}"/>
            </a:ext>
          </a:extLst>
        </xdr:cNvPr>
        <xdr:cNvSpPr>
          <a:spLocks noChangeArrowheads="1"/>
        </xdr:cNvSpPr>
      </xdr:nvSpPr>
      <xdr:spPr bwMode="auto">
        <a:xfrm>
          <a:off x="1724025" y="71885175"/>
          <a:ext cx="76200" cy="76200"/>
        </a:xfrm>
        <a:prstGeom prst="ellipse">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FF0000" mc:Ignorable="a14" a14:legacySpreadsheetColorIndex="10"/>
          </a:solidFill>
          <a:round/>
          <a:headEnd/>
          <a:tailEnd/>
        </a:ln>
      </xdr:spPr>
    </xdr:sp>
    <xdr:clientData/>
  </xdr:twoCellAnchor>
  <xdr:twoCellAnchor>
    <xdr:from>
      <xdr:col>1</xdr:col>
      <xdr:colOff>0</xdr:colOff>
      <xdr:row>417</xdr:row>
      <xdr:rowOff>28575</xdr:rowOff>
    </xdr:from>
    <xdr:to>
      <xdr:col>1</xdr:col>
      <xdr:colOff>0</xdr:colOff>
      <xdr:row>423</xdr:row>
      <xdr:rowOff>66675</xdr:rowOff>
    </xdr:to>
    <xdr:sp macro="" textlink="">
      <xdr:nvSpPr>
        <xdr:cNvPr id="187451" name="Line 94">
          <a:extLst>
            <a:ext uri="{FF2B5EF4-FFF2-40B4-BE49-F238E27FC236}">
              <a16:creationId xmlns:a16="http://schemas.microsoft.com/office/drawing/2014/main" id="{00000000-0008-0000-0100-00003BDC0200}"/>
            </a:ext>
          </a:extLst>
        </xdr:cNvPr>
        <xdr:cNvSpPr>
          <a:spLocks noChangeShapeType="1"/>
        </xdr:cNvSpPr>
      </xdr:nvSpPr>
      <xdr:spPr bwMode="auto">
        <a:xfrm>
          <a:off x="714375" y="72056625"/>
          <a:ext cx="0" cy="10096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0</xdr:colOff>
      <xdr:row>417</xdr:row>
      <xdr:rowOff>9524</xdr:rowOff>
    </xdr:from>
    <xdr:to>
      <xdr:col>4</xdr:col>
      <xdr:colOff>0</xdr:colOff>
      <xdr:row>423</xdr:row>
      <xdr:rowOff>45974</xdr:rowOff>
    </xdr:to>
    <xdr:sp macro="" textlink="">
      <xdr:nvSpPr>
        <xdr:cNvPr id="187452" name="Line 95">
          <a:extLst>
            <a:ext uri="{FF2B5EF4-FFF2-40B4-BE49-F238E27FC236}">
              <a16:creationId xmlns:a16="http://schemas.microsoft.com/office/drawing/2014/main" id="{00000000-0008-0000-0100-00003CDC0200}"/>
            </a:ext>
          </a:extLst>
        </xdr:cNvPr>
        <xdr:cNvSpPr>
          <a:spLocks noChangeShapeType="1"/>
        </xdr:cNvSpPr>
      </xdr:nvSpPr>
      <xdr:spPr bwMode="auto">
        <a:xfrm>
          <a:off x="2857500" y="72037574"/>
          <a:ext cx="0" cy="10080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180975</xdr:colOff>
      <xdr:row>415</xdr:row>
      <xdr:rowOff>95250</xdr:rowOff>
    </xdr:from>
    <xdr:to>
      <xdr:col>3</xdr:col>
      <xdr:colOff>180975</xdr:colOff>
      <xdr:row>416</xdr:row>
      <xdr:rowOff>152400</xdr:rowOff>
    </xdr:to>
    <xdr:sp macro="" textlink="">
      <xdr:nvSpPr>
        <xdr:cNvPr id="187453" name="Line 96">
          <a:extLst>
            <a:ext uri="{FF2B5EF4-FFF2-40B4-BE49-F238E27FC236}">
              <a16:creationId xmlns:a16="http://schemas.microsoft.com/office/drawing/2014/main" id="{00000000-0008-0000-0100-00003DDC0200}"/>
            </a:ext>
          </a:extLst>
        </xdr:cNvPr>
        <xdr:cNvSpPr>
          <a:spLocks noChangeShapeType="1"/>
        </xdr:cNvSpPr>
      </xdr:nvSpPr>
      <xdr:spPr bwMode="auto">
        <a:xfrm>
          <a:off x="2324100" y="71799450"/>
          <a:ext cx="0" cy="219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533400</xdr:colOff>
      <xdr:row>415</xdr:row>
      <xdr:rowOff>66675</xdr:rowOff>
    </xdr:from>
    <xdr:to>
      <xdr:col>1</xdr:col>
      <xdr:colOff>533400</xdr:colOff>
      <xdr:row>416</xdr:row>
      <xdr:rowOff>142875</xdr:rowOff>
    </xdr:to>
    <xdr:sp macro="" textlink="">
      <xdr:nvSpPr>
        <xdr:cNvPr id="187454" name="Line 97">
          <a:extLst>
            <a:ext uri="{FF2B5EF4-FFF2-40B4-BE49-F238E27FC236}">
              <a16:creationId xmlns:a16="http://schemas.microsoft.com/office/drawing/2014/main" id="{00000000-0008-0000-0100-00003EDC0200}"/>
            </a:ext>
          </a:extLst>
        </xdr:cNvPr>
        <xdr:cNvSpPr>
          <a:spLocks noChangeShapeType="1"/>
        </xdr:cNvSpPr>
      </xdr:nvSpPr>
      <xdr:spPr bwMode="auto">
        <a:xfrm>
          <a:off x="1247775" y="71770875"/>
          <a:ext cx="0" cy="23812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323850</xdr:colOff>
      <xdr:row>420</xdr:row>
      <xdr:rowOff>76200</xdr:rowOff>
    </xdr:from>
    <xdr:to>
      <xdr:col>1</xdr:col>
      <xdr:colOff>400050</xdr:colOff>
      <xdr:row>420</xdr:row>
      <xdr:rowOff>152400</xdr:rowOff>
    </xdr:to>
    <xdr:sp macro="" textlink="">
      <xdr:nvSpPr>
        <xdr:cNvPr id="187455" name="Line 98">
          <a:extLst>
            <a:ext uri="{FF2B5EF4-FFF2-40B4-BE49-F238E27FC236}">
              <a16:creationId xmlns:a16="http://schemas.microsoft.com/office/drawing/2014/main" id="{00000000-0008-0000-0100-00003FDC0200}"/>
            </a:ext>
          </a:extLst>
        </xdr:cNvPr>
        <xdr:cNvSpPr>
          <a:spLocks noChangeShapeType="1"/>
        </xdr:cNvSpPr>
      </xdr:nvSpPr>
      <xdr:spPr bwMode="auto">
        <a:xfrm>
          <a:off x="1038225" y="72590025"/>
          <a:ext cx="76200" cy="762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571500</xdr:colOff>
      <xdr:row>421</xdr:row>
      <xdr:rowOff>47625</xdr:rowOff>
    </xdr:from>
    <xdr:to>
      <xdr:col>6</xdr:col>
      <xdr:colOff>571500</xdr:colOff>
      <xdr:row>422</xdr:row>
      <xdr:rowOff>19050</xdr:rowOff>
    </xdr:to>
    <xdr:sp macro="" textlink="">
      <xdr:nvSpPr>
        <xdr:cNvPr id="187456" name="Line 99">
          <a:extLst>
            <a:ext uri="{FF2B5EF4-FFF2-40B4-BE49-F238E27FC236}">
              <a16:creationId xmlns:a16="http://schemas.microsoft.com/office/drawing/2014/main" id="{00000000-0008-0000-0100-000040DC0200}"/>
            </a:ext>
          </a:extLst>
        </xdr:cNvPr>
        <xdr:cNvSpPr>
          <a:spLocks noChangeShapeType="1"/>
        </xdr:cNvSpPr>
      </xdr:nvSpPr>
      <xdr:spPr bwMode="auto">
        <a:xfrm>
          <a:off x="4857750" y="72723375"/>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523875</xdr:colOff>
      <xdr:row>421</xdr:row>
      <xdr:rowOff>47625</xdr:rowOff>
    </xdr:from>
    <xdr:to>
      <xdr:col>7</xdr:col>
      <xdr:colOff>523875</xdr:colOff>
      <xdr:row>423</xdr:row>
      <xdr:rowOff>66675</xdr:rowOff>
    </xdr:to>
    <xdr:sp macro="" textlink="">
      <xdr:nvSpPr>
        <xdr:cNvPr id="187457" name="Line 100">
          <a:extLst>
            <a:ext uri="{FF2B5EF4-FFF2-40B4-BE49-F238E27FC236}">
              <a16:creationId xmlns:a16="http://schemas.microsoft.com/office/drawing/2014/main" id="{00000000-0008-0000-0100-000041DC0200}"/>
            </a:ext>
          </a:extLst>
        </xdr:cNvPr>
        <xdr:cNvSpPr>
          <a:spLocks noChangeShapeType="1"/>
        </xdr:cNvSpPr>
      </xdr:nvSpPr>
      <xdr:spPr bwMode="auto">
        <a:xfrm>
          <a:off x="5524500" y="72723375"/>
          <a:ext cx="0" cy="3429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421</xdr:row>
      <xdr:rowOff>47625</xdr:rowOff>
    </xdr:from>
    <xdr:to>
      <xdr:col>4</xdr:col>
      <xdr:colOff>561975</xdr:colOff>
      <xdr:row>423</xdr:row>
      <xdr:rowOff>57150</xdr:rowOff>
    </xdr:to>
    <xdr:sp macro="" textlink="">
      <xdr:nvSpPr>
        <xdr:cNvPr id="187458" name="Line 101">
          <a:extLst>
            <a:ext uri="{FF2B5EF4-FFF2-40B4-BE49-F238E27FC236}">
              <a16:creationId xmlns:a16="http://schemas.microsoft.com/office/drawing/2014/main" id="{00000000-0008-0000-0100-000042DC0200}"/>
            </a:ext>
          </a:extLst>
        </xdr:cNvPr>
        <xdr:cNvSpPr>
          <a:spLocks noChangeShapeType="1"/>
        </xdr:cNvSpPr>
      </xdr:nvSpPr>
      <xdr:spPr bwMode="auto">
        <a:xfrm flipH="1">
          <a:off x="3419475" y="72723375"/>
          <a:ext cx="0" cy="3333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666750</xdr:colOff>
      <xdr:row>421</xdr:row>
      <xdr:rowOff>47625</xdr:rowOff>
    </xdr:from>
    <xdr:to>
      <xdr:col>5</xdr:col>
      <xdr:colOff>666750</xdr:colOff>
      <xdr:row>422</xdr:row>
      <xdr:rowOff>19050</xdr:rowOff>
    </xdr:to>
    <xdr:sp macro="" textlink="">
      <xdr:nvSpPr>
        <xdr:cNvPr id="187459" name="Line 102">
          <a:extLst>
            <a:ext uri="{FF2B5EF4-FFF2-40B4-BE49-F238E27FC236}">
              <a16:creationId xmlns:a16="http://schemas.microsoft.com/office/drawing/2014/main" id="{00000000-0008-0000-0100-000043DC0200}"/>
            </a:ext>
          </a:extLst>
        </xdr:cNvPr>
        <xdr:cNvSpPr>
          <a:spLocks noChangeShapeType="1"/>
        </xdr:cNvSpPr>
      </xdr:nvSpPr>
      <xdr:spPr bwMode="auto">
        <a:xfrm flipH="1">
          <a:off x="4238625" y="72723375"/>
          <a:ext cx="0" cy="1333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561975</xdr:colOff>
      <xdr:row>412</xdr:row>
      <xdr:rowOff>104775</xdr:rowOff>
    </xdr:from>
    <xdr:to>
      <xdr:col>6</xdr:col>
      <xdr:colOff>571500</xdr:colOff>
      <xdr:row>412</xdr:row>
      <xdr:rowOff>152400</xdr:rowOff>
    </xdr:to>
    <xdr:sp macro="" textlink="">
      <xdr:nvSpPr>
        <xdr:cNvPr id="187460" name="Rectangle 103">
          <a:extLst>
            <a:ext uri="{FF2B5EF4-FFF2-40B4-BE49-F238E27FC236}">
              <a16:creationId xmlns:a16="http://schemas.microsoft.com/office/drawing/2014/main" id="{00000000-0008-0000-0100-000044DC0200}"/>
            </a:ext>
          </a:extLst>
        </xdr:cNvPr>
        <xdr:cNvSpPr>
          <a:spLocks noChangeArrowheads="1"/>
        </xdr:cNvSpPr>
      </xdr:nvSpPr>
      <xdr:spPr bwMode="auto">
        <a:xfrm>
          <a:off x="3419475" y="71323200"/>
          <a:ext cx="1438275" cy="4762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409</xdr:row>
      <xdr:rowOff>28575</xdr:rowOff>
    </xdr:from>
    <xdr:to>
      <xdr:col>6</xdr:col>
      <xdr:colOff>314325</xdr:colOff>
      <xdr:row>412</xdr:row>
      <xdr:rowOff>104775</xdr:rowOff>
    </xdr:to>
    <xdr:sp macro="" textlink="">
      <xdr:nvSpPr>
        <xdr:cNvPr id="187461" name="Rectangle 104">
          <a:extLst>
            <a:ext uri="{FF2B5EF4-FFF2-40B4-BE49-F238E27FC236}">
              <a16:creationId xmlns:a16="http://schemas.microsoft.com/office/drawing/2014/main" id="{00000000-0008-0000-0100-000045DC0200}"/>
            </a:ext>
          </a:extLst>
        </xdr:cNvPr>
        <xdr:cNvSpPr>
          <a:spLocks noChangeArrowheads="1"/>
        </xdr:cNvSpPr>
      </xdr:nvSpPr>
      <xdr:spPr bwMode="auto">
        <a:xfrm>
          <a:off x="3419475" y="70761225"/>
          <a:ext cx="1181100" cy="561975"/>
        </a:xfrm>
        <a:prstGeom prst="rect">
          <a:avLst/>
        </a:prstGeom>
        <a:gradFill rotWithShape="0">
          <a:gsLst>
            <a:gs pos="0">
              <a:srgbClr val="5E7676"/>
            </a:gs>
            <a:gs pos="100000">
              <a:srgbClr xmlns:mc="http://schemas.openxmlformats.org/markup-compatibility/2006" xmlns:a14="http://schemas.microsoft.com/office/drawing/2010/main" val="CCFFFF" mc:Ignorable="a14" a14:legacySpreadsheetColorIndex="41"/>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413</xdr:row>
      <xdr:rowOff>0</xdr:rowOff>
    </xdr:from>
    <xdr:to>
      <xdr:col>6</xdr:col>
      <xdr:colOff>142875</xdr:colOff>
      <xdr:row>418</xdr:row>
      <xdr:rowOff>47625</xdr:rowOff>
    </xdr:to>
    <xdr:sp macro="" textlink="">
      <xdr:nvSpPr>
        <xdr:cNvPr id="187462" name="Rectangle 105">
          <a:extLst>
            <a:ext uri="{FF2B5EF4-FFF2-40B4-BE49-F238E27FC236}">
              <a16:creationId xmlns:a16="http://schemas.microsoft.com/office/drawing/2014/main" id="{00000000-0008-0000-0100-000046DC0200}"/>
            </a:ext>
          </a:extLst>
        </xdr:cNvPr>
        <xdr:cNvSpPr>
          <a:spLocks noChangeArrowheads="1"/>
        </xdr:cNvSpPr>
      </xdr:nvSpPr>
      <xdr:spPr bwMode="auto">
        <a:xfrm>
          <a:off x="3419475" y="71380350"/>
          <a:ext cx="1009650" cy="85725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314325</xdr:colOff>
      <xdr:row>409</xdr:row>
      <xdr:rowOff>28575</xdr:rowOff>
    </xdr:from>
    <xdr:to>
      <xdr:col>6</xdr:col>
      <xdr:colOff>342900</xdr:colOff>
      <xdr:row>412</xdr:row>
      <xdr:rowOff>104775</xdr:rowOff>
    </xdr:to>
    <xdr:sp macro="" textlink="">
      <xdr:nvSpPr>
        <xdr:cNvPr id="187463" name="Rectangle 106">
          <a:extLst>
            <a:ext uri="{FF2B5EF4-FFF2-40B4-BE49-F238E27FC236}">
              <a16:creationId xmlns:a16="http://schemas.microsoft.com/office/drawing/2014/main" id="{00000000-0008-0000-0100-000047DC0200}"/>
            </a:ext>
          </a:extLst>
        </xdr:cNvPr>
        <xdr:cNvSpPr>
          <a:spLocks noChangeArrowheads="1"/>
        </xdr:cNvSpPr>
      </xdr:nvSpPr>
      <xdr:spPr bwMode="auto">
        <a:xfrm>
          <a:off x="4600575" y="70761225"/>
          <a:ext cx="28575" cy="561975"/>
        </a:xfrm>
        <a:prstGeom prst="rect">
          <a:avLst/>
        </a:prstGeom>
        <a:solidFill>
          <a:srgbClr xmlns:mc="http://schemas.openxmlformats.org/markup-compatibility/2006" xmlns:a14="http://schemas.microsoft.com/office/drawing/2010/main" val="FF9900" mc:Ignorable="a14" a14:legacySpreadsheetColorIndex="5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533400</xdr:colOff>
      <xdr:row>414</xdr:row>
      <xdr:rowOff>38100</xdr:rowOff>
    </xdr:from>
    <xdr:to>
      <xdr:col>7</xdr:col>
      <xdr:colOff>523875</xdr:colOff>
      <xdr:row>418</xdr:row>
      <xdr:rowOff>38100</xdr:rowOff>
    </xdr:to>
    <xdr:sp macro="" textlink="">
      <xdr:nvSpPr>
        <xdr:cNvPr id="187464" name="Rectangle 107">
          <a:extLst>
            <a:ext uri="{FF2B5EF4-FFF2-40B4-BE49-F238E27FC236}">
              <a16:creationId xmlns:a16="http://schemas.microsoft.com/office/drawing/2014/main" id="{00000000-0008-0000-0100-000048DC0200}"/>
            </a:ext>
          </a:extLst>
        </xdr:cNvPr>
        <xdr:cNvSpPr>
          <a:spLocks noChangeArrowheads="1"/>
        </xdr:cNvSpPr>
      </xdr:nvSpPr>
      <xdr:spPr bwMode="auto">
        <a:xfrm>
          <a:off x="4819650" y="71580375"/>
          <a:ext cx="704850" cy="647700"/>
        </a:xfrm>
        <a:prstGeom prst="rect">
          <a:avLst/>
        </a:prstGeom>
        <a:gradFill rotWithShape="0">
          <a:gsLst>
            <a:gs pos="0">
              <a:srgbClr val="5E1800"/>
            </a:gs>
            <a:gs pos="100000">
              <a:srgbClr val="CC3300"/>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561975</xdr:colOff>
      <xdr:row>417</xdr:row>
      <xdr:rowOff>85725</xdr:rowOff>
    </xdr:from>
    <xdr:to>
      <xdr:col>7</xdr:col>
      <xdr:colOff>523875</xdr:colOff>
      <xdr:row>421</xdr:row>
      <xdr:rowOff>28575</xdr:rowOff>
    </xdr:to>
    <xdr:sp macro="" textlink="">
      <xdr:nvSpPr>
        <xdr:cNvPr id="187465" name="Rectangle 108">
          <a:extLst>
            <a:ext uri="{FF2B5EF4-FFF2-40B4-BE49-F238E27FC236}">
              <a16:creationId xmlns:a16="http://schemas.microsoft.com/office/drawing/2014/main" id="{00000000-0008-0000-0100-000049DC0200}"/>
            </a:ext>
          </a:extLst>
        </xdr:cNvPr>
        <xdr:cNvSpPr>
          <a:spLocks noChangeArrowheads="1"/>
        </xdr:cNvSpPr>
      </xdr:nvSpPr>
      <xdr:spPr bwMode="auto">
        <a:xfrm>
          <a:off x="3419475" y="72113775"/>
          <a:ext cx="2105025" cy="5905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5</xdr:col>
      <xdr:colOff>657225</xdr:colOff>
      <xdr:row>413</xdr:row>
      <xdr:rowOff>0</xdr:rowOff>
    </xdr:from>
    <xdr:to>
      <xdr:col>6</xdr:col>
      <xdr:colOff>571500</xdr:colOff>
      <xdr:row>421</xdr:row>
      <xdr:rowOff>28575</xdr:rowOff>
    </xdr:to>
    <xdr:sp macro="" textlink="">
      <xdr:nvSpPr>
        <xdr:cNvPr id="187466" name="Rectangle 109">
          <a:extLst>
            <a:ext uri="{FF2B5EF4-FFF2-40B4-BE49-F238E27FC236}">
              <a16:creationId xmlns:a16="http://schemas.microsoft.com/office/drawing/2014/main" id="{00000000-0008-0000-0100-00004ADC0200}"/>
            </a:ext>
          </a:extLst>
        </xdr:cNvPr>
        <xdr:cNvSpPr>
          <a:spLocks noChangeArrowheads="1"/>
        </xdr:cNvSpPr>
      </xdr:nvSpPr>
      <xdr:spPr bwMode="auto">
        <a:xfrm rot="-5400000">
          <a:off x="3881437" y="71728013"/>
          <a:ext cx="1323975" cy="628650"/>
        </a:xfrm>
        <a:prstGeom prst="rect">
          <a:avLst/>
        </a:prstGeom>
        <a:gradFill rotWithShape="0">
          <a:gsLst>
            <a:gs pos="0">
              <a:srgbClr xmlns:mc="http://schemas.openxmlformats.org/markup-compatibility/2006" xmlns:a14="http://schemas.microsoft.com/office/drawing/2010/main" val="0000FF" mc:Ignorable="a14" a14:legacySpreadsheetColorIndex="12"/>
            </a:gs>
            <a:gs pos="50000">
              <a:srgbClr val="000076"/>
            </a:gs>
            <a:gs pos="100000">
              <a:srgbClr xmlns:mc="http://schemas.openxmlformats.org/markup-compatibility/2006" xmlns:a14="http://schemas.microsoft.com/office/drawing/2010/main" val="0000FF" mc:Ignorable="a14" a14:legacySpreadsheetColorIndex="12"/>
            </a:gs>
          </a:gsLst>
          <a:lin ang="0" scaled="1"/>
        </a:gra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628650</xdr:colOff>
      <xdr:row>412</xdr:row>
      <xdr:rowOff>142875</xdr:rowOff>
    </xdr:from>
    <xdr:to>
      <xdr:col>7</xdr:col>
      <xdr:colOff>628650</xdr:colOff>
      <xdr:row>414</xdr:row>
      <xdr:rowOff>28575</xdr:rowOff>
    </xdr:to>
    <xdr:sp macro="" textlink="">
      <xdr:nvSpPr>
        <xdr:cNvPr id="187467" name="Line 110">
          <a:extLst>
            <a:ext uri="{FF2B5EF4-FFF2-40B4-BE49-F238E27FC236}">
              <a16:creationId xmlns:a16="http://schemas.microsoft.com/office/drawing/2014/main" id="{00000000-0008-0000-0100-00004BDC0200}"/>
            </a:ext>
          </a:extLst>
        </xdr:cNvPr>
        <xdr:cNvSpPr>
          <a:spLocks noChangeShapeType="1"/>
        </xdr:cNvSpPr>
      </xdr:nvSpPr>
      <xdr:spPr bwMode="auto">
        <a:xfrm flipH="1" flipV="1">
          <a:off x="5629275" y="71361300"/>
          <a:ext cx="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triangle" w="sm" len="sm"/>
          <a:tailEnd type="triangle" w="sm" len="sm"/>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7</xdr:col>
      <xdr:colOff>561975</xdr:colOff>
      <xdr:row>414</xdr:row>
      <xdr:rowOff>28575</xdr:rowOff>
    </xdr:from>
    <xdr:to>
      <xdr:col>7</xdr:col>
      <xdr:colOff>695325</xdr:colOff>
      <xdr:row>414</xdr:row>
      <xdr:rowOff>28575</xdr:rowOff>
    </xdr:to>
    <xdr:sp macro="" textlink="">
      <xdr:nvSpPr>
        <xdr:cNvPr id="187468" name="Line 111">
          <a:extLst>
            <a:ext uri="{FF2B5EF4-FFF2-40B4-BE49-F238E27FC236}">
              <a16:creationId xmlns:a16="http://schemas.microsoft.com/office/drawing/2014/main" id="{00000000-0008-0000-0100-00004CDC0200}"/>
            </a:ext>
          </a:extLst>
        </xdr:cNvPr>
        <xdr:cNvSpPr>
          <a:spLocks noChangeShapeType="1"/>
        </xdr:cNvSpPr>
      </xdr:nvSpPr>
      <xdr:spPr bwMode="auto">
        <a:xfrm>
          <a:off x="5562600" y="71570850"/>
          <a:ext cx="1333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417</xdr:row>
      <xdr:rowOff>95250</xdr:rowOff>
    </xdr:from>
    <xdr:to>
      <xdr:col>7</xdr:col>
      <xdr:colOff>695325</xdr:colOff>
      <xdr:row>417</xdr:row>
      <xdr:rowOff>95250</xdr:rowOff>
    </xdr:to>
    <xdr:sp macro="" textlink="">
      <xdr:nvSpPr>
        <xdr:cNvPr id="187469" name="Line 112">
          <a:extLst>
            <a:ext uri="{FF2B5EF4-FFF2-40B4-BE49-F238E27FC236}">
              <a16:creationId xmlns:a16="http://schemas.microsoft.com/office/drawing/2014/main" id="{00000000-0008-0000-0100-00004DDC0200}"/>
            </a:ext>
          </a:extLst>
        </xdr:cNvPr>
        <xdr:cNvSpPr>
          <a:spLocks noChangeShapeType="1"/>
        </xdr:cNvSpPr>
      </xdr:nvSpPr>
      <xdr:spPr bwMode="auto">
        <a:xfrm>
          <a:off x="5553075" y="72123300"/>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552450</xdr:colOff>
      <xdr:row>421</xdr:row>
      <xdr:rowOff>28575</xdr:rowOff>
    </xdr:from>
    <xdr:to>
      <xdr:col>7</xdr:col>
      <xdr:colOff>695325</xdr:colOff>
      <xdr:row>421</xdr:row>
      <xdr:rowOff>28575</xdr:rowOff>
    </xdr:to>
    <xdr:sp macro="" textlink="">
      <xdr:nvSpPr>
        <xdr:cNvPr id="187470" name="Line 113">
          <a:extLst>
            <a:ext uri="{FF2B5EF4-FFF2-40B4-BE49-F238E27FC236}">
              <a16:creationId xmlns:a16="http://schemas.microsoft.com/office/drawing/2014/main" id="{00000000-0008-0000-0100-00004EDC0200}"/>
            </a:ext>
          </a:extLst>
        </xdr:cNvPr>
        <xdr:cNvSpPr>
          <a:spLocks noChangeShapeType="1"/>
        </xdr:cNvSpPr>
      </xdr:nvSpPr>
      <xdr:spPr bwMode="auto">
        <a:xfrm>
          <a:off x="5553075" y="72704325"/>
          <a:ext cx="142875"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695325</xdr:colOff>
      <xdr:row>412</xdr:row>
      <xdr:rowOff>152400</xdr:rowOff>
    </xdr:from>
    <xdr:to>
      <xdr:col>7</xdr:col>
      <xdr:colOff>685800</xdr:colOff>
      <xdr:row>412</xdr:row>
      <xdr:rowOff>152400</xdr:rowOff>
    </xdr:to>
    <xdr:sp macro="" textlink="">
      <xdr:nvSpPr>
        <xdr:cNvPr id="187471" name="Line 114">
          <a:extLst>
            <a:ext uri="{FF2B5EF4-FFF2-40B4-BE49-F238E27FC236}">
              <a16:creationId xmlns:a16="http://schemas.microsoft.com/office/drawing/2014/main" id="{00000000-0008-0000-0100-00004FDC0200}"/>
            </a:ext>
          </a:extLst>
        </xdr:cNvPr>
        <xdr:cNvSpPr>
          <a:spLocks noChangeShapeType="1"/>
        </xdr:cNvSpPr>
      </xdr:nvSpPr>
      <xdr:spPr bwMode="auto">
        <a:xfrm>
          <a:off x="4981575" y="71370825"/>
          <a:ext cx="704850" cy="0"/>
        </a:xfrm>
        <a:prstGeom prst="line">
          <a:avLst/>
        </a:prstGeom>
        <a:noFill/>
        <a:ln w="952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10</xdr:col>
          <xdr:colOff>85725</xdr:colOff>
          <xdr:row>413</xdr:row>
          <xdr:rowOff>76200</xdr:rowOff>
        </xdr:from>
        <xdr:to>
          <xdr:col>12</xdr:col>
          <xdr:colOff>438150</xdr:colOff>
          <xdr:row>416</xdr:row>
          <xdr:rowOff>47625</xdr:rowOff>
        </xdr:to>
        <xdr:sp macro="" textlink="">
          <xdr:nvSpPr>
            <xdr:cNvPr id="15475" name="Object 115" hidden="1">
              <a:extLst>
                <a:ext uri="{63B3BB69-23CF-44E3-9099-C40C66FF867C}">
                  <a14:compatExt spid="_x0000_s15475"/>
                </a:ext>
                <a:ext uri="{FF2B5EF4-FFF2-40B4-BE49-F238E27FC236}">
                  <a16:creationId xmlns:a16="http://schemas.microsoft.com/office/drawing/2014/main" id="{00000000-0008-0000-0100-000073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448</xdr:row>
      <xdr:rowOff>38100</xdr:rowOff>
    </xdr:from>
    <xdr:to>
      <xdr:col>25</xdr:col>
      <xdr:colOff>552450</xdr:colOff>
      <xdr:row>462</xdr:row>
      <xdr:rowOff>76200</xdr:rowOff>
    </xdr:to>
    <xdr:graphicFrame macro="">
      <xdr:nvGraphicFramePr>
        <xdr:cNvPr id="187472" name="Gráfico 116">
          <a:extLst>
            <a:ext uri="{FF2B5EF4-FFF2-40B4-BE49-F238E27FC236}">
              <a16:creationId xmlns:a16="http://schemas.microsoft.com/office/drawing/2014/main" id="{00000000-0008-0000-0100-000050D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28575</xdr:colOff>
      <xdr:row>466</xdr:row>
      <xdr:rowOff>142875</xdr:rowOff>
    </xdr:from>
    <xdr:to>
      <xdr:col>25</xdr:col>
      <xdr:colOff>476250</xdr:colOff>
      <xdr:row>488</xdr:row>
      <xdr:rowOff>9525</xdr:rowOff>
    </xdr:to>
    <xdr:graphicFrame macro="">
      <xdr:nvGraphicFramePr>
        <xdr:cNvPr id="187473" name="Gráfico 117">
          <a:extLst>
            <a:ext uri="{FF2B5EF4-FFF2-40B4-BE49-F238E27FC236}">
              <a16:creationId xmlns:a16="http://schemas.microsoft.com/office/drawing/2014/main" id="{00000000-0008-0000-0100-000051DC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5479" name="Check Box 119" hidden="1">
              <a:extLst>
                <a:ext uri="{63B3BB69-23CF-44E3-9099-C40C66FF867C}">
                  <a14:compatExt spid="_x0000_s15479"/>
                </a:ext>
                <a:ext uri="{FF2B5EF4-FFF2-40B4-BE49-F238E27FC236}">
                  <a16:creationId xmlns:a16="http://schemas.microsoft.com/office/drawing/2014/main" id="{00000000-0008-0000-0100-00007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85725</xdr:colOff>
          <xdr:row>291</xdr:row>
          <xdr:rowOff>66675</xdr:rowOff>
        </xdr:from>
        <xdr:to>
          <xdr:col>5</xdr:col>
          <xdr:colOff>666750</xdr:colOff>
          <xdr:row>293</xdr:row>
          <xdr:rowOff>28575</xdr:rowOff>
        </xdr:to>
        <xdr:sp macro="" textlink="">
          <xdr:nvSpPr>
            <xdr:cNvPr id="15480" name="Object 120" hidden="1">
              <a:extLst>
                <a:ext uri="{63B3BB69-23CF-44E3-9099-C40C66FF867C}">
                  <a14:compatExt spid="_x0000_s15480"/>
                </a:ext>
                <a:ext uri="{FF2B5EF4-FFF2-40B4-BE49-F238E27FC236}">
                  <a16:creationId xmlns:a16="http://schemas.microsoft.com/office/drawing/2014/main" id="{00000000-0008-0000-0100-000078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628650</xdr:colOff>
          <xdr:row>297</xdr:row>
          <xdr:rowOff>142875</xdr:rowOff>
        </xdr:from>
        <xdr:to>
          <xdr:col>5</xdr:col>
          <xdr:colOff>219075</xdr:colOff>
          <xdr:row>299</xdr:row>
          <xdr:rowOff>9525</xdr:rowOff>
        </xdr:to>
        <xdr:sp macro="" textlink="">
          <xdr:nvSpPr>
            <xdr:cNvPr id="15481" name="Drop Down 121" hidden="1">
              <a:extLst>
                <a:ext uri="{63B3BB69-23CF-44E3-9099-C40C66FF867C}">
                  <a14:compatExt spid="_x0000_s15481"/>
                </a:ext>
                <a:ext uri="{FF2B5EF4-FFF2-40B4-BE49-F238E27FC236}">
                  <a16:creationId xmlns:a16="http://schemas.microsoft.com/office/drawing/2014/main" id="{00000000-0008-0000-0100-00007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333</xdr:row>
          <xdr:rowOff>9525</xdr:rowOff>
        </xdr:from>
        <xdr:to>
          <xdr:col>5</xdr:col>
          <xdr:colOff>0</xdr:colOff>
          <xdr:row>334</xdr:row>
          <xdr:rowOff>28575</xdr:rowOff>
        </xdr:to>
        <xdr:sp macro="" textlink="">
          <xdr:nvSpPr>
            <xdr:cNvPr id="15482" name="Drop Down 122" hidden="1">
              <a:extLst>
                <a:ext uri="{63B3BB69-23CF-44E3-9099-C40C66FF867C}">
                  <a14:compatExt spid="_x0000_s15482"/>
                </a:ext>
                <a:ext uri="{FF2B5EF4-FFF2-40B4-BE49-F238E27FC236}">
                  <a16:creationId xmlns:a16="http://schemas.microsoft.com/office/drawing/2014/main" id="{00000000-0008-0000-0100-00007A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331</xdr:row>
          <xdr:rowOff>0</xdr:rowOff>
        </xdr:from>
        <xdr:to>
          <xdr:col>4</xdr:col>
          <xdr:colOff>704850</xdr:colOff>
          <xdr:row>332</xdr:row>
          <xdr:rowOff>9525</xdr:rowOff>
        </xdr:to>
        <xdr:sp macro="" textlink="">
          <xdr:nvSpPr>
            <xdr:cNvPr id="15483" name="Drop Down 123" hidden="1">
              <a:extLst>
                <a:ext uri="{63B3BB69-23CF-44E3-9099-C40C66FF867C}">
                  <a14:compatExt spid="_x0000_s15483"/>
                </a:ext>
                <a:ext uri="{FF2B5EF4-FFF2-40B4-BE49-F238E27FC236}">
                  <a16:creationId xmlns:a16="http://schemas.microsoft.com/office/drawing/2014/main" id="{00000000-0008-0000-0100-00007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332</xdr:row>
          <xdr:rowOff>0</xdr:rowOff>
        </xdr:from>
        <xdr:to>
          <xdr:col>4</xdr:col>
          <xdr:colOff>704850</xdr:colOff>
          <xdr:row>333</xdr:row>
          <xdr:rowOff>9525</xdr:rowOff>
        </xdr:to>
        <xdr:sp macro="" textlink="">
          <xdr:nvSpPr>
            <xdr:cNvPr id="15484" name="Drop Down 124" hidden="1">
              <a:extLst>
                <a:ext uri="{63B3BB69-23CF-44E3-9099-C40C66FF867C}">
                  <a14:compatExt spid="_x0000_s15484"/>
                </a:ext>
                <a:ext uri="{FF2B5EF4-FFF2-40B4-BE49-F238E27FC236}">
                  <a16:creationId xmlns:a16="http://schemas.microsoft.com/office/drawing/2014/main" id="{00000000-0008-0000-0100-00007C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341</xdr:row>
          <xdr:rowOff>19050</xdr:rowOff>
        </xdr:from>
        <xdr:to>
          <xdr:col>4</xdr:col>
          <xdr:colOff>704850</xdr:colOff>
          <xdr:row>342</xdr:row>
          <xdr:rowOff>57150</xdr:rowOff>
        </xdr:to>
        <xdr:sp macro="" textlink="">
          <xdr:nvSpPr>
            <xdr:cNvPr id="15485" name="Drop Down 125" hidden="1">
              <a:extLst>
                <a:ext uri="{63B3BB69-23CF-44E3-9099-C40C66FF867C}">
                  <a14:compatExt spid="_x0000_s15485"/>
                </a:ext>
                <a:ext uri="{FF2B5EF4-FFF2-40B4-BE49-F238E27FC236}">
                  <a16:creationId xmlns:a16="http://schemas.microsoft.com/office/drawing/2014/main" id="{00000000-0008-0000-0100-00007D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609600</xdr:colOff>
      <xdr:row>373</xdr:row>
      <xdr:rowOff>85725</xdr:rowOff>
    </xdr:from>
    <xdr:to>
      <xdr:col>5</xdr:col>
      <xdr:colOff>200025</xdr:colOff>
      <xdr:row>374</xdr:row>
      <xdr:rowOff>133350</xdr:rowOff>
    </xdr:to>
    <xdr:sp macro="" textlink="">
      <xdr:nvSpPr>
        <xdr:cNvPr id="187474" name="Line 126">
          <a:extLst>
            <a:ext uri="{FF2B5EF4-FFF2-40B4-BE49-F238E27FC236}">
              <a16:creationId xmlns:a16="http://schemas.microsoft.com/office/drawing/2014/main" id="{00000000-0008-0000-0100-000052DC0200}"/>
            </a:ext>
          </a:extLst>
        </xdr:cNvPr>
        <xdr:cNvSpPr>
          <a:spLocks noChangeShapeType="1"/>
        </xdr:cNvSpPr>
      </xdr:nvSpPr>
      <xdr:spPr bwMode="auto">
        <a:xfrm flipH="1">
          <a:off x="3467100" y="64655700"/>
          <a:ext cx="304800" cy="20955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400050</xdr:colOff>
          <xdr:row>358</xdr:row>
          <xdr:rowOff>123825</xdr:rowOff>
        </xdr:from>
        <xdr:to>
          <xdr:col>4</xdr:col>
          <xdr:colOff>704850</xdr:colOff>
          <xdr:row>359</xdr:row>
          <xdr:rowOff>152400</xdr:rowOff>
        </xdr:to>
        <xdr:sp macro="" textlink="">
          <xdr:nvSpPr>
            <xdr:cNvPr id="15487" name="Drop Down 127" hidden="1">
              <a:extLst>
                <a:ext uri="{63B3BB69-23CF-44E3-9099-C40C66FF867C}">
                  <a14:compatExt spid="_x0000_s15487"/>
                </a:ext>
                <a:ext uri="{FF2B5EF4-FFF2-40B4-BE49-F238E27FC236}">
                  <a16:creationId xmlns:a16="http://schemas.microsoft.com/office/drawing/2014/main" id="{00000000-0008-0000-0100-00007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360</xdr:row>
          <xdr:rowOff>0</xdr:rowOff>
        </xdr:from>
        <xdr:to>
          <xdr:col>4</xdr:col>
          <xdr:colOff>704850</xdr:colOff>
          <xdr:row>361</xdr:row>
          <xdr:rowOff>28575</xdr:rowOff>
        </xdr:to>
        <xdr:sp macro="" textlink="">
          <xdr:nvSpPr>
            <xdr:cNvPr id="15488" name="Drop Down 128" hidden="1">
              <a:extLst>
                <a:ext uri="{63B3BB69-23CF-44E3-9099-C40C66FF867C}">
                  <a14:compatExt spid="_x0000_s15488"/>
                </a:ext>
                <a:ext uri="{FF2B5EF4-FFF2-40B4-BE49-F238E27FC236}">
                  <a16:creationId xmlns:a16="http://schemas.microsoft.com/office/drawing/2014/main" id="{00000000-0008-0000-0100-000080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438150</xdr:colOff>
      <xdr:row>410</xdr:row>
      <xdr:rowOff>57150</xdr:rowOff>
    </xdr:from>
    <xdr:to>
      <xdr:col>6</xdr:col>
      <xdr:colOff>466725</xdr:colOff>
      <xdr:row>412</xdr:row>
      <xdr:rowOff>104775</xdr:rowOff>
    </xdr:to>
    <xdr:sp macro="" textlink="">
      <xdr:nvSpPr>
        <xdr:cNvPr id="187475" name="Rectangle 129">
          <a:extLst>
            <a:ext uri="{FF2B5EF4-FFF2-40B4-BE49-F238E27FC236}">
              <a16:creationId xmlns:a16="http://schemas.microsoft.com/office/drawing/2014/main" id="{00000000-0008-0000-0100-000053DC0200}"/>
            </a:ext>
          </a:extLst>
        </xdr:cNvPr>
        <xdr:cNvSpPr>
          <a:spLocks noChangeArrowheads="1"/>
        </xdr:cNvSpPr>
      </xdr:nvSpPr>
      <xdr:spPr bwMode="auto">
        <a:xfrm>
          <a:off x="4724400" y="70951725"/>
          <a:ext cx="28575" cy="371475"/>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409575</xdr:colOff>
      <xdr:row>409</xdr:row>
      <xdr:rowOff>142875</xdr:rowOff>
    </xdr:from>
    <xdr:to>
      <xdr:col>6</xdr:col>
      <xdr:colOff>495300</xdr:colOff>
      <xdr:row>410</xdr:row>
      <xdr:rowOff>19050</xdr:rowOff>
    </xdr:to>
    <xdr:sp macro="" textlink="">
      <xdr:nvSpPr>
        <xdr:cNvPr id="187476" name="Rectangle 130">
          <a:extLst>
            <a:ext uri="{FF2B5EF4-FFF2-40B4-BE49-F238E27FC236}">
              <a16:creationId xmlns:a16="http://schemas.microsoft.com/office/drawing/2014/main" id="{00000000-0008-0000-0100-000054DC0200}"/>
            </a:ext>
          </a:extLst>
        </xdr:cNvPr>
        <xdr:cNvSpPr>
          <a:spLocks noChangeArrowheads="1"/>
        </xdr:cNvSpPr>
      </xdr:nvSpPr>
      <xdr:spPr bwMode="auto">
        <a:xfrm>
          <a:off x="4695825" y="70875525"/>
          <a:ext cx="85725" cy="38100"/>
        </a:xfrm>
        <a:prstGeom prst="rect">
          <a:avLst/>
        </a:prstGeom>
        <a:solidFill>
          <a:srgbClr xmlns:mc="http://schemas.openxmlformats.org/markup-compatibility/2006" xmlns:a14="http://schemas.microsoft.com/office/drawing/2010/main" val="C0C0C0" mc:Ignorable="a14" a14:legacySpreadsheetColorIndex="22"/>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370</xdr:row>
      <xdr:rowOff>123825</xdr:rowOff>
    </xdr:from>
    <xdr:to>
      <xdr:col>2</xdr:col>
      <xdr:colOff>657225</xdr:colOff>
      <xdr:row>374</xdr:row>
      <xdr:rowOff>133350</xdr:rowOff>
    </xdr:to>
    <xdr:sp macro="" textlink="">
      <xdr:nvSpPr>
        <xdr:cNvPr id="187477" name="Rectangle 131">
          <a:extLst>
            <a:ext uri="{FF2B5EF4-FFF2-40B4-BE49-F238E27FC236}">
              <a16:creationId xmlns:a16="http://schemas.microsoft.com/office/drawing/2014/main" id="{00000000-0008-0000-0100-000055DC0200}"/>
            </a:ext>
          </a:extLst>
        </xdr:cNvPr>
        <xdr:cNvSpPr>
          <a:spLocks noChangeArrowheads="1"/>
        </xdr:cNvSpPr>
      </xdr:nvSpPr>
      <xdr:spPr bwMode="auto">
        <a:xfrm>
          <a:off x="2047875" y="64208025"/>
          <a:ext cx="38100" cy="6572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514350</xdr:colOff>
      <xdr:row>370</xdr:row>
      <xdr:rowOff>95250</xdr:rowOff>
    </xdr:from>
    <xdr:to>
      <xdr:col>4</xdr:col>
      <xdr:colOff>161925</xdr:colOff>
      <xdr:row>373</xdr:row>
      <xdr:rowOff>142875</xdr:rowOff>
    </xdr:to>
    <xdr:sp macro="" textlink="">
      <xdr:nvSpPr>
        <xdr:cNvPr id="187478" name="Line 132">
          <a:extLst>
            <a:ext uri="{FF2B5EF4-FFF2-40B4-BE49-F238E27FC236}">
              <a16:creationId xmlns:a16="http://schemas.microsoft.com/office/drawing/2014/main" id="{00000000-0008-0000-0100-000056DC0200}"/>
            </a:ext>
          </a:extLst>
        </xdr:cNvPr>
        <xdr:cNvSpPr>
          <a:spLocks noChangeShapeType="1"/>
        </xdr:cNvSpPr>
      </xdr:nvSpPr>
      <xdr:spPr bwMode="auto">
        <a:xfrm flipH="1">
          <a:off x="1943100" y="64179450"/>
          <a:ext cx="1076325" cy="533400"/>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2</xdr:col>
      <xdr:colOff>571500</xdr:colOff>
      <xdr:row>370</xdr:row>
      <xdr:rowOff>19050</xdr:rowOff>
    </xdr:from>
    <xdr:to>
      <xdr:col>2</xdr:col>
      <xdr:colOff>704850</xdr:colOff>
      <xdr:row>370</xdr:row>
      <xdr:rowOff>85725</xdr:rowOff>
    </xdr:to>
    <xdr:sp macro="" textlink="">
      <xdr:nvSpPr>
        <xdr:cNvPr id="187479" name="Rectangle 133">
          <a:extLst>
            <a:ext uri="{FF2B5EF4-FFF2-40B4-BE49-F238E27FC236}">
              <a16:creationId xmlns:a16="http://schemas.microsoft.com/office/drawing/2014/main" id="{00000000-0008-0000-0100-000057DC0200}"/>
            </a:ext>
          </a:extLst>
        </xdr:cNvPr>
        <xdr:cNvSpPr>
          <a:spLocks noChangeArrowheads="1"/>
        </xdr:cNvSpPr>
      </xdr:nvSpPr>
      <xdr:spPr bwMode="auto">
        <a:xfrm>
          <a:off x="2000250" y="64103250"/>
          <a:ext cx="133350" cy="66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2</xdr:col>
      <xdr:colOff>619125</xdr:colOff>
      <xdr:row>368</xdr:row>
      <xdr:rowOff>9525</xdr:rowOff>
    </xdr:from>
    <xdr:to>
      <xdr:col>5</xdr:col>
      <xdr:colOff>123825</xdr:colOff>
      <xdr:row>371</xdr:row>
      <xdr:rowOff>104775</xdr:rowOff>
    </xdr:to>
    <xdr:sp macro="" textlink="">
      <xdr:nvSpPr>
        <xdr:cNvPr id="187480" name="Line 134">
          <a:extLst>
            <a:ext uri="{FF2B5EF4-FFF2-40B4-BE49-F238E27FC236}">
              <a16:creationId xmlns:a16="http://schemas.microsoft.com/office/drawing/2014/main" id="{00000000-0008-0000-0100-000058DC0200}"/>
            </a:ext>
          </a:extLst>
        </xdr:cNvPr>
        <xdr:cNvSpPr>
          <a:spLocks noChangeShapeType="1"/>
        </xdr:cNvSpPr>
      </xdr:nvSpPr>
      <xdr:spPr bwMode="auto">
        <a:xfrm flipH="1">
          <a:off x="2047875" y="63750825"/>
          <a:ext cx="1647825" cy="600075"/>
        </a:xfrm>
        <a:prstGeom prst="line">
          <a:avLst/>
        </a:prstGeom>
        <a:noFill/>
        <a:ln w="9525">
          <a:solidFill>
            <a:srgbClr xmlns:mc="http://schemas.openxmlformats.org/markup-compatibility/2006" xmlns:a14="http://schemas.microsoft.com/office/drawing/2010/main" val="FF0000" mc:Ignorable="a14" a14:legacySpreadsheetColorIndex="10"/>
          </a:solidFill>
          <a:round/>
          <a:headEnd type="oval" w="med" len="me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381000</xdr:colOff>
          <xdr:row>343</xdr:row>
          <xdr:rowOff>152400</xdr:rowOff>
        </xdr:from>
        <xdr:to>
          <xdr:col>4</xdr:col>
          <xdr:colOff>685800</xdr:colOff>
          <xdr:row>345</xdr:row>
          <xdr:rowOff>28575</xdr:rowOff>
        </xdr:to>
        <xdr:sp macro="" textlink="">
          <xdr:nvSpPr>
            <xdr:cNvPr id="15497" name="Drop Down 137" hidden="1">
              <a:extLst>
                <a:ext uri="{63B3BB69-23CF-44E3-9099-C40C66FF867C}">
                  <a14:compatExt spid="_x0000_s15497"/>
                </a:ext>
                <a:ext uri="{FF2B5EF4-FFF2-40B4-BE49-F238E27FC236}">
                  <a16:creationId xmlns:a16="http://schemas.microsoft.com/office/drawing/2014/main" id="{00000000-0008-0000-0100-00008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371475</xdr:colOff>
          <xdr:row>322</xdr:row>
          <xdr:rowOff>85725</xdr:rowOff>
        </xdr:from>
        <xdr:to>
          <xdr:col>8</xdr:col>
          <xdr:colOff>361950</xdr:colOff>
          <xdr:row>323</xdr:row>
          <xdr:rowOff>133350</xdr:rowOff>
        </xdr:to>
        <xdr:sp macro="" textlink="">
          <xdr:nvSpPr>
            <xdr:cNvPr id="15501" name="Button 141" hidden="1">
              <a:extLst>
                <a:ext uri="{63B3BB69-23CF-44E3-9099-C40C66FF867C}">
                  <a14:compatExt spid="_x0000_s15501"/>
                </a:ext>
                <a:ext uri="{FF2B5EF4-FFF2-40B4-BE49-F238E27FC236}">
                  <a16:creationId xmlns:a16="http://schemas.microsoft.com/office/drawing/2014/main" id="{00000000-0008-0000-0100-00008D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Arial"/>
                  <a:cs typeface="Arial"/>
                </a:rPr>
                <a:t>Aplicar Dimensiones Recomendadas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304</xdr:row>
          <xdr:rowOff>28575</xdr:rowOff>
        </xdr:from>
        <xdr:to>
          <xdr:col>4</xdr:col>
          <xdr:colOff>142875</xdr:colOff>
          <xdr:row>305</xdr:row>
          <xdr:rowOff>85725</xdr:rowOff>
        </xdr:to>
        <xdr:sp macro="" textlink="">
          <xdr:nvSpPr>
            <xdr:cNvPr id="15502" name="Check Box 142" hidden="1">
              <a:extLst>
                <a:ext uri="{63B3BB69-23CF-44E3-9099-C40C66FF867C}">
                  <a14:compatExt spid="_x0000_s15502"/>
                </a:ext>
                <a:ext uri="{FF2B5EF4-FFF2-40B4-BE49-F238E27FC236}">
                  <a16:creationId xmlns:a16="http://schemas.microsoft.com/office/drawing/2014/main" id="{00000000-0008-0000-0100-00008E3C0000}"/>
                </a:ext>
              </a:extLst>
            </xdr:cNvPr>
            <xdr:cNvSpPr/>
          </xdr:nvSpPr>
          <xdr:spPr bwMode="auto">
            <a:xfrm>
              <a:off x="0" y="0"/>
              <a:ext cx="0" cy="0"/>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657225</xdr:colOff>
          <xdr:row>274</xdr:row>
          <xdr:rowOff>47625</xdr:rowOff>
        </xdr:from>
        <xdr:to>
          <xdr:col>8</xdr:col>
          <xdr:colOff>628650</xdr:colOff>
          <xdr:row>276</xdr:row>
          <xdr:rowOff>19050</xdr:rowOff>
        </xdr:to>
        <xdr:sp macro="" textlink="">
          <xdr:nvSpPr>
            <xdr:cNvPr id="15536" name="Button 176" hidden="1">
              <a:extLst>
                <a:ext uri="{63B3BB69-23CF-44E3-9099-C40C66FF867C}">
                  <a14:compatExt spid="_x0000_s15536"/>
                </a:ext>
                <a:ext uri="{FF2B5EF4-FFF2-40B4-BE49-F238E27FC236}">
                  <a16:creationId xmlns:a16="http://schemas.microsoft.com/office/drawing/2014/main" id="{00000000-0008-0000-0100-0000B0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otro </a:t>
              </a:r>
            </a:p>
            <a:p>
              <a:pPr algn="ctr" rtl="0">
                <a:defRPr sz="1000"/>
              </a:pPr>
              <a:r>
                <a:rPr lang="es-CL" sz="800" b="1" i="0" u="none" strike="noStrike" baseline="0">
                  <a:solidFill>
                    <a:srgbClr val="000000"/>
                  </a:solidFill>
                  <a:latin typeface="Arial"/>
                  <a:cs typeface="Arial"/>
                </a:rPr>
                <a:t>tipo de estanque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5537" name="Drop Down 177" hidden="1">
              <a:extLst>
                <a:ext uri="{63B3BB69-23CF-44E3-9099-C40C66FF867C}">
                  <a14:compatExt spid="_x0000_s15537"/>
                </a:ext>
                <a:ext uri="{FF2B5EF4-FFF2-40B4-BE49-F238E27FC236}">
                  <a16:creationId xmlns:a16="http://schemas.microsoft.com/office/drawing/2014/main" id="{00000000-0008-0000-0100-0000B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5538" name="Drop Down 178" hidden="1">
              <a:extLst>
                <a:ext uri="{63B3BB69-23CF-44E3-9099-C40C66FF867C}">
                  <a14:compatExt spid="_x0000_s15538"/>
                </a:ext>
                <a:ext uri="{FF2B5EF4-FFF2-40B4-BE49-F238E27FC236}">
                  <a16:creationId xmlns:a16="http://schemas.microsoft.com/office/drawing/2014/main" id="{00000000-0008-0000-0100-0000B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5539" name="Drop Down 179" hidden="1">
              <a:extLst>
                <a:ext uri="{63B3BB69-23CF-44E3-9099-C40C66FF867C}">
                  <a14:compatExt spid="_x0000_s15539"/>
                </a:ext>
                <a:ext uri="{FF2B5EF4-FFF2-40B4-BE49-F238E27FC236}">
                  <a16:creationId xmlns:a16="http://schemas.microsoft.com/office/drawing/2014/main" id="{00000000-0008-0000-0100-0000B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5540" name="Drop Down 180" hidden="1">
              <a:extLst>
                <a:ext uri="{63B3BB69-23CF-44E3-9099-C40C66FF867C}">
                  <a14:compatExt spid="_x0000_s15540"/>
                </a:ext>
                <a:ext uri="{FF2B5EF4-FFF2-40B4-BE49-F238E27FC236}">
                  <a16:creationId xmlns:a16="http://schemas.microsoft.com/office/drawing/2014/main" id="{00000000-0008-0000-0100-0000B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5541" name="Object 181" hidden="1">
              <a:extLst>
                <a:ext uri="{63B3BB69-23CF-44E3-9099-C40C66FF867C}">
                  <a14:compatExt spid="_x0000_s15541"/>
                </a:ext>
                <a:ext uri="{FF2B5EF4-FFF2-40B4-BE49-F238E27FC236}">
                  <a16:creationId xmlns:a16="http://schemas.microsoft.com/office/drawing/2014/main" id="{00000000-0008-0000-0100-0000B5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5542" name="Object 182" hidden="1">
              <a:extLst>
                <a:ext uri="{63B3BB69-23CF-44E3-9099-C40C66FF867C}">
                  <a14:compatExt spid="_x0000_s15542"/>
                </a:ext>
                <a:ext uri="{FF2B5EF4-FFF2-40B4-BE49-F238E27FC236}">
                  <a16:creationId xmlns:a16="http://schemas.microsoft.com/office/drawing/2014/main" id="{00000000-0008-0000-0100-0000B63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5544" name="Check Box 184" hidden="1">
              <a:extLst>
                <a:ext uri="{63B3BB69-23CF-44E3-9099-C40C66FF867C}">
                  <a14:compatExt spid="_x0000_s15544"/>
                </a:ext>
                <a:ext uri="{FF2B5EF4-FFF2-40B4-BE49-F238E27FC236}">
                  <a16:creationId xmlns:a16="http://schemas.microsoft.com/office/drawing/2014/main" id="{00000000-0008-0000-0100-0000B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153</xdr:row>
          <xdr:rowOff>133350</xdr:rowOff>
        </xdr:from>
        <xdr:to>
          <xdr:col>3</xdr:col>
          <xdr:colOff>504825</xdr:colOff>
          <xdr:row>153</xdr:row>
          <xdr:rowOff>333375</xdr:rowOff>
        </xdr:to>
        <xdr:sp macro="" textlink="">
          <xdr:nvSpPr>
            <xdr:cNvPr id="15545" name="Drop Down 185" hidden="1">
              <a:extLst>
                <a:ext uri="{63B3BB69-23CF-44E3-9099-C40C66FF867C}">
                  <a14:compatExt spid="_x0000_s15545"/>
                </a:ext>
                <a:ext uri="{FF2B5EF4-FFF2-40B4-BE49-F238E27FC236}">
                  <a16:creationId xmlns:a16="http://schemas.microsoft.com/office/drawing/2014/main" id="{00000000-0008-0000-0100-0000B9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5</xdr:col>
          <xdr:colOff>495300</xdr:colOff>
          <xdr:row>123</xdr:row>
          <xdr:rowOff>57150</xdr:rowOff>
        </xdr:to>
        <xdr:sp macro="" textlink="">
          <xdr:nvSpPr>
            <xdr:cNvPr id="15576" name="Drop Down 216" hidden="1">
              <a:extLst>
                <a:ext uri="{63B3BB69-23CF-44E3-9099-C40C66FF867C}">
                  <a14:compatExt spid="_x0000_s15576"/>
                </a:ext>
                <a:ext uri="{FF2B5EF4-FFF2-40B4-BE49-F238E27FC236}">
                  <a16:creationId xmlns:a16="http://schemas.microsoft.com/office/drawing/2014/main" id="{00000000-0008-0000-0100-0000D8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297</xdr:row>
          <xdr:rowOff>142875</xdr:rowOff>
        </xdr:from>
        <xdr:to>
          <xdr:col>5</xdr:col>
          <xdr:colOff>219075</xdr:colOff>
          <xdr:row>305</xdr:row>
          <xdr:rowOff>85725</xdr:rowOff>
        </xdr:to>
        <xdr:grpSp>
          <xdr:nvGrpSpPr>
            <xdr:cNvPr id="187481" name="Group 218">
              <a:extLst>
                <a:ext uri="{FF2B5EF4-FFF2-40B4-BE49-F238E27FC236}">
                  <a16:creationId xmlns:a16="http://schemas.microsoft.com/office/drawing/2014/main" id="{00000000-0008-0000-0100-000059DC0200}"/>
                </a:ext>
              </a:extLst>
            </xdr:cNvPr>
            <xdr:cNvGrpSpPr>
              <a:grpSpLocks/>
            </xdr:cNvGrpSpPr>
          </xdr:nvGrpSpPr>
          <xdr:grpSpPr bwMode="auto">
            <a:xfrm>
              <a:off x="727075" y="51431825"/>
              <a:ext cx="3079750" cy="1320800"/>
              <a:chOff x="76" y="5236"/>
              <a:chExt cx="322" cy="137"/>
            </a:xfrm>
          </xdr:grpSpPr>
          <xdr:sp macro="" textlink="">
            <xdr:nvSpPr>
              <xdr:cNvPr id="15579" name="Drop Down 219" hidden="1">
                <a:extLst>
                  <a:ext uri="{63B3BB69-23CF-44E3-9099-C40C66FF867C}">
                    <a14:compatExt spid="_x0000_s15579"/>
                  </a:ext>
                  <a:ext uri="{FF2B5EF4-FFF2-40B4-BE49-F238E27FC236}">
                    <a16:creationId xmlns:a16="http://schemas.microsoft.com/office/drawing/2014/main" id="{00000000-0008-0000-0100-0000DB3C0000}"/>
                  </a:ext>
                </a:extLst>
              </xdr:cNvPr>
              <xdr:cNvSpPr/>
            </xdr:nvSpPr>
            <xdr:spPr bwMode="auto">
              <a:xfrm>
                <a:off x="291" y="5257"/>
                <a:ext cx="107" cy="21"/>
              </a:xfrm>
              <a:prstGeom prst="rect">
                <a:avLst/>
              </a:prstGeom>
              <a:noFill/>
              <a:ln>
                <a:noFill/>
              </a:ln>
              <a:extLst>
                <a:ext uri="{91240B29-F687-4F45-9708-019B960494DF}">
                  <a14:hiddenLine w="9525">
                    <a:noFill/>
                    <a:miter lim="800000"/>
                    <a:headEnd/>
                    <a:tailEnd/>
                  </a14:hiddenLine>
                </a:ext>
              </a:extLst>
            </xdr:spPr>
          </xdr:sp>
          <xdr:sp macro="" textlink="">
            <xdr:nvSpPr>
              <xdr:cNvPr id="15580" name="Drop Down 220" hidden="1">
                <a:extLst>
                  <a:ext uri="{63B3BB69-23CF-44E3-9099-C40C66FF867C}">
                    <a14:compatExt spid="_x0000_s15580"/>
                  </a:ext>
                  <a:ext uri="{FF2B5EF4-FFF2-40B4-BE49-F238E27FC236}">
                    <a16:creationId xmlns:a16="http://schemas.microsoft.com/office/drawing/2014/main" id="{00000000-0008-0000-0100-0000DC3C0000}"/>
                  </a:ext>
                </a:extLst>
              </xdr:cNvPr>
              <xdr:cNvSpPr/>
            </xdr:nvSpPr>
            <xdr:spPr bwMode="auto">
              <a:xfrm>
                <a:off x="291" y="5236"/>
                <a:ext cx="107" cy="21"/>
              </a:xfrm>
              <a:prstGeom prst="rect">
                <a:avLst/>
              </a:prstGeom>
              <a:noFill/>
              <a:ln>
                <a:noFill/>
              </a:ln>
              <a:extLst>
                <a:ext uri="{91240B29-F687-4F45-9708-019B960494DF}">
                  <a14:hiddenLine w="9525">
                    <a:noFill/>
                    <a:miter lim="800000"/>
                    <a:headEnd/>
                    <a:tailEnd/>
                  </a14:hiddenLine>
                </a:ext>
              </a:extLst>
            </xdr:spPr>
          </xdr:sp>
          <xdr:sp macro="" textlink="">
            <xdr:nvSpPr>
              <xdr:cNvPr id="15581" name="Check Box 221" hidden="1">
                <a:extLst>
                  <a:ext uri="{63B3BB69-23CF-44E3-9099-C40C66FF867C}">
                    <a14:compatExt spid="_x0000_s15581"/>
                  </a:ext>
                  <a:ext uri="{FF2B5EF4-FFF2-40B4-BE49-F238E27FC236}">
                    <a16:creationId xmlns:a16="http://schemas.microsoft.com/office/drawing/2014/main" id="{00000000-0008-0000-0100-0000DD3C0000}"/>
                  </a:ext>
                </a:extLst>
              </xdr:cNvPr>
              <xdr:cNvSpPr/>
            </xdr:nvSpPr>
            <xdr:spPr bwMode="auto">
              <a:xfrm>
                <a:off x="76" y="5350"/>
                <a:ext cx="239" cy="23"/>
              </a:xfrm>
              <a:prstGeom prst="rect">
                <a:avLst/>
              </a:prstGeom>
              <a:noFill/>
              <a:ln w="9525">
                <a:solidFill>
                  <a:srgbClr val="000000" mc:Ignorable="a14" a14:legacySpreadsheetColorIndex="64"/>
                </a:solidFill>
                <a:miter lim="800000"/>
                <a:headEnd/>
                <a:tailEnd/>
              </a:ln>
              <a:extLst>
                <a:ext uri="{909E8E84-426E-40DD-AFC4-6F175D3DCCD1}">
                  <a14:hiddenFill>
                    <a:solidFill>
                      <a:srgbClr val="C0C0C0" mc:Ignorable="a14" a14:legacySpreadsheetColorIndex="22"/>
                    </a:solidFill>
                  </a14:hiddenFill>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Tomar Corte Basal con Pernos de Anclaje</a:t>
                </a:r>
              </a:p>
            </xdr:txBody>
          </xdr:sp>
        </xdr:grpSp>
        <xdr:clientData/>
      </xdr:twoCellAnchor>
    </mc:Choice>
    <mc:Fallback/>
  </mc:AlternateContent>
  <xdr:twoCellAnchor>
    <xdr:from>
      <xdr:col>1</xdr:col>
      <xdr:colOff>638175</xdr:colOff>
      <xdr:row>312</xdr:row>
      <xdr:rowOff>66675</xdr:rowOff>
    </xdr:from>
    <xdr:to>
      <xdr:col>7</xdr:col>
      <xdr:colOff>95250</xdr:colOff>
      <xdr:row>321</xdr:row>
      <xdr:rowOff>247650</xdr:rowOff>
    </xdr:to>
    <xdr:pic>
      <xdr:nvPicPr>
        <xdr:cNvPr id="187482" name="Picture 232">
          <a:extLst>
            <a:ext uri="{FF2B5EF4-FFF2-40B4-BE49-F238E27FC236}">
              <a16:creationId xmlns:a16="http://schemas.microsoft.com/office/drawing/2014/main" id="{00000000-0008-0000-0100-00005ADC02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1030" t="1761" r="441" b="7632"/>
        <a:stretch>
          <a:fillRect/>
        </a:stretch>
      </xdr:blipFill>
      <xdr:spPr bwMode="auto">
        <a:xfrm>
          <a:off x="1352550" y="53082825"/>
          <a:ext cx="3743325" cy="2581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0</xdr:col>
      <xdr:colOff>76200</xdr:colOff>
      <xdr:row>0</xdr:row>
      <xdr:rowOff>123824</xdr:rowOff>
    </xdr:from>
    <xdr:to>
      <xdr:col>1</xdr:col>
      <xdr:colOff>647700</xdr:colOff>
      <xdr:row>5</xdr:row>
      <xdr:rowOff>21966</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7"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62" t="7713" r="52287" b="73072"/>
        <a:stretch/>
      </xdr:blipFill>
      <xdr:spPr>
        <a:xfrm>
          <a:off x="76200" y="123824"/>
          <a:ext cx="1285875" cy="7077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4366" name="Drop Down 30" hidden="1">
              <a:extLst>
                <a:ext uri="{63B3BB69-23CF-44E3-9099-C40C66FF867C}">
                  <a14:compatExt spid="_x0000_s14366"/>
                </a:ext>
                <a:ext uri="{FF2B5EF4-FFF2-40B4-BE49-F238E27FC236}">
                  <a16:creationId xmlns:a16="http://schemas.microsoft.com/office/drawing/2014/main" id="{00000000-0008-0000-0200-00001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4367" name="Drop Down 31" hidden="1">
              <a:extLst>
                <a:ext uri="{63B3BB69-23CF-44E3-9099-C40C66FF867C}">
                  <a14:compatExt spid="_x0000_s14367"/>
                </a:ext>
                <a:ext uri="{FF2B5EF4-FFF2-40B4-BE49-F238E27FC236}">
                  <a16:creationId xmlns:a16="http://schemas.microsoft.com/office/drawing/2014/main" id="{00000000-0008-0000-0200-00001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4368" name="Drop Down 32" hidden="1">
              <a:extLst>
                <a:ext uri="{63B3BB69-23CF-44E3-9099-C40C66FF867C}">
                  <a14:compatExt spid="_x0000_s14368"/>
                </a:ext>
                <a:ext uri="{FF2B5EF4-FFF2-40B4-BE49-F238E27FC236}">
                  <a16:creationId xmlns:a16="http://schemas.microsoft.com/office/drawing/2014/main" id="{00000000-0008-0000-0200-00002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4369" name="Drop Down 33" hidden="1">
              <a:extLst>
                <a:ext uri="{63B3BB69-23CF-44E3-9099-C40C66FF867C}">
                  <a14:compatExt spid="_x0000_s14369"/>
                </a:ext>
                <a:ext uri="{FF2B5EF4-FFF2-40B4-BE49-F238E27FC236}">
                  <a16:creationId xmlns:a16="http://schemas.microsoft.com/office/drawing/2014/main" id="{00000000-0008-0000-0200-00002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571500</xdr:colOff>
      <xdr:row>214</xdr:row>
      <xdr:rowOff>142875</xdr:rowOff>
    </xdr:from>
    <xdr:to>
      <xdr:col>8</xdr:col>
      <xdr:colOff>247650</xdr:colOff>
      <xdr:row>227</xdr:row>
      <xdr:rowOff>57150</xdr:rowOff>
    </xdr:to>
    <xdr:pic>
      <xdr:nvPicPr>
        <xdr:cNvPr id="14696" name="Picture 34">
          <a:extLst>
            <a:ext uri="{FF2B5EF4-FFF2-40B4-BE49-F238E27FC236}">
              <a16:creationId xmlns:a16="http://schemas.microsoft.com/office/drawing/2014/main" id="{00000000-0008-0000-0200-0000683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0" y="36937950"/>
          <a:ext cx="253365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52</xdr:row>
      <xdr:rowOff>133350</xdr:rowOff>
    </xdr:from>
    <xdr:to>
      <xdr:col>8</xdr:col>
      <xdr:colOff>561975</xdr:colOff>
      <xdr:row>79</xdr:row>
      <xdr:rowOff>95250</xdr:rowOff>
    </xdr:to>
    <xdr:pic>
      <xdr:nvPicPr>
        <xdr:cNvPr id="14697" name="Picture 36">
          <a:extLst>
            <a:ext uri="{FF2B5EF4-FFF2-40B4-BE49-F238E27FC236}">
              <a16:creationId xmlns:a16="http://schemas.microsoft.com/office/drawing/2014/main" id="{00000000-0008-0000-0200-00006939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3796" t="2643" r="12173" b="4471"/>
        <a:stretch>
          <a:fillRect/>
        </a:stretch>
      </xdr:blipFill>
      <xdr:spPr bwMode="auto">
        <a:xfrm>
          <a:off x="161925" y="9591675"/>
          <a:ext cx="6115050" cy="435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4373" name="Object 37" hidden="1">
              <a:extLst>
                <a:ext uri="{63B3BB69-23CF-44E3-9099-C40C66FF867C}">
                  <a14:compatExt spid="_x0000_s14373"/>
                </a:ext>
                <a:ext uri="{FF2B5EF4-FFF2-40B4-BE49-F238E27FC236}">
                  <a16:creationId xmlns:a16="http://schemas.microsoft.com/office/drawing/2014/main" id="{00000000-0008-0000-0200-000025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4374" name="Object 38" hidden="1">
              <a:extLst>
                <a:ext uri="{63B3BB69-23CF-44E3-9099-C40C66FF867C}">
                  <a14:compatExt spid="_x0000_s14374"/>
                </a:ext>
                <a:ext uri="{FF2B5EF4-FFF2-40B4-BE49-F238E27FC236}">
                  <a16:creationId xmlns:a16="http://schemas.microsoft.com/office/drawing/2014/main" id="{00000000-0008-0000-0200-000026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57150</xdr:colOff>
          <xdr:row>209</xdr:row>
          <xdr:rowOff>104775</xdr:rowOff>
        </xdr:from>
        <xdr:to>
          <xdr:col>8</xdr:col>
          <xdr:colOff>57150</xdr:colOff>
          <xdr:row>212</xdr:row>
          <xdr:rowOff>0</xdr:rowOff>
        </xdr:to>
        <xdr:sp macro="" textlink="">
          <xdr:nvSpPr>
            <xdr:cNvPr id="14375" name="Object 39" hidden="1">
              <a:extLst>
                <a:ext uri="{63B3BB69-23CF-44E3-9099-C40C66FF867C}">
                  <a14:compatExt spid="_x0000_s14375"/>
                </a:ext>
                <a:ext uri="{FF2B5EF4-FFF2-40B4-BE49-F238E27FC236}">
                  <a16:creationId xmlns:a16="http://schemas.microsoft.com/office/drawing/2014/main" id="{00000000-0008-0000-0200-000027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226</xdr:row>
          <xdr:rowOff>123825</xdr:rowOff>
        </xdr:from>
        <xdr:to>
          <xdr:col>2</xdr:col>
          <xdr:colOff>342900</xdr:colOff>
          <xdr:row>227</xdr:row>
          <xdr:rowOff>123825</xdr:rowOff>
        </xdr:to>
        <xdr:sp macro="" textlink="">
          <xdr:nvSpPr>
            <xdr:cNvPr id="14376" name="Object 40" hidden="1">
              <a:extLst>
                <a:ext uri="{63B3BB69-23CF-44E3-9099-C40C66FF867C}">
                  <a14:compatExt spid="_x0000_s14376"/>
                </a:ext>
                <a:ext uri="{FF2B5EF4-FFF2-40B4-BE49-F238E27FC236}">
                  <a16:creationId xmlns:a16="http://schemas.microsoft.com/office/drawing/2014/main" id="{00000000-0008-0000-0200-000028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676275</xdr:colOff>
          <xdr:row>246</xdr:row>
          <xdr:rowOff>114300</xdr:rowOff>
        </xdr:from>
        <xdr:to>
          <xdr:col>8</xdr:col>
          <xdr:colOff>514350</xdr:colOff>
          <xdr:row>247</xdr:row>
          <xdr:rowOff>123825</xdr:rowOff>
        </xdr:to>
        <xdr:sp macro="" textlink="">
          <xdr:nvSpPr>
            <xdr:cNvPr id="14377" name="Object 41" hidden="1">
              <a:extLst>
                <a:ext uri="{63B3BB69-23CF-44E3-9099-C40C66FF867C}">
                  <a14:compatExt spid="_x0000_s14377"/>
                </a:ext>
                <a:ext uri="{FF2B5EF4-FFF2-40B4-BE49-F238E27FC236}">
                  <a16:creationId xmlns:a16="http://schemas.microsoft.com/office/drawing/2014/main" id="{00000000-0008-0000-0200-000029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247</xdr:row>
          <xdr:rowOff>114300</xdr:rowOff>
        </xdr:from>
        <xdr:to>
          <xdr:col>7</xdr:col>
          <xdr:colOff>695325</xdr:colOff>
          <xdr:row>249</xdr:row>
          <xdr:rowOff>0</xdr:rowOff>
        </xdr:to>
        <xdr:sp macro="" textlink="">
          <xdr:nvSpPr>
            <xdr:cNvPr id="14378" name="Object 42" hidden="1">
              <a:extLst>
                <a:ext uri="{63B3BB69-23CF-44E3-9099-C40C66FF867C}">
                  <a14:compatExt spid="_x0000_s14378"/>
                </a:ext>
                <a:ext uri="{FF2B5EF4-FFF2-40B4-BE49-F238E27FC236}">
                  <a16:creationId xmlns:a16="http://schemas.microsoft.com/office/drawing/2014/main" id="{00000000-0008-0000-0200-00002A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247650</xdr:colOff>
          <xdr:row>209</xdr:row>
          <xdr:rowOff>76200</xdr:rowOff>
        </xdr:from>
        <xdr:to>
          <xdr:col>2</xdr:col>
          <xdr:colOff>600075</xdr:colOff>
          <xdr:row>213</xdr:row>
          <xdr:rowOff>38100</xdr:rowOff>
        </xdr:to>
        <xdr:sp macro="" textlink="">
          <xdr:nvSpPr>
            <xdr:cNvPr id="14379" name="Object 43" hidden="1">
              <a:extLst>
                <a:ext uri="{63B3BB69-23CF-44E3-9099-C40C66FF867C}">
                  <a14:compatExt spid="_x0000_s14379"/>
                </a:ext>
                <a:ext uri="{FF2B5EF4-FFF2-40B4-BE49-F238E27FC236}">
                  <a16:creationId xmlns:a16="http://schemas.microsoft.com/office/drawing/2014/main" id="{00000000-0008-0000-0200-00002B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200025</xdr:colOff>
          <xdr:row>213</xdr:row>
          <xdr:rowOff>85725</xdr:rowOff>
        </xdr:from>
        <xdr:to>
          <xdr:col>3</xdr:col>
          <xdr:colOff>371475</xdr:colOff>
          <xdr:row>215</xdr:row>
          <xdr:rowOff>142875</xdr:rowOff>
        </xdr:to>
        <xdr:sp macro="" textlink="">
          <xdr:nvSpPr>
            <xdr:cNvPr id="14380" name="Object 44" hidden="1">
              <a:extLst>
                <a:ext uri="{63B3BB69-23CF-44E3-9099-C40C66FF867C}">
                  <a14:compatExt spid="_x0000_s14380"/>
                </a:ext>
                <a:ext uri="{FF2B5EF4-FFF2-40B4-BE49-F238E27FC236}">
                  <a16:creationId xmlns:a16="http://schemas.microsoft.com/office/drawing/2014/main" id="{00000000-0008-0000-0200-00002C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200025</xdr:colOff>
          <xdr:row>216</xdr:row>
          <xdr:rowOff>38100</xdr:rowOff>
        </xdr:from>
        <xdr:to>
          <xdr:col>3</xdr:col>
          <xdr:colOff>457200</xdr:colOff>
          <xdr:row>220</xdr:row>
          <xdr:rowOff>0</xdr:rowOff>
        </xdr:to>
        <xdr:sp macro="" textlink="">
          <xdr:nvSpPr>
            <xdr:cNvPr id="14381" name="Object 45" hidden="1">
              <a:extLst>
                <a:ext uri="{63B3BB69-23CF-44E3-9099-C40C66FF867C}">
                  <a14:compatExt spid="_x0000_s14381"/>
                </a:ext>
                <a:ext uri="{FF2B5EF4-FFF2-40B4-BE49-F238E27FC236}">
                  <a16:creationId xmlns:a16="http://schemas.microsoft.com/office/drawing/2014/main" id="{00000000-0008-0000-0200-00002D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219</xdr:row>
          <xdr:rowOff>152400</xdr:rowOff>
        </xdr:from>
        <xdr:to>
          <xdr:col>3</xdr:col>
          <xdr:colOff>304800</xdr:colOff>
          <xdr:row>223</xdr:row>
          <xdr:rowOff>142875</xdr:rowOff>
        </xdr:to>
        <xdr:sp macro="" textlink="">
          <xdr:nvSpPr>
            <xdr:cNvPr id="14382" name="Object 46" hidden="1">
              <a:extLst>
                <a:ext uri="{63B3BB69-23CF-44E3-9099-C40C66FF867C}">
                  <a14:compatExt spid="_x0000_s14382"/>
                </a:ext>
                <a:ext uri="{FF2B5EF4-FFF2-40B4-BE49-F238E27FC236}">
                  <a16:creationId xmlns:a16="http://schemas.microsoft.com/office/drawing/2014/main" id="{00000000-0008-0000-0200-00002E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133350</xdr:colOff>
          <xdr:row>212</xdr:row>
          <xdr:rowOff>47625</xdr:rowOff>
        </xdr:from>
        <xdr:to>
          <xdr:col>7</xdr:col>
          <xdr:colOff>676275</xdr:colOff>
          <xdr:row>214</xdr:row>
          <xdr:rowOff>123825</xdr:rowOff>
        </xdr:to>
        <xdr:sp macro="" textlink="">
          <xdr:nvSpPr>
            <xdr:cNvPr id="14383" name="Object 47" hidden="1">
              <a:extLst>
                <a:ext uri="{63B3BB69-23CF-44E3-9099-C40C66FF867C}">
                  <a14:compatExt spid="_x0000_s14383"/>
                </a:ext>
                <a:ext uri="{FF2B5EF4-FFF2-40B4-BE49-F238E27FC236}">
                  <a16:creationId xmlns:a16="http://schemas.microsoft.com/office/drawing/2014/main" id="{00000000-0008-0000-0200-00002F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209550</xdr:colOff>
          <xdr:row>223</xdr:row>
          <xdr:rowOff>133350</xdr:rowOff>
        </xdr:from>
        <xdr:to>
          <xdr:col>3</xdr:col>
          <xdr:colOff>409575</xdr:colOff>
          <xdr:row>226</xdr:row>
          <xdr:rowOff>95250</xdr:rowOff>
        </xdr:to>
        <xdr:sp macro="" textlink="">
          <xdr:nvSpPr>
            <xdr:cNvPr id="14384" name="Object 48" hidden="1">
              <a:extLst>
                <a:ext uri="{63B3BB69-23CF-44E3-9099-C40C66FF867C}">
                  <a14:compatExt spid="_x0000_s14384"/>
                </a:ext>
                <a:ext uri="{FF2B5EF4-FFF2-40B4-BE49-F238E27FC236}">
                  <a16:creationId xmlns:a16="http://schemas.microsoft.com/office/drawing/2014/main" id="{00000000-0008-0000-0200-000030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447675</xdr:colOff>
          <xdr:row>301</xdr:row>
          <xdr:rowOff>133350</xdr:rowOff>
        </xdr:from>
        <xdr:to>
          <xdr:col>6</xdr:col>
          <xdr:colOff>438150</xdr:colOff>
          <xdr:row>304</xdr:row>
          <xdr:rowOff>19050</xdr:rowOff>
        </xdr:to>
        <xdr:sp macro="" textlink="">
          <xdr:nvSpPr>
            <xdr:cNvPr id="14394" name="Object 58" hidden="1">
              <a:extLst>
                <a:ext uri="{63B3BB69-23CF-44E3-9099-C40C66FF867C}">
                  <a14:compatExt spid="_x0000_s14394"/>
                </a:ext>
                <a:ext uri="{FF2B5EF4-FFF2-40B4-BE49-F238E27FC236}">
                  <a16:creationId xmlns:a16="http://schemas.microsoft.com/office/drawing/2014/main" id="{00000000-0008-0000-0200-00003A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428625</xdr:colOff>
          <xdr:row>406</xdr:row>
          <xdr:rowOff>0</xdr:rowOff>
        </xdr:from>
        <xdr:to>
          <xdr:col>4</xdr:col>
          <xdr:colOff>276225</xdr:colOff>
          <xdr:row>406</xdr:row>
          <xdr:rowOff>0</xdr:rowOff>
        </xdr:to>
        <xdr:sp macro="" textlink="">
          <xdr:nvSpPr>
            <xdr:cNvPr id="14453" name="Object 117" hidden="1">
              <a:extLst>
                <a:ext uri="{63B3BB69-23CF-44E3-9099-C40C66FF867C}">
                  <a14:compatExt spid="_x0000_s14453"/>
                </a:ext>
                <a:ext uri="{FF2B5EF4-FFF2-40B4-BE49-F238E27FC236}">
                  <a16:creationId xmlns:a16="http://schemas.microsoft.com/office/drawing/2014/main" id="{00000000-0008-0000-0200-000075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18</xdr:col>
      <xdr:colOff>104775</xdr:colOff>
      <xdr:row>406</xdr:row>
      <xdr:rowOff>0</xdr:rowOff>
    </xdr:from>
    <xdr:to>
      <xdr:col>25</xdr:col>
      <xdr:colOff>552450</xdr:colOff>
      <xdr:row>406</xdr:row>
      <xdr:rowOff>0</xdr:rowOff>
    </xdr:to>
    <xdr:graphicFrame macro="">
      <xdr:nvGraphicFramePr>
        <xdr:cNvPr id="14700" name="Gráfico 118">
          <a:extLst>
            <a:ext uri="{FF2B5EF4-FFF2-40B4-BE49-F238E27FC236}">
              <a16:creationId xmlns:a16="http://schemas.microsoft.com/office/drawing/2014/main" id="{00000000-0008-0000-0200-00006C3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28575</xdr:colOff>
      <xdr:row>406</xdr:row>
      <xdr:rowOff>0</xdr:rowOff>
    </xdr:from>
    <xdr:to>
      <xdr:col>25</xdr:col>
      <xdr:colOff>476250</xdr:colOff>
      <xdr:row>406</xdr:row>
      <xdr:rowOff>0</xdr:rowOff>
    </xdr:to>
    <xdr:graphicFrame macro="">
      <xdr:nvGraphicFramePr>
        <xdr:cNvPr id="14701" name="Gráfico 119">
          <a:extLst>
            <a:ext uri="{FF2B5EF4-FFF2-40B4-BE49-F238E27FC236}">
              <a16:creationId xmlns:a16="http://schemas.microsoft.com/office/drawing/2014/main" id="{00000000-0008-0000-0200-00006D3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4457" name="Check Box 121" hidden="1">
              <a:extLst>
                <a:ext uri="{63B3BB69-23CF-44E3-9099-C40C66FF867C}">
                  <a14:compatExt spid="_x0000_s14457"/>
                </a:ext>
                <a:ext uri="{FF2B5EF4-FFF2-40B4-BE49-F238E27FC236}">
                  <a16:creationId xmlns:a16="http://schemas.microsoft.com/office/drawing/2014/main" id="{00000000-0008-0000-0200-00007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209550</xdr:colOff>
          <xdr:row>273</xdr:row>
          <xdr:rowOff>47625</xdr:rowOff>
        </xdr:from>
        <xdr:to>
          <xdr:col>8</xdr:col>
          <xdr:colOff>619125</xdr:colOff>
          <xdr:row>274</xdr:row>
          <xdr:rowOff>85725</xdr:rowOff>
        </xdr:to>
        <xdr:sp macro="" textlink="">
          <xdr:nvSpPr>
            <xdr:cNvPr id="14498" name="Button 162" hidden="1">
              <a:extLst>
                <a:ext uri="{63B3BB69-23CF-44E3-9099-C40C66FF867C}">
                  <a14:compatExt spid="_x0000_s14498"/>
                </a:ext>
                <a:ext uri="{FF2B5EF4-FFF2-40B4-BE49-F238E27FC236}">
                  <a16:creationId xmlns:a16="http://schemas.microsoft.com/office/drawing/2014/main" id="{00000000-0008-0000-0200-0000A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FF0000"/>
                  </a:solidFill>
                  <a:latin typeface="Arial"/>
                  <a:cs typeface="Arial"/>
                </a:rPr>
                <a:t>Resolver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142875</xdr:colOff>
          <xdr:row>254</xdr:row>
          <xdr:rowOff>85725</xdr:rowOff>
        </xdr:from>
        <xdr:to>
          <xdr:col>8</xdr:col>
          <xdr:colOff>571500</xdr:colOff>
          <xdr:row>256</xdr:row>
          <xdr:rowOff>76200</xdr:rowOff>
        </xdr:to>
        <xdr:sp macro="" textlink="">
          <xdr:nvSpPr>
            <xdr:cNvPr id="14499" name="Button 163" hidden="1">
              <a:extLst>
                <a:ext uri="{63B3BB69-23CF-44E3-9099-C40C66FF867C}">
                  <a14:compatExt spid="_x0000_s14499"/>
                </a:ext>
                <a:ext uri="{FF2B5EF4-FFF2-40B4-BE49-F238E27FC236}">
                  <a16:creationId xmlns:a16="http://schemas.microsoft.com/office/drawing/2014/main" id="{00000000-0008-0000-0200-0000A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800" b="1" i="0" u="none" strike="noStrike" baseline="0">
                  <a:solidFill>
                    <a:srgbClr val="000000"/>
                  </a:solidFill>
                  <a:latin typeface="Arial"/>
                  <a:cs typeface="Arial"/>
                </a:rPr>
                <a:t>Diseñar como Estanque Anclado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4500" name="Drop Down 164" hidden="1">
              <a:extLst>
                <a:ext uri="{63B3BB69-23CF-44E3-9099-C40C66FF867C}">
                  <a14:compatExt spid="_x0000_s14500"/>
                </a:ext>
                <a:ext uri="{FF2B5EF4-FFF2-40B4-BE49-F238E27FC236}">
                  <a16:creationId xmlns:a16="http://schemas.microsoft.com/office/drawing/2014/main" id="{00000000-0008-0000-0200-0000A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4501" name="Drop Down 165" hidden="1">
              <a:extLst>
                <a:ext uri="{63B3BB69-23CF-44E3-9099-C40C66FF867C}">
                  <a14:compatExt spid="_x0000_s14501"/>
                </a:ext>
                <a:ext uri="{FF2B5EF4-FFF2-40B4-BE49-F238E27FC236}">
                  <a16:creationId xmlns:a16="http://schemas.microsoft.com/office/drawing/2014/main" id="{00000000-0008-0000-0200-0000A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4502" name="Drop Down 166" hidden="1">
              <a:extLst>
                <a:ext uri="{63B3BB69-23CF-44E3-9099-C40C66FF867C}">
                  <a14:compatExt spid="_x0000_s14502"/>
                </a:ext>
                <a:ext uri="{FF2B5EF4-FFF2-40B4-BE49-F238E27FC236}">
                  <a16:creationId xmlns:a16="http://schemas.microsoft.com/office/drawing/2014/main" id="{00000000-0008-0000-0200-0000A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4503" name="Drop Down 167" hidden="1">
              <a:extLst>
                <a:ext uri="{63B3BB69-23CF-44E3-9099-C40C66FF867C}">
                  <a14:compatExt spid="_x0000_s14503"/>
                </a:ext>
                <a:ext uri="{FF2B5EF4-FFF2-40B4-BE49-F238E27FC236}">
                  <a16:creationId xmlns:a16="http://schemas.microsoft.com/office/drawing/2014/main" id="{00000000-0008-0000-0200-0000A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4504" name="Object 168" hidden="1">
              <a:extLst>
                <a:ext uri="{63B3BB69-23CF-44E3-9099-C40C66FF867C}">
                  <a14:compatExt spid="_x0000_s14504"/>
                </a:ext>
                <a:ext uri="{FF2B5EF4-FFF2-40B4-BE49-F238E27FC236}">
                  <a16:creationId xmlns:a16="http://schemas.microsoft.com/office/drawing/2014/main" id="{00000000-0008-0000-0200-0000A8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4505" name="Object 169" hidden="1">
              <a:extLst>
                <a:ext uri="{63B3BB69-23CF-44E3-9099-C40C66FF867C}">
                  <a14:compatExt spid="_x0000_s14505"/>
                </a:ext>
                <a:ext uri="{FF2B5EF4-FFF2-40B4-BE49-F238E27FC236}">
                  <a16:creationId xmlns:a16="http://schemas.microsoft.com/office/drawing/2014/main" id="{00000000-0008-0000-0200-0000A9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4507" name="Check Box 171" hidden="1">
              <a:extLst>
                <a:ext uri="{63B3BB69-23CF-44E3-9099-C40C66FF867C}">
                  <a14:compatExt spid="_x0000_s14507"/>
                </a:ext>
                <a:ext uri="{FF2B5EF4-FFF2-40B4-BE49-F238E27FC236}">
                  <a16:creationId xmlns:a16="http://schemas.microsoft.com/office/drawing/2014/main" id="{00000000-0008-0000-0200-0000A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104</xdr:row>
          <xdr:rowOff>152400</xdr:rowOff>
        </xdr:from>
        <xdr:to>
          <xdr:col>5</xdr:col>
          <xdr:colOff>190500</xdr:colOff>
          <xdr:row>106</xdr:row>
          <xdr:rowOff>19050</xdr:rowOff>
        </xdr:to>
        <xdr:sp macro="" textlink="">
          <xdr:nvSpPr>
            <xdr:cNvPr id="14508" name="Drop Down 172" hidden="1">
              <a:extLst>
                <a:ext uri="{63B3BB69-23CF-44E3-9099-C40C66FF867C}">
                  <a14:compatExt spid="_x0000_s14508"/>
                </a:ext>
                <a:ext uri="{FF2B5EF4-FFF2-40B4-BE49-F238E27FC236}">
                  <a16:creationId xmlns:a16="http://schemas.microsoft.com/office/drawing/2014/main" id="{00000000-0008-0000-0200-0000A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102</xdr:row>
          <xdr:rowOff>152400</xdr:rowOff>
        </xdr:from>
        <xdr:to>
          <xdr:col>5</xdr:col>
          <xdr:colOff>190500</xdr:colOff>
          <xdr:row>104</xdr:row>
          <xdr:rowOff>28575</xdr:rowOff>
        </xdr:to>
        <xdr:sp macro="" textlink="">
          <xdr:nvSpPr>
            <xdr:cNvPr id="14509" name="Drop Down 173" hidden="1">
              <a:extLst>
                <a:ext uri="{63B3BB69-23CF-44E3-9099-C40C66FF867C}">
                  <a14:compatExt spid="_x0000_s14509"/>
                </a:ext>
                <a:ext uri="{FF2B5EF4-FFF2-40B4-BE49-F238E27FC236}">
                  <a16:creationId xmlns:a16="http://schemas.microsoft.com/office/drawing/2014/main" id="{00000000-0008-0000-0200-0000A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110</xdr:row>
          <xdr:rowOff>38100</xdr:rowOff>
        </xdr:from>
        <xdr:to>
          <xdr:col>5</xdr:col>
          <xdr:colOff>190500</xdr:colOff>
          <xdr:row>111</xdr:row>
          <xdr:rowOff>76200</xdr:rowOff>
        </xdr:to>
        <xdr:sp macro="" textlink="">
          <xdr:nvSpPr>
            <xdr:cNvPr id="14510" name="Drop Down 174" hidden="1">
              <a:extLst>
                <a:ext uri="{63B3BB69-23CF-44E3-9099-C40C66FF867C}">
                  <a14:compatExt spid="_x0000_s14510"/>
                </a:ext>
                <a:ext uri="{FF2B5EF4-FFF2-40B4-BE49-F238E27FC236}">
                  <a16:creationId xmlns:a16="http://schemas.microsoft.com/office/drawing/2014/main" id="{00000000-0008-0000-0200-0000A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91</xdr:row>
          <xdr:rowOff>142875</xdr:rowOff>
        </xdr:from>
        <xdr:to>
          <xdr:col>5</xdr:col>
          <xdr:colOff>209550</xdr:colOff>
          <xdr:row>93</xdr:row>
          <xdr:rowOff>0</xdr:rowOff>
        </xdr:to>
        <xdr:sp macro="" textlink="">
          <xdr:nvSpPr>
            <xdr:cNvPr id="14511" name="Drop Down 175" hidden="1">
              <a:extLst>
                <a:ext uri="{63B3BB69-23CF-44E3-9099-C40C66FF867C}">
                  <a14:compatExt spid="_x0000_s14511"/>
                </a:ext>
                <a:ext uri="{FF2B5EF4-FFF2-40B4-BE49-F238E27FC236}">
                  <a16:creationId xmlns:a16="http://schemas.microsoft.com/office/drawing/2014/main" id="{00000000-0008-0000-0200-0000A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146</xdr:row>
          <xdr:rowOff>66675</xdr:rowOff>
        </xdr:from>
        <xdr:to>
          <xdr:col>8</xdr:col>
          <xdr:colOff>180975</xdr:colOff>
          <xdr:row>148</xdr:row>
          <xdr:rowOff>123825</xdr:rowOff>
        </xdr:to>
        <xdr:sp macro="" textlink="">
          <xdr:nvSpPr>
            <xdr:cNvPr id="14512" name="Object 176" hidden="1">
              <a:extLst>
                <a:ext uri="{63B3BB69-23CF-44E3-9099-C40C66FF867C}">
                  <a14:compatExt spid="_x0000_s14512"/>
                </a:ext>
                <a:ext uri="{FF2B5EF4-FFF2-40B4-BE49-F238E27FC236}">
                  <a16:creationId xmlns:a16="http://schemas.microsoft.com/office/drawing/2014/main" id="{00000000-0008-0000-0200-0000B0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200025</xdr:colOff>
          <xdr:row>149</xdr:row>
          <xdr:rowOff>19050</xdr:rowOff>
        </xdr:from>
        <xdr:to>
          <xdr:col>8</xdr:col>
          <xdr:colOff>9525</xdr:colOff>
          <xdr:row>151</xdr:row>
          <xdr:rowOff>85725</xdr:rowOff>
        </xdr:to>
        <xdr:sp macro="" textlink="">
          <xdr:nvSpPr>
            <xdr:cNvPr id="14513" name="Object 177" hidden="1">
              <a:extLst>
                <a:ext uri="{63B3BB69-23CF-44E3-9099-C40C66FF867C}">
                  <a14:compatExt spid="_x0000_s14513"/>
                </a:ext>
                <a:ext uri="{FF2B5EF4-FFF2-40B4-BE49-F238E27FC236}">
                  <a16:creationId xmlns:a16="http://schemas.microsoft.com/office/drawing/2014/main" id="{00000000-0008-0000-0200-0000B13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552450</xdr:colOff>
          <xdr:row>148</xdr:row>
          <xdr:rowOff>95250</xdr:rowOff>
        </xdr:from>
        <xdr:to>
          <xdr:col>3</xdr:col>
          <xdr:colOff>9525</xdr:colOff>
          <xdr:row>149</xdr:row>
          <xdr:rowOff>142875</xdr:rowOff>
        </xdr:to>
        <xdr:sp macro="" textlink="">
          <xdr:nvSpPr>
            <xdr:cNvPr id="14515" name="Check Box 179" hidden="1">
              <a:extLst>
                <a:ext uri="{63B3BB69-23CF-44E3-9099-C40C66FF867C}">
                  <a14:compatExt spid="_x0000_s14515"/>
                </a:ext>
                <a:ext uri="{FF2B5EF4-FFF2-40B4-BE49-F238E27FC236}">
                  <a16:creationId xmlns:a16="http://schemas.microsoft.com/office/drawing/2014/main" id="{00000000-0008-0000-0200-0000B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L" sz="800" b="0" i="0" u="none" strike="noStrike" baseline="0">
                  <a:solidFill>
                    <a:srgbClr val="000000"/>
                  </a:solidFill>
                  <a:latin typeface="Tahoma"/>
                  <a:ea typeface="Tahoma"/>
                  <a:cs typeface="Tahoma"/>
                </a:rPr>
                <a:t>Modificar tensiones admisibles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153</xdr:row>
          <xdr:rowOff>133350</xdr:rowOff>
        </xdr:from>
        <xdr:to>
          <xdr:col>3</xdr:col>
          <xdr:colOff>504825</xdr:colOff>
          <xdr:row>153</xdr:row>
          <xdr:rowOff>333375</xdr:rowOff>
        </xdr:to>
        <xdr:sp macro="" textlink="">
          <xdr:nvSpPr>
            <xdr:cNvPr id="14516" name="Drop Down 180" hidden="1">
              <a:extLst>
                <a:ext uri="{63B3BB69-23CF-44E3-9099-C40C66FF867C}">
                  <a14:compatExt spid="_x0000_s14516"/>
                </a:ext>
                <a:ext uri="{FF2B5EF4-FFF2-40B4-BE49-F238E27FC236}">
                  <a16:creationId xmlns:a16="http://schemas.microsoft.com/office/drawing/2014/main" id="{00000000-0008-0000-0200-0000B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122</xdr:row>
          <xdr:rowOff>38100</xdr:rowOff>
        </xdr:from>
        <xdr:to>
          <xdr:col>5</xdr:col>
          <xdr:colOff>514350</xdr:colOff>
          <xdr:row>123</xdr:row>
          <xdr:rowOff>76200</xdr:rowOff>
        </xdr:to>
        <xdr:sp macro="" textlink="">
          <xdr:nvSpPr>
            <xdr:cNvPr id="14558" name="Drop Down 222" hidden="1">
              <a:extLst>
                <a:ext uri="{63B3BB69-23CF-44E3-9099-C40C66FF867C}">
                  <a14:compatExt spid="_x0000_s14558"/>
                </a:ext>
                <a:ext uri="{FF2B5EF4-FFF2-40B4-BE49-F238E27FC236}">
                  <a16:creationId xmlns:a16="http://schemas.microsoft.com/office/drawing/2014/main" id="{00000000-0008-0000-0200-0000D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76200</xdr:colOff>
      <xdr:row>0</xdr:row>
      <xdr:rowOff>123824</xdr:rowOff>
    </xdr:from>
    <xdr:to>
      <xdr:col>1</xdr:col>
      <xdr:colOff>647700</xdr:colOff>
      <xdr:row>5</xdr:row>
      <xdr:rowOff>21966</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rcRect l="28162" t="7713" r="52287" b="73072"/>
        <a:stretch/>
      </xdr:blipFill>
      <xdr:spPr>
        <a:xfrm>
          <a:off x="76200" y="123824"/>
          <a:ext cx="1285875" cy="707767"/>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8.bin"/><Relationship Id="rId26" Type="http://schemas.openxmlformats.org/officeDocument/2006/relationships/oleObject" Target="../embeddings/oleObject12.bin"/><Relationship Id="rId39" Type="http://schemas.openxmlformats.org/officeDocument/2006/relationships/image" Target="../media/image18.emf"/><Relationship Id="rId21" Type="http://schemas.openxmlformats.org/officeDocument/2006/relationships/image" Target="../media/image9.wmf"/><Relationship Id="rId34" Type="http://schemas.openxmlformats.org/officeDocument/2006/relationships/oleObject" Target="../embeddings/oleObject16.bin"/><Relationship Id="rId42" Type="http://schemas.openxmlformats.org/officeDocument/2006/relationships/ctrlProp" Target="../ctrlProps/ctrlProp1.xml"/><Relationship Id="rId47" Type="http://schemas.openxmlformats.org/officeDocument/2006/relationships/ctrlProp" Target="../ctrlProps/ctrlProp6.xml"/><Relationship Id="rId50" Type="http://schemas.openxmlformats.org/officeDocument/2006/relationships/ctrlProp" Target="../ctrlProps/ctrlProp9.xml"/><Relationship Id="rId55" Type="http://schemas.openxmlformats.org/officeDocument/2006/relationships/ctrlProp" Target="../ctrlProps/ctrlProp14.xml"/><Relationship Id="rId63" Type="http://schemas.openxmlformats.org/officeDocument/2006/relationships/ctrlProp" Target="../ctrlProps/ctrlProp22.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oleObject" Target="../embeddings/oleObject7.bin"/><Relationship Id="rId29" Type="http://schemas.openxmlformats.org/officeDocument/2006/relationships/image" Target="../media/image13.emf"/><Relationship Id="rId11" Type="http://schemas.openxmlformats.org/officeDocument/2006/relationships/image" Target="../media/image4.w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openxmlformats.org/officeDocument/2006/relationships/image" Target="../media/image17.wmf"/><Relationship Id="rId40" Type="http://schemas.openxmlformats.org/officeDocument/2006/relationships/oleObject" Target="../embeddings/oleObject19.bin"/><Relationship Id="rId45" Type="http://schemas.openxmlformats.org/officeDocument/2006/relationships/ctrlProp" Target="../ctrlProps/ctrlProp4.xml"/><Relationship Id="rId53" Type="http://schemas.openxmlformats.org/officeDocument/2006/relationships/ctrlProp" Target="../ctrlProps/ctrlProp12.xml"/><Relationship Id="rId58" Type="http://schemas.openxmlformats.org/officeDocument/2006/relationships/ctrlProp" Target="../ctrlProps/ctrlProp17.xml"/><Relationship Id="rId5" Type="http://schemas.openxmlformats.org/officeDocument/2006/relationships/image" Target="../media/image1.emf"/><Relationship Id="rId61" Type="http://schemas.openxmlformats.org/officeDocument/2006/relationships/ctrlProp" Target="../ctrlProps/ctrlProp20.xml"/><Relationship Id="rId19" Type="http://schemas.openxmlformats.org/officeDocument/2006/relationships/image" Target="../media/image8.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2.emf"/><Relationship Id="rId30" Type="http://schemas.openxmlformats.org/officeDocument/2006/relationships/oleObject" Target="../embeddings/oleObject14.bin"/><Relationship Id="rId35" Type="http://schemas.openxmlformats.org/officeDocument/2006/relationships/image" Target="../media/image16.emf"/><Relationship Id="rId43" Type="http://schemas.openxmlformats.org/officeDocument/2006/relationships/ctrlProp" Target="../ctrlProps/ctrlProp2.xml"/><Relationship Id="rId48" Type="http://schemas.openxmlformats.org/officeDocument/2006/relationships/ctrlProp" Target="../ctrlProps/ctrlProp7.xml"/><Relationship Id="rId56" Type="http://schemas.openxmlformats.org/officeDocument/2006/relationships/ctrlProp" Target="../ctrlProps/ctrlProp15.xml"/><Relationship Id="rId64" Type="http://schemas.openxmlformats.org/officeDocument/2006/relationships/comments" Target="../comments1.xml"/><Relationship Id="rId8" Type="http://schemas.openxmlformats.org/officeDocument/2006/relationships/oleObject" Target="../embeddings/oleObject3.bin"/><Relationship Id="rId51" Type="http://schemas.openxmlformats.org/officeDocument/2006/relationships/ctrlProp" Target="../ctrlProps/ctrlProp10.xml"/><Relationship Id="rId3" Type="http://schemas.openxmlformats.org/officeDocument/2006/relationships/vmlDrawing" Target="../drawings/vmlDrawing1.vml"/><Relationship Id="rId12" Type="http://schemas.openxmlformats.org/officeDocument/2006/relationships/oleObject" Target="../embeddings/oleObject5.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image" Target="../media/image15.wmf"/><Relationship Id="rId38" Type="http://schemas.openxmlformats.org/officeDocument/2006/relationships/oleObject" Target="../embeddings/oleObject18.bin"/><Relationship Id="rId46" Type="http://schemas.openxmlformats.org/officeDocument/2006/relationships/ctrlProp" Target="../ctrlProps/ctrlProp5.xml"/><Relationship Id="rId59" Type="http://schemas.openxmlformats.org/officeDocument/2006/relationships/ctrlProp" Target="../ctrlProps/ctrlProp18.xml"/><Relationship Id="rId20" Type="http://schemas.openxmlformats.org/officeDocument/2006/relationships/oleObject" Target="../embeddings/oleObject9.bin"/><Relationship Id="rId41" Type="http://schemas.openxmlformats.org/officeDocument/2006/relationships/image" Target="../media/image19.emf"/><Relationship Id="rId54" Type="http://schemas.openxmlformats.org/officeDocument/2006/relationships/ctrlProp" Target="../ctrlProps/ctrlProp13.xml"/><Relationship Id="rId62" Type="http://schemas.openxmlformats.org/officeDocument/2006/relationships/ctrlProp" Target="../ctrlProps/ctrlProp2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13.bin"/><Relationship Id="rId36" Type="http://schemas.openxmlformats.org/officeDocument/2006/relationships/oleObject" Target="../embeddings/oleObject17.bin"/><Relationship Id="rId49" Type="http://schemas.openxmlformats.org/officeDocument/2006/relationships/ctrlProp" Target="../ctrlProps/ctrlProp8.xml"/><Relationship Id="rId57" Type="http://schemas.openxmlformats.org/officeDocument/2006/relationships/ctrlProp" Target="../ctrlProps/ctrlProp16.xml"/><Relationship Id="rId10" Type="http://schemas.openxmlformats.org/officeDocument/2006/relationships/oleObject" Target="../embeddings/oleObject4.bin"/><Relationship Id="rId31" Type="http://schemas.openxmlformats.org/officeDocument/2006/relationships/image" Target="../media/image14.wmf"/><Relationship Id="rId44" Type="http://schemas.openxmlformats.org/officeDocument/2006/relationships/ctrlProp" Target="../ctrlProps/ctrlProp3.xml"/><Relationship Id="rId52" Type="http://schemas.openxmlformats.org/officeDocument/2006/relationships/ctrlProp" Target="../ctrlProps/ctrlProp11.xml"/><Relationship Id="rId60" Type="http://schemas.openxmlformats.org/officeDocument/2006/relationships/ctrlProp" Target="../ctrlProps/ctrlProp19.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6" Type="http://schemas.openxmlformats.org/officeDocument/2006/relationships/oleObject" Target="../embeddings/oleObject31.bin"/><Relationship Id="rId21" Type="http://schemas.openxmlformats.org/officeDocument/2006/relationships/image" Target="../media/image9.wmf"/><Relationship Id="rId42" Type="http://schemas.openxmlformats.org/officeDocument/2006/relationships/oleObject" Target="../embeddings/oleObject39.bin"/><Relationship Id="rId47" Type="http://schemas.openxmlformats.org/officeDocument/2006/relationships/ctrlProp" Target="../ctrlProps/ctrlProp26.xml"/><Relationship Id="rId63" Type="http://schemas.openxmlformats.org/officeDocument/2006/relationships/ctrlProp" Target="../ctrlProps/ctrlProp42.xml"/><Relationship Id="rId68" Type="http://schemas.openxmlformats.org/officeDocument/2006/relationships/ctrlProp" Target="../ctrlProps/ctrlProp47.xml"/><Relationship Id="rId7" Type="http://schemas.openxmlformats.org/officeDocument/2006/relationships/image" Target="../media/image2.emf"/><Relationship Id="rId71" Type="http://schemas.openxmlformats.org/officeDocument/2006/relationships/comments" Target="../comments2.xml"/><Relationship Id="rId2" Type="http://schemas.openxmlformats.org/officeDocument/2006/relationships/drawing" Target="../drawings/drawing2.xml"/><Relationship Id="rId16" Type="http://schemas.openxmlformats.org/officeDocument/2006/relationships/oleObject" Target="../embeddings/oleObject26.bin"/><Relationship Id="rId29" Type="http://schemas.openxmlformats.org/officeDocument/2006/relationships/image" Target="../media/image13.emf"/><Relationship Id="rId11" Type="http://schemas.openxmlformats.org/officeDocument/2006/relationships/image" Target="../media/image4.wmf"/><Relationship Id="rId24" Type="http://schemas.openxmlformats.org/officeDocument/2006/relationships/oleObject" Target="../embeddings/oleObject30.bin"/><Relationship Id="rId32" Type="http://schemas.openxmlformats.org/officeDocument/2006/relationships/oleObject" Target="../embeddings/oleObject34.bin"/><Relationship Id="rId37" Type="http://schemas.openxmlformats.org/officeDocument/2006/relationships/image" Target="../media/image17.wmf"/><Relationship Id="rId40" Type="http://schemas.openxmlformats.org/officeDocument/2006/relationships/oleObject" Target="../embeddings/oleObject38.bin"/><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66" Type="http://schemas.openxmlformats.org/officeDocument/2006/relationships/ctrlProp" Target="../ctrlProps/ctrlProp45.xml"/><Relationship Id="rId5" Type="http://schemas.openxmlformats.org/officeDocument/2006/relationships/image" Target="../media/image1.emf"/><Relationship Id="rId61" Type="http://schemas.openxmlformats.org/officeDocument/2006/relationships/ctrlProp" Target="../ctrlProps/ctrlProp40.xml"/><Relationship Id="rId19" Type="http://schemas.openxmlformats.org/officeDocument/2006/relationships/image" Target="../media/image25.emf"/><Relationship Id="rId14" Type="http://schemas.openxmlformats.org/officeDocument/2006/relationships/oleObject" Target="../embeddings/oleObject25.bin"/><Relationship Id="rId22" Type="http://schemas.openxmlformats.org/officeDocument/2006/relationships/oleObject" Target="../embeddings/oleObject29.bin"/><Relationship Id="rId27" Type="http://schemas.openxmlformats.org/officeDocument/2006/relationships/image" Target="../media/image12.emf"/><Relationship Id="rId30" Type="http://schemas.openxmlformats.org/officeDocument/2006/relationships/oleObject" Target="../embeddings/oleObject33.bin"/><Relationship Id="rId35" Type="http://schemas.openxmlformats.org/officeDocument/2006/relationships/image" Target="../media/image26.emf"/><Relationship Id="rId43" Type="http://schemas.openxmlformats.org/officeDocument/2006/relationships/oleObject" Target="../embeddings/oleObject40.bin"/><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69" Type="http://schemas.openxmlformats.org/officeDocument/2006/relationships/ctrlProp" Target="../ctrlProps/ctrlProp48.xml"/><Relationship Id="rId8" Type="http://schemas.openxmlformats.org/officeDocument/2006/relationships/oleObject" Target="../embeddings/oleObject22.bin"/><Relationship Id="rId51" Type="http://schemas.openxmlformats.org/officeDocument/2006/relationships/ctrlProp" Target="../ctrlProps/ctrlProp30.xml"/><Relationship Id="rId3" Type="http://schemas.openxmlformats.org/officeDocument/2006/relationships/vmlDrawing" Target="../drawings/vmlDrawing2.vml"/><Relationship Id="rId12" Type="http://schemas.openxmlformats.org/officeDocument/2006/relationships/oleObject" Target="../embeddings/oleObject24.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image" Target="../media/image15.wmf"/><Relationship Id="rId38" Type="http://schemas.openxmlformats.org/officeDocument/2006/relationships/oleObject" Target="../embeddings/oleObject37.bin"/><Relationship Id="rId46" Type="http://schemas.openxmlformats.org/officeDocument/2006/relationships/ctrlProp" Target="../ctrlProps/ctrlProp25.xml"/><Relationship Id="rId59" Type="http://schemas.openxmlformats.org/officeDocument/2006/relationships/ctrlProp" Target="../ctrlProps/ctrlProp38.xml"/><Relationship Id="rId67" Type="http://schemas.openxmlformats.org/officeDocument/2006/relationships/ctrlProp" Target="../ctrlProps/ctrlProp46.xml"/><Relationship Id="rId20" Type="http://schemas.openxmlformats.org/officeDocument/2006/relationships/oleObject" Target="../embeddings/oleObject28.bin"/><Relationship Id="rId41" Type="http://schemas.openxmlformats.org/officeDocument/2006/relationships/image" Target="../media/image27.emf"/><Relationship Id="rId54" Type="http://schemas.openxmlformats.org/officeDocument/2006/relationships/ctrlProp" Target="../ctrlProps/ctrlProp33.xml"/><Relationship Id="rId62" Type="http://schemas.openxmlformats.org/officeDocument/2006/relationships/ctrlProp" Target="../ctrlProps/ctrlProp41.xml"/><Relationship Id="rId70" Type="http://schemas.openxmlformats.org/officeDocument/2006/relationships/ctrlProp" Target="../ctrlProps/ctrlProp49.xml"/><Relationship Id="rId1" Type="http://schemas.openxmlformats.org/officeDocument/2006/relationships/printerSettings" Target="../printerSettings/printerSettings2.bin"/><Relationship Id="rId6" Type="http://schemas.openxmlformats.org/officeDocument/2006/relationships/oleObject" Target="../embeddings/oleObject21.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32.bin"/><Relationship Id="rId36" Type="http://schemas.openxmlformats.org/officeDocument/2006/relationships/oleObject" Target="../embeddings/oleObject36.bin"/><Relationship Id="rId49" Type="http://schemas.openxmlformats.org/officeDocument/2006/relationships/ctrlProp" Target="../ctrlProps/ctrlProp28.xml"/><Relationship Id="rId57" Type="http://schemas.openxmlformats.org/officeDocument/2006/relationships/ctrlProp" Target="../ctrlProps/ctrlProp36.xml"/><Relationship Id="rId10" Type="http://schemas.openxmlformats.org/officeDocument/2006/relationships/oleObject" Target="../embeddings/oleObject23.bin"/><Relationship Id="rId31" Type="http://schemas.openxmlformats.org/officeDocument/2006/relationships/image" Target="../media/image14.wmf"/><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65" Type="http://schemas.openxmlformats.org/officeDocument/2006/relationships/ctrlProp" Target="../ctrlProps/ctrlProp44.xml"/><Relationship Id="rId4" Type="http://schemas.openxmlformats.org/officeDocument/2006/relationships/oleObject" Target="../embeddings/oleObject20.bin"/><Relationship Id="rId9" Type="http://schemas.openxmlformats.org/officeDocument/2006/relationships/image" Target="../media/image3.emf"/><Relationship Id="rId13" Type="http://schemas.openxmlformats.org/officeDocument/2006/relationships/image" Target="../media/image5.wmf"/><Relationship Id="rId18" Type="http://schemas.openxmlformats.org/officeDocument/2006/relationships/oleObject" Target="../embeddings/oleObject27.bin"/><Relationship Id="rId39" Type="http://schemas.openxmlformats.org/officeDocument/2006/relationships/image" Target="../media/image18.emf"/><Relationship Id="rId34" Type="http://schemas.openxmlformats.org/officeDocument/2006/relationships/oleObject" Target="../embeddings/oleObject35.bin"/><Relationship Id="rId50" Type="http://schemas.openxmlformats.org/officeDocument/2006/relationships/ctrlProp" Target="../ctrlProps/ctrlProp29.xml"/><Relationship Id="rId55" Type="http://schemas.openxmlformats.org/officeDocument/2006/relationships/ctrlProp" Target="../ctrlProps/ctrlProp3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5.wmf"/><Relationship Id="rId18" Type="http://schemas.openxmlformats.org/officeDocument/2006/relationships/oleObject" Target="../embeddings/oleObject48.bin"/><Relationship Id="rId26" Type="http://schemas.openxmlformats.org/officeDocument/2006/relationships/oleObject" Target="../embeddings/oleObject52.bin"/><Relationship Id="rId39" Type="http://schemas.openxmlformats.org/officeDocument/2006/relationships/ctrlProp" Target="../ctrlProps/ctrlProp53.xml"/><Relationship Id="rId21" Type="http://schemas.openxmlformats.org/officeDocument/2006/relationships/image" Target="../media/image9.wmf"/><Relationship Id="rId34" Type="http://schemas.openxmlformats.org/officeDocument/2006/relationships/oleObject" Target="../embeddings/oleObject57.bin"/><Relationship Id="rId42" Type="http://schemas.openxmlformats.org/officeDocument/2006/relationships/ctrlProp" Target="../ctrlProps/ctrlProp56.xml"/><Relationship Id="rId47" Type="http://schemas.openxmlformats.org/officeDocument/2006/relationships/ctrlProp" Target="../ctrlProps/ctrlProp61.xml"/><Relationship Id="rId50" Type="http://schemas.openxmlformats.org/officeDocument/2006/relationships/ctrlProp" Target="../ctrlProps/ctrlProp64.xml"/><Relationship Id="rId55" Type="http://schemas.openxmlformats.org/officeDocument/2006/relationships/comments" Target="../comments3.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oleObject" Target="../embeddings/oleObject47.bin"/><Relationship Id="rId29" Type="http://schemas.openxmlformats.org/officeDocument/2006/relationships/image" Target="../media/image17.wmf"/><Relationship Id="rId11" Type="http://schemas.openxmlformats.org/officeDocument/2006/relationships/image" Target="../media/image4.wmf"/><Relationship Id="rId24" Type="http://schemas.openxmlformats.org/officeDocument/2006/relationships/oleObject" Target="../embeddings/oleObject51.bin"/><Relationship Id="rId32" Type="http://schemas.openxmlformats.org/officeDocument/2006/relationships/oleObject" Target="../embeddings/oleObject55.bin"/><Relationship Id="rId37" Type="http://schemas.openxmlformats.org/officeDocument/2006/relationships/ctrlProp" Target="../ctrlProps/ctrlProp51.xml"/><Relationship Id="rId40" Type="http://schemas.openxmlformats.org/officeDocument/2006/relationships/ctrlProp" Target="../ctrlProps/ctrlProp54.xml"/><Relationship Id="rId45" Type="http://schemas.openxmlformats.org/officeDocument/2006/relationships/ctrlProp" Target="../ctrlProps/ctrlProp59.xml"/><Relationship Id="rId53" Type="http://schemas.openxmlformats.org/officeDocument/2006/relationships/ctrlProp" Target="../ctrlProps/ctrlProp67.xml"/><Relationship Id="rId5" Type="http://schemas.openxmlformats.org/officeDocument/2006/relationships/image" Target="../media/image1.emf"/><Relationship Id="rId10" Type="http://schemas.openxmlformats.org/officeDocument/2006/relationships/oleObject" Target="../embeddings/oleObject44.bin"/><Relationship Id="rId19" Type="http://schemas.openxmlformats.org/officeDocument/2006/relationships/image" Target="../media/image29.emf"/><Relationship Id="rId31" Type="http://schemas.openxmlformats.org/officeDocument/2006/relationships/image" Target="../media/image18.emf"/><Relationship Id="rId44" Type="http://schemas.openxmlformats.org/officeDocument/2006/relationships/ctrlProp" Target="../ctrlProps/ctrlProp58.xml"/><Relationship Id="rId52" Type="http://schemas.openxmlformats.org/officeDocument/2006/relationships/ctrlProp" Target="../ctrlProps/ctrlProp66.xml"/><Relationship Id="rId4" Type="http://schemas.openxmlformats.org/officeDocument/2006/relationships/oleObject" Target="../embeddings/oleObject41.bin"/><Relationship Id="rId9" Type="http://schemas.openxmlformats.org/officeDocument/2006/relationships/image" Target="../media/image3.emf"/><Relationship Id="rId14" Type="http://schemas.openxmlformats.org/officeDocument/2006/relationships/oleObject" Target="../embeddings/oleObject46.bin"/><Relationship Id="rId22" Type="http://schemas.openxmlformats.org/officeDocument/2006/relationships/oleObject" Target="../embeddings/oleObject50.bin"/><Relationship Id="rId27" Type="http://schemas.openxmlformats.org/officeDocument/2006/relationships/image" Target="../media/image12.emf"/><Relationship Id="rId30" Type="http://schemas.openxmlformats.org/officeDocument/2006/relationships/oleObject" Target="../embeddings/oleObject54.bin"/><Relationship Id="rId35" Type="http://schemas.openxmlformats.org/officeDocument/2006/relationships/oleObject" Target="../embeddings/oleObject58.bin"/><Relationship Id="rId43" Type="http://schemas.openxmlformats.org/officeDocument/2006/relationships/ctrlProp" Target="../ctrlProps/ctrlProp57.xml"/><Relationship Id="rId48" Type="http://schemas.openxmlformats.org/officeDocument/2006/relationships/ctrlProp" Target="../ctrlProps/ctrlProp62.xml"/><Relationship Id="rId8" Type="http://schemas.openxmlformats.org/officeDocument/2006/relationships/oleObject" Target="../embeddings/oleObject43.bin"/><Relationship Id="rId51" Type="http://schemas.openxmlformats.org/officeDocument/2006/relationships/ctrlProp" Target="../ctrlProps/ctrlProp65.xml"/><Relationship Id="rId3" Type="http://schemas.openxmlformats.org/officeDocument/2006/relationships/vmlDrawing" Target="../drawings/vmlDrawing3.vml"/><Relationship Id="rId12" Type="http://schemas.openxmlformats.org/officeDocument/2006/relationships/oleObject" Target="../embeddings/oleObject45.bin"/><Relationship Id="rId17" Type="http://schemas.openxmlformats.org/officeDocument/2006/relationships/image" Target="../media/image7.wmf"/><Relationship Id="rId25" Type="http://schemas.openxmlformats.org/officeDocument/2006/relationships/image" Target="../media/image11.emf"/><Relationship Id="rId33" Type="http://schemas.openxmlformats.org/officeDocument/2006/relationships/oleObject" Target="../embeddings/oleObject56.bin"/><Relationship Id="rId38" Type="http://schemas.openxmlformats.org/officeDocument/2006/relationships/ctrlProp" Target="../ctrlProps/ctrlProp52.xml"/><Relationship Id="rId46" Type="http://schemas.openxmlformats.org/officeDocument/2006/relationships/ctrlProp" Target="../ctrlProps/ctrlProp60.xml"/><Relationship Id="rId20" Type="http://schemas.openxmlformats.org/officeDocument/2006/relationships/oleObject" Target="../embeddings/oleObject49.bin"/><Relationship Id="rId41" Type="http://schemas.openxmlformats.org/officeDocument/2006/relationships/ctrlProp" Target="../ctrlProps/ctrlProp55.xml"/><Relationship Id="rId54" Type="http://schemas.openxmlformats.org/officeDocument/2006/relationships/ctrlProp" Target="../ctrlProps/ctrlProp68.xml"/><Relationship Id="rId1" Type="http://schemas.openxmlformats.org/officeDocument/2006/relationships/printerSettings" Target="../printerSettings/printerSettings3.bin"/><Relationship Id="rId6" Type="http://schemas.openxmlformats.org/officeDocument/2006/relationships/oleObject" Target="../embeddings/oleObject42.bin"/><Relationship Id="rId15" Type="http://schemas.openxmlformats.org/officeDocument/2006/relationships/image" Target="../media/image6.wmf"/><Relationship Id="rId23" Type="http://schemas.openxmlformats.org/officeDocument/2006/relationships/image" Target="../media/image10.wmf"/><Relationship Id="rId28" Type="http://schemas.openxmlformats.org/officeDocument/2006/relationships/oleObject" Target="../embeddings/oleObject53.bin"/><Relationship Id="rId36" Type="http://schemas.openxmlformats.org/officeDocument/2006/relationships/ctrlProp" Target="../ctrlProps/ctrlProp50.xml"/><Relationship Id="rId49"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8"/>
  <dimension ref="A1:BL572"/>
  <sheetViews>
    <sheetView view="pageBreakPreview" topLeftCell="A409" zoomScale="150" zoomScaleNormal="100" zoomScaleSheetLayoutView="150" workbookViewId="0">
      <selection activeCell="H431" sqref="H431:H436"/>
    </sheetView>
  </sheetViews>
  <sheetFormatPr baseColWidth="10" defaultColWidth="10.28515625" defaultRowHeight="12.75" x14ac:dyDescent="0.2"/>
  <cols>
    <col min="1" max="8" width="10.7109375" style="15" customWidth="1"/>
    <col min="9" max="9" width="11.85546875" style="15" customWidth="1"/>
    <col min="10" max="10" width="10.140625" style="12" hidden="1" customWidth="1"/>
    <col min="11" max="12" width="12.28515625" style="12" hidden="1" customWidth="1"/>
    <col min="13" max="13" width="10.140625" style="12" hidden="1" customWidth="1"/>
    <col min="14" max="14" width="10.140625" style="13" hidden="1" customWidth="1"/>
    <col min="15" max="15" width="6.85546875" style="13" hidden="1" customWidth="1"/>
    <col min="16" max="16" width="12" style="13" hidden="1" customWidth="1"/>
    <col min="17" max="18" width="7.28515625" style="13" hidden="1" customWidth="1"/>
    <col min="19" max="19" width="7.28515625" style="14" hidden="1" customWidth="1"/>
    <col min="20" max="20" width="7.28515625" style="15" hidden="1" customWidth="1"/>
    <col min="21" max="21" width="4.42578125" style="15" hidden="1" customWidth="1"/>
    <col min="22" max="24" width="10.140625" style="15" hidden="1" customWidth="1"/>
    <col min="25" max="25" width="10.42578125" style="15" hidden="1" customWidth="1"/>
    <col min="26" max="27" width="11" style="15" hidden="1" customWidth="1"/>
    <col min="28" max="16384" width="10.28515625" style="15"/>
  </cols>
  <sheetData>
    <row r="1" spans="1:9" ht="12.75" customHeight="1" x14ac:dyDescent="0.2">
      <c r="A1" s="517"/>
      <c r="B1" s="518"/>
      <c r="C1" s="519" t="s">
        <v>654</v>
      </c>
      <c r="D1" s="520"/>
      <c r="E1" s="520"/>
      <c r="F1" s="520"/>
      <c r="G1" s="521" t="s">
        <v>655</v>
      </c>
      <c r="H1" s="520"/>
      <c r="I1" s="522"/>
    </row>
    <row r="2" spans="1:9" ht="12.75" customHeight="1" thickBot="1" x14ac:dyDescent="0.25">
      <c r="A2" s="523"/>
      <c r="B2" s="524"/>
      <c r="C2" s="525"/>
      <c r="D2" s="526"/>
      <c r="E2" s="525"/>
      <c r="F2" s="525"/>
      <c r="G2" s="527"/>
      <c r="H2" s="525"/>
      <c r="I2" s="528"/>
    </row>
    <row r="3" spans="1:9" ht="12.75" customHeight="1" thickBot="1" x14ac:dyDescent="0.25">
      <c r="A3" s="523"/>
      <c r="B3" s="524"/>
      <c r="C3" s="529" t="s">
        <v>656</v>
      </c>
      <c r="D3" s="530"/>
      <c r="E3" s="531">
        <v>0</v>
      </c>
      <c r="F3" s="531">
        <v>1</v>
      </c>
      <c r="G3" s="531">
        <v>2</v>
      </c>
      <c r="H3" s="532"/>
      <c r="I3" s="522"/>
    </row>
    <row r="4" spans="1:9" ht="12.75" customHeight="1" thickBot="1" x14ac:dyDescent="0.25">
      <c r="A4" s="541"/>
      <c r="B4" s="542"/>
      <c r="C4" s="533" t="s">
        <v>657</v>
      </c>
      <c r="D4" s="530"/>
      <c r="E4" s="534"/>
      <c r="F4" s="535"/>
      <c r="G4" s="535"/>
      <c r="H4" s="536" t="s">
        <v>658</v>
      </c>
      <c r="I4" s="537" t="s">
        <v>659</v>
      </c>
    </row>
    <row r="5" spans="1:9" ht="12.75" customHeight="1" thickBot="1" x14ac:dyDescent="0.25">
      <c r="A5" s="541"/>
      <c r="B5" s="542"/>
      <c r="C5" s="529" t="s">
        <v>660</v>
      </c>
      <c r="D5" s="530"/>
      <c r="E5" s="534" t="s">
        <v>661</v>
      </c>
      <c r="F5" s="535"/>
      <c r="G5" s="535"/>
      <c r="H5" s="536" t="s">
        <v>662</v>
      </c>
      <c r="I5" s="537" t="s">
        <v>659</v>
      </c>
    </row>
    <row r="6" spans="1:9" ht="12.75" customHeight="1" thickBot="1" x14ac:dyDescent="0.25">
      <c r="A6" s="543"/>
      <c r="B6" s="544"/>
      <c r="C6" s="529" t="s">
        <v>663</v>
      </c>
      <c r="D6" s="530"/>
      <c r="E6" s="538"/>
      <c r="F6" s="535"/>
      <c r="G6" s="535"/>
      <c r="H6" s="539"/>
      <c r="I6" s="540"/>
    </row>
    <row r="7" spans="1:9" x14ac:dyDescent="0.2">
      <c r="A7" s="17"/>
      <c r="B7" s="18"/>
      <c r="C7" s="18"/>
      <c r="D7" s="18"/>
      <c r="E7" s="18"/>
      <c r="F7" s="18"/>
      <c r="G7" s="18"/>
      <c r="H7" s="18"/>
      <c r="I7" s="19"/>
    </row>
    <row r="8" spans="1:9" x14ac:dyDescent="0.2">
      <c r="A8" s="17"/>
      <c r="B8" s="18"/>
      <c r="C8" s="18"/>
      <c r="D8" s="18"/>
      <c r="E8" s="18"/>
      <c r="F8" s="18"/>
      <c r="G8" s="18"/>
      <c r="H8" s="18"/>
      <c r="I8" s="19"/>
    </row>
    <row r="9" spans="1:9" x14ac:dyDescent="0.2">
      <c r="A9" s="17"/>
      <c r="B9" s="18"/>
      <c r="C9" s="18"/>
      <c r="D9" s="18"/>
      <c r="E9" s="18"/>
      <c r="F9" s="18"/>
      <c r="G9" s="18"/>
      <c r="H9" s="18"/>
      <c r="I9" s="19"/>
    </row>
    <row r="10" spans="1:9" x14ac:dyDescent="0.2">
      <c r="A10" s="17"/>
      <c r="B10" s="18"/>
      <c r="C10" s="18"/>
      <c r="D10" s="18"/>
      <c r="E10" s="18"/>
      <c r="F10" s="18"/>
      <c r="G10" s="18"/>
      <c r="H10" s="18"/>
      <c r="I10" s="19"/>
    </row>
    <row r="11" spans="1:9" x14ac:dyDescent="0.2">
      <c r="A11" s="17"/>
      <c r="B11" s="18"/>
      <c r="C11" s="18"/>
      <c r="D11" s="18"/>
      <c r="E11" s="18"/>
      <c r="F11" s="18"/>
      <c r="G11" s="18"/>
      <c r="H11" s="18"/>
      <c r="I11" s="19"/>
    </row>
    <row r="12" spans="1:9" x14ac:dyDescent="0.2">
      <c r="A12" s="17"/>
      <c r="B12" s="18"/>
      <c r="C12" s="18"/>
      <c r="D12" s="18"/>
      <c r="E12" s="18"/>
      <c r="F12" s="18"/>
      <c r="G12" s="18"/>
      <c r="H12" s="18"/>
      <c r="I12" s="19"/>
    </row>
    <row r="13" spans="1:9" x14ac:dyDescent="0.2">
      <c r="A13" s="17"/>
      <c r="B13" s="18"/>
      <c r="C13" s="18"/>
      <c r="D13" s="18"/>
      <c r="E13" s="18"/>
      <c r="F13" s="18"/>
      <c r="G13" s="18"/>
      <c r="H13" s="18"/>
      <c r="I13" s="19"/>
    </row>
    <row r="14" spans="1:9" x14ac:dyDescent="0.2">
      <c r="A14" s="17"/>
      <c r="B14" s="18"/>
      <c r="C14" s="18"/>
      <c r="D14" s="18"/>
      <c r="E14" s="18"/>
      <c r="F14" s="18"/>
      <c r="G14" s="18"/>
      <c r="H14" s="18"/>
      <c r="I14" s="19"/>
    </row>
    <row r="15" spans="1:9" x14ac:dyDescent="0.2">
      <c r="A15" s="17"/>
      <c r="B15" s="18"/>
      <c r="C15" s="18"/>
      <c r="D15" s="18"/>
      <c r="E15" s="18"/>
      <c r="F15" s="18"/>
      <c r="G15" s="18"/>
      <c r="H15" s="18"/>
      <c r="I15" s="19"/>
    </row>
    <row r="16" spans="1:9" x14ac:dyDescent="0.2">
      <c r="A16" s="17"/>
      <c r="B16" s="18"/>
      <c r="C16" s="18"/>
      <c r="D16" s="18"/>
      <c r="E16" s="18"/>
      <c r="F16" s="18"/>
      <c r="G16" s="18"/>
      <c r="H16" s="18"/>
      <c r="I16" s="19"/>
    </row>
    <row r="17" spans="1:9" x14ac:dyDescent="0.2">
      <c r="A17" s="17"/>
      <c r="B17" s="18"/>
      <c r="C17" s="18"/>
      <c r="D17" s="18"/>
      <c r="E17" s="18"/>
      <c r="F17" s="18"/>
      <c r="G17" s="18"/>
      <c r="H17" s="18"/>
      <c r="I17" s="19"/>
    </row>
    <row r="18" spans="1:9" x14ac:dyDescent="0.2">
      <c r="A18" s="17"/>
      <c r="B18" s="18"/>
      <c r="C18" s="18"/>
      <c r="D18" s="18"/>
      <c r="E18" s="18"/>
      <c r="F18" s="18"/>
      <c r="G18" s="18"/>
      <c r="H18" s="18"/>
      <c r="I18" s="19"/>
    </row>
    <row r="19" spans="1:9" x14ac:dyDescent="0.2">
      <c r="A19" s="17"/>
      <c r="B19" s="18"/>
      <c r="C19" s="18"/>
      <c r="D19" s="18"/>
      <c r="E19" s="18"/>
      <c r="F19" s="18"/>
      <c r="G19" s="18"/>
      <c r="H19" s="18"/>
      <c r="I19" s="19"/>
    </row>
    <row r="20" spans="1:9" x14ac:dyDescent="0.2">
      <c r="A20" s="17"/>
      <c r="B20" s="18"/>
      <c r="C20" s="18"/>
      <c r="D20" s="18"/>
      <c r="E20" s="18"/>
      <c r="F20" s="18"/>
      <c r="G20" s="18"/>
      <c r="H20" s="18"/>
      <c r="I20" s="19"/>
    </row>
    <row r="21" spans="1:9" x14ac:dyDescent="0.2">
      <c r="A21" s="17"/>
      <c r="B21" s="18"/>
      <c r="C21" s="18"/>
      <c r="D21" s="18"/>
      <c r="E21" s="18"/>
      <c r="F21" s="18"/>
      <c r="G21" s="18"/>
      <c r="H21" s="18"/>
      <c r="I21" s="19"/>
    </row>
    <row r="22" spans="1:9" x14ac:dyDescent="0.2">
      <c r="A22" s="17"/>
      <c r="B22" s="18"/>
      <c r="C22" s="18"/>
      <c r="D22" s="18"/>
      <c r="E22" s="18"/>
      <c r="F22" s="18"/>
      <c r="G22" s="18"/>
      <c r="H22" s="18"/>
      <c r="I22" s="19"/>
    </row>
    <row r="23" spans="1:9" x14ac:dyDescent="0.2">
      <c r="A23" s="17"/>
      <c r="B23" s="18"/>
      <c r="C23" s="18"/>
      <c r="D23" s="18"/>
      <c r="E23" s="18"/>
      <c r="F23" s="18"/>
      <c r="G23" s="18"/>
      <c r="H23" s="18"/>
      <c r="I23" s="19"/>
    </row>
    <row r="24" spans="1:9" x14ac:dyDescent="0.2">
      <c r="A24" s="17"/>
      <c r="B24" s="18"/>
      <c r="C24" s="18"/>
      <c r="D24" s="18"/>
      <c r="E24" s="18"/>
      <c r="F24" s="18"/>
      <c r="G24" s="18"/>
      <c r="H24" s="18"/>
      <c r="I24" s="19"/>
    </row>
    <row r="25" spans="1:9" x14ac:dyDescent="0.2">
      <c r="A25" s="17"/>
      <c r="B25" s="18"/>
      <c r="C25" s="18"/>
      <c r="D25" s="18"/>
      <c r="E25" s="18"/>
      <c r="F25" s="18"/>
      <c r="G25" s="18"/>
      <c r="H25" s="18"/>
      <c r="I25" s="19"/>
    </row>
    <row r="26" spans="1:9" ht="30" customHeight="1" x14ac:dyDescent="0.2">
      <c r="A26" s="554" t="s">
        <v>644</v>
      </c>
      <c r="B26" s="555"/>
      <c r="C26" s="555"/>
      <c r="D26" s="555"/>
      <c r="E26" s="555"/>
      <c r="F26" s="555"/>
      <c r="G26" s="555"/>
      <c r="H26" s="555"/>
      <c r="I26" s="555"/>
    </row>
    <row r="27" spans="1:9" ht="26.25" x14ac:dyDescent="0.2">
      <c r="A27" s="556" t="s">
        <v>666</v>
      </c>
      <c r="B27" s="556"/>
      <c r="C27" s="556"/>
      <c r="D27" s="556"/>
      <c r="E27" s="556"/>
      <c r="F27" s="556"/>
      <c r="G27" s="556"/>
      <c r="H27" s="556"/>
      <c r="I27" s="556"/>
    </row>
    <row r="28" spans="1:9" ht="26.25" customHeight="1" x14ac:dyDescent="0.2">
      <c r="A28" s="556" t="s">
        <v>669</v>
      </c>
      <c r="B28" s="556"/>
      <c r="C28" s="556"/>
      <c r="D28" s="556"/>
      <c r="E28" s="556"/>
      <c r="F28" s="556"/>
      <c r="G28" s="556"/>
      <c r="H28" s="556"/>
      <c r="I28" s="556"/>
    </row>
    <row r="29" spans="1:9" ht="18" x14ac:dyDescent="0.2">
      <c r="A29" s="590"/>
      <c r="B29" s="590"/>
      <c r="C29" s="590"/>
      <c r="D29" s="590"/>
      <c r="E29" s="590"/>
      <c r="F29" s="590"/>
      <c r="G29" s="590"/>
      <c r="H29" s="590"/>
      <c r="I29" s="590"/>
    </row>
    <row r="30" spans="1:9" x14ac:dyDescent="0.2">
      <c r="A30" s="20"/>
      <c r="B30" s="21"/>
      <c r="C30" s="21"/>
      <c r="D30" s="21"/>
      <c r="E30" s="21"/>
      <c r="F30" s="21"/>
      <c r="G30" s="21"/>
      <c r="H30" s="18"/>
      <c r="I30" s="19"/>
    </row>
    <row r="31" spans="1:9" x14ac:dyDescent="0.2">
      <c r="A31" s="1"/>
      <c r="B31" s="1"/>
      <c r="C31" s="1"/>
      <c r="D31" s="1"/>
      <c r="E31" s="1"/>
      <c r="F31" s="1"/>
      <c r="G31" s="1"/>
      <c r="H31" s="18"/>
      <c r="I31" s="19"/>
    </row>
    <row r="32" spans="1:9" x14ac:dyDescent="0.2">
      <c r="A32" s="1"/>
      <c r="B32" s="1"/>
      <c r="C32" s="1"/>
      <c r="D32" s="1"/>
      <c r="E32" s="1"/>
      <c r="F32" s="1"/>
      <c r="G32" s="1"/>
      <c r="H32" s="18"/>
      <c r="I32" s="19"/>
    </row>
    <row r="33" spans="1:9" x14ac:dyDescent="0.2">
      <c r="A33" s="1"/>
      <c r="B33" s="1"/>
      <c r="C33" s="1"/>
      <c r="D33" s="1"/>
      <c r="E33" s="1"/>
      <c r="F33" s="1"/>
      <c r="G33" s="1"/>
      <c r="H33" s="1"/>
      <c r="I33" s="1"/>
    </row>
    <row r="34" spans="1:9" ht="18.75" x14ac:dyDescent="0.3">
      <c r="A34" s="564" t="s">
        <v>111</v>
      </c>
      <c r="B34" s="564"/>
      <c r="C34" s="564"/>
      <c r="D34" s="22"/>
      <c r="E34" s="22"/>
      <c r="F34" s="22"/>
      <c r="G34" s="22"/>
      <c r="H34" s="22"/>
      <c r="I34" s="22"/>
    </row>
    <row r="35" spans="1:9" x14ac:dyDescent="0.2">
      <c r="A35" s="22"/>
      <c r="B35" s="22"/>
      <c r="C35" s="22"/>
      <c r="D35" s="22"/>
      <c r="E35" s="22"/>
      <c r="F35" s="22"/>
      <c r="G35" s="22"/>
      <c r="H35" s="22"/>
      <c r="I35" s="22"/>
    </row>
    <row r="36" spans="1:9" x14ac:dyDescent="0.2">
      <c r="A36" s="22"/>
      <c r="B36" s="22"/>
      <c r="C36" s="23" t="s">
        <v>1</v>
      </c>
      <c r="D36" s="24" t="s">
        <v>112</v>
      </c>
      <c r="E36" s="563" t="s">
        <v>204</v>
      </c>
      <c r="F36" s="563"/>
      <c r="G36" s="563"/>
      <c r="H36" s="563"/>
      <c r="I36" s="563"/>
    </row>
    <row r="37" spans="1:9" ht="14.25" x14ac:dyDescent="0.25">
      <c r="A37" s="22"/>
      <c r="B37" s="22"/>
      <c r="C37" s="23" t="s">
        <v>113</v>
      </c>
      <c r="D37" s="24" t="s">
        <v>112</v>
      </c>
      <c r="E37" s="563" t="s">
        <v>114</v>
      </c>
      <c r="F37" s="563"/>
      <c r="G37" s="563"/>
      <c r="H37" s="563"/>
      <c r="I37" s="563"/>
    </row>
    <row r="38" spans="1:9" x14ac:dyDescent="0.2">
      <c r="A38" s="22"/>
      <c r="B38" s="22"/>
      <c r="C38" s="23" t="s">
        <v>5</v>
      </c>
      <c r="D38" s="24" t="s">
        <v>112</v>
      </c>
      <c r="E38" s="563" t="s">
        <v>205</v>
      </c>
      <c r="F38" s="563"/>
      <c r="G38" s="563"/>
      <c r="H38" s="563"/>
      <c r="I38" s="563"/>
    </row>
    <row r="39" spans="1:9" x14ac:dyDescent="0.2">
      <c r="A39" s="22"/>
      <c r="B39" s="22"/>
      <c r="C39" s="23" t="s">
        <v>115</v>
      </c>
      <c r="D39" s="24" t="s">
        <v>112</v>
      </c>
      <c r="E39" s="563" t="s">
        <v>116</v>
      </c>
      <c r="F39" s="563"/>
      <c r="G39" s="563"/>
      <c r="H39" s="563"/>
      <c r="I39" s="563"/>
    </row>
    <row r="40" spans="1:9" ht="14.25" x14ac:dyDescent="0.25">
      <c r="A40" s="22"/>
      <c r="B40" s="22"/>
      <c r="C40" s="23" t="s">
        <v>117</v>
      </c>
      <c r="D40" s="24" t="s">
        <v>112</v>
      </c>
      <c r="E40" s="563" t="s">
        <v>118</v>
      </c>
      <c r="F40" s="563"/>
      <c r="G40" s="563"/>
      <c r="H40" s="563"/>
      <c r="I40" s="563"/>
    </row>
    <row r="41" spans="1:9" ht="14.25" x14ac:dyDescent="0.25">
      <c r="A41" s="22"/>
      <c r="B41" s="22"/>
      <c r="C41" s="23" t="s">
        <v>119</v>
      </c>
      <c r="D41" s="24" t="s">
        <v>112</v>
      </c>
      <c r="E41" s="563" t="s">
        <v>120</v>
      </c>
      <c r="F41" s="563"/>
      <c r="G41" s="563"/>
      <c r="H41" s="563"/>
      <c r="I41" s="563"/>
    </row>
    <row r="42" spans="1:9" x14ac:dyDescent="0.2">
      <c r="A42" s="22"/>
      <c r="B42" s="22"/>
      <c r="C42" s="23" t="s">
        <v>7</v>
      </c>
      <c r="D42" s="24" t="s">
        <v>112</v>
      </c>
      <c r="E42" s="563" t="s">
        <v>121</v>
      </c>
      <c r="F42" s="563"/>
      <c r="G42" s="563"/>
      <c r="H42" s="563"/>
      <c r="I42" s="563"/>
    </row>
    <row r="43" spans="1:9" ht="15.75" x14ac:dyDescent="0.25">
      <c r="A43" s="22"/>
      <c r="B43" s="22"/>
      <c r="C43" s="25" t="s">
        <v>122</v>
      </c>
      <c r="D43" s="24" t="s">
        <v>112</v>
      </c>
      <c r="E43" s="563" t="s">
        <v>123</v>
      </c>
      <c r="F43" s="563"/>
      <c r="G43" s="563"/>
      <c r="H43" s="563"/>
      <c r="I43" s="563"/>
    </row>
    <row r="44" spans="1:9" x14ac:dyDescent="0.2">
      <c r="A44" s="22"/>
      <c r="B44" s="22"/>
      <c r="C44" s="26" t="s">
        <v>10</v>
      </c>
      <c r="D44" s="24" t="s">
        <v>112</v>
      </c>
      <c r="E44" s="563" t="s">
        <v>124</v>
      </c>
      <c r="F44" s="563"/>
      <c r="G44" s="563"/>
      <c r="H44" s="563"/>
      <c r="I44" s="563"/>
    </row>
    <row r="45" spans="1:9" x14ac:dyDescent="0.2">
      <c r="A45" s="22"/>
      <c r="B45" s="22"/>
      <c r="C45" s="27" t="s">
        <v>13</v>
      </c>
      <c r="D45" s="24" t="s">
        <v>112</v>
      </c>
      <c r="E45" s="563" t="s">
        <v>125</v>
      </c>
      <c r="F45" s="563"/>
      <c r="G45" s="563"/>
      <c r="H45" s="563"/>
      <c r="I45" s="563"/>
    </row>
    <row r="46" spans="1:9" ht="14.25" x14ac:dyDescent="0.25">
      <c r="A46" s="22"/>
      <c r="B46" s="22"/>
      <c r="C46" s="23" t="s">
        <v>126</v>
      </c>
      <c r="D46" s="24" t="s">
        <v>112</v>
      </c>
      <c r="E46" s="563" t="s">
        <v>127</v>
      </c>
      <c r="F46" s="563"/>
      <c r="G46" s="563"/>
      <c r="H46" s="563"/>
      <c r="I46" s="563"/>
    </row>
    <row r="47" spans="1:9" ht="14.25" x14ac:dyDescent="0.25">
      <c r="A47" s="22"/>
      <c r="B47" s="22"/>
      <c r="C47" s="23" t="s">
        <v>128</v>
      </c>
      <c r="D47" s="24" t="s">
        <v>112</v>
      </c>
      <c r="E47" s="563" t="s">
        <v>27</v>
      </c>
      <c r="F47" s="563"/>
      <c r="G47" s="563"/>
      <c r="H47" s="563"/>
      <c r="I47" s="563"/>
    </row>
    <row r="48" spans="1:9" ht="14.25" x14ac:dyDescent="0.25">
      <c r="A48" s="22"/>
      <c r="B48" s="22"/>
      <c r="C48" s="23" t="s">
        <v>129</v>
      </c>
      <c r="D48" s="24" t="s">
        <v>112</v>
      </c>
      <c r="E48" s="563" t="s">
        <v>130</v>
      </c>
      <c r="F48" s="563"/>
      <c r="G48" s="563"/>
      <c r="H48" s="563"/>
      <c r="I48" s="563"/>
    </row>
    <row r="49" spans="1:9" ht="14.25" x14ac:dyDescent="0.25">
      <c r="A49" s="22"/>
      <c r="B49" s="22"/>
      <c r="C49" s="23" t="s">
        <v>131</v>
      </c>
      <c r="D49" s="24" t="s">
        <v>112</v>
      </c>
      <c r="E49" s="563" t="s">
        <v>132</v>
      </c>
      <c r="F49" s="563"/>
      <c r="G49" s="563"/>
      <c r="H49" s="563"/>
      <c r="I49" s="563"/>
    </row>
    <row r="50" spans="1:9" x14ac:dyDescent="0.2">
      <c r="A50" s="1"/>
      <c r="B50" s="1"/>
      <c r="C50" s="1"/>
      <c r="D50" s="1"/>
      <c r="E50" s="1"/>
      <c r="F50" s="1"/>
      <c r="G50" s="1"/>
      <c r="H50" s="1"/>
      <c r="I50" s="1"/>
    </row>
    <row r="51" spans="1:9" x14ac:dyDescent="0.2">
      <c r="A51" s="1"/>
      <c r="B51" s="1"/>
      <c r="C51" s="1"/>
      <c r="D51" s="1"/>
      <c r="E51" s="1"/>
      <c r="F51" s="1"/>
      <c r="G51" s="1"/>
      <c r="H51" s="1"/>
      <c r="I51" s="1"/>
    </row>
    <row r="52" spans="1:9" x14ac:dyDescent="0.2">
      <c r="A52" s="1"/>
      <c r="B52" s="1"/>
      <c r="C52" s="1"/>
      <c r="D52" s="1"/>
      <c r="E52" s="1"/>
      <c r="F52" s="1"/>
      <c r="G52" s="1"/>
      <c r="H52" s="1"/>
      <c r="I52" s="1"/>
    </row>
    <row r="53" spans="1:9" x14ac:dyDescent="0.2">
      <c r="A53" s="1"/>
      <c r="B53" s="1"/>
      <c r="C53" s="1"/>
      <c r="D53" s="1"/>
      <c r="E53" s="1"/>
      <c r="F53" s="1"/>
      <c r="G53" s="1"/>
      <c r="H53" s="1"/>
      <c r="I53" s="1"/>
    </row>
    <row r="54" spans="1:9" x14ac:dyDescent="0.2">
      <c r="A54" s="1"/>
      <c r="B54" s="1"/>
      <c r="C54" s="1"/>
      <c r="D54" s="1"/>
      <c r="E54" s="1"/>
      <c r="F54" s="1"/>
      <c r="G54" s="1"/>
      <c r="H54" s="1"/>
      <c r="I54" s="1"/>
    </row>
    <row r="55" spans="1:9" x14ac:dyDescent="0.2">
      <c r="A55" s="1"/>
      <c r="B55" s="1"/>
      <c r="C55" s="1"/>
      <c r="D55" s="1"/>
      <c r="E55" s="1"/>
      <c r="F55" s="1"/>
      <c r="G55" s="1"/>
      <c r="H55" s="1"/>
      <c r="I55" s="1"/>
    </row>
    <row r="56" spans="1:9" x14ac:dyDescent="0.2">
      <c r="A56" s="1"/>
      <c r="B56" s="1"/>
      <c r="C56" s="1"/>
      <c r="D56" s="1"/>
      <c r="E56" s="1"/>
      <c r="F56" s="1"/>
      <c r="G56" s="1"/>
      <c r="H56" s="1"/>
      <c r="I56" s="1"/>
    </row>
    <row r="57" spans="1:9" x14ac:dyDescent="0.2">
      <c r="A57" s="1"/>
      <c r="B57" s="1"/>
      <c r="C57" s="1"/>
      <c r="D57" s="1"/>
      <c r="E57" s="1"/>
      <c r="F57" s="1"/>
      <c r="G57" s="1"/>
      <c r="H57" s="1"/>
      <c r="I57" s="1"/>
    </row>
    <row r="58" spans="1:9" x14ac:dyDescent="0.2">
      <c r="A58" s="1"/>
      <c r="B58" s="1"/>
      <c r="C58" s="1"/>
      <c r="D58" s="1"/>
      <c r="E58" s="1"/>
      <c r="F58" s="1"/>
      <c r="G58" s="1"/>
      <c r="H58" s="1"/>
      <c r="I58" s="1"/>
    </row>
    <row r="59" spans="1:9" x14ac:dyDescent="0.2">
      <c r="A59" s="1"/>
      <c r="B59" s="1"/>
      <c r="C59" s="1"/>
      <c r="D59" s="1"/>
      <c r="E59" s="1"/>
      <c r="F59" s="1"/>
      <c r="G59" s="1"/>
      <c r="H59" s="1"/>
      <c r="I59" s="1"/>
    </row>
    <row r="60" spans="1:9" x14ac:dyDescent="0.2">
      <c r="A60" s="1"/>
      <c r="B60" s="1"/>
      <c r="C60" s="1"/>
      <c r="D60" s="1"/>
      <c r="E60" s="1"/>
      <c r="F60" s="1"/>
      <c r="G60" s="1"/>
      <c r="H60" s="1"/>
      <c r="I60" s="1"/>
    </row>
    <row r="61" spans="1:9" x14ac:dyDescent="0.2">
      <c r="A61" s="1"/>
      <c r="B61" s="1"/>
      <c r="C61" s="1"/>
      <c r="D61" s="1"/>
      <c r="E61" s="1"/>
      <c r="F61" s="1"/>
      <c r="G61" s="1"/>
      <c r="H61" s="1"/>
      <c r="I61" s="1"/>
    </row>
    <row r="62" spans="1:9" x14ac:dyDescent="0.2">
      <c r="A62" s="1"/>
      <c r="B62" s="1"/>
      <c r="C62" s="1"/>
      <c r="D62" s="1"/>
      <c r="E62" s="1"/>
      <c r="F62" s="1"/>
      <c r="G62" s="1"/>
      <c r="H62" s="1"/>
      <c r="I62" s="1"/>
    </row>
    <row r="63" spans="1:9" x14ac:dyDescent="0.2">
      <c r="A63" s="1"/>
      <c r="B63" s="1"/>
      <c r="C63" s="1"/>
      <c r="D63" s="1"/>
      <c r="E63" s="1"/>
      <c r="F63" s="1"/>
      <c r="G63" s="1"/>
      <c r="H63" s="1"/>
      <c r="I63" s="1"/>
    </row>
    <row r="64" spans="1:9" x14ac:dyDescent="0.2">
      <c r="A64" s="1"/>
      <c r="B64" s="1"/>
      <c r="C64" s="1"/>
      <c r="D64" s="1"/>
      <c r="E64" s="1"/>
      <c r="F64" s="1"/>
      <c r="G64" s="1"/>
      <c r="H64" s="1"/>
      <c r="I64" s="1"/>
    </row>
    <row r="65" spans="1:26" x14ac:dyDescent="0.2">
      <c r="A65" s="1"/>
      <c r="B65" s="1"/>
      <c r="C65" s="1"/>
      <c r="D65" s="1"/>
      <c r="E65" s="1"/>
      <c r="F65" s="1"/>
      <c r="G65" s="1"/>
      <c r="H65" s="1"/>
      <c r="I65" s="1"/>
    </row>
    <row r="66" spans="1:26" x14ac:dyDescent="0.2">
      <c r="A66" s="1"/>
      <c r="B66" s="1"/>
      <c r="C66" s="1"/>
      <c r="D66" s="1"/>
      <c r="E66" s="1"/>
      <c r="F66" s="1"/>
      <c r="G66" s="1"/>
      <c r="H66" s="1"/>
      <c r="I66" s="1"/>
    </row>
    <row r="67" spans="1:26" x14ac:dyDescent="0.2">
      <c r="A67" s="1"/>
      <c r="B67" s="1"/>
      <c r="C67" s="1"/>
      <c r="D67" s="1"/>
      <c r="E67" s="1"/>
      <c r="F67" s="1"/>
      <c r="G67" s="1"/>
      <c r="H67" s="1"/>
      <c r="I67" s="1"/>
    </row>
    <row r="68" spans="1:26" x14ac:dyDescent="0.2">
      <c r="A68" s="1"/>
      <c r="B68" s="1"/>
      <c r="C68" s="1"/>
      <c r="D68" s="1"/>
      <c r="E68" s="1"/>
      <c r="F68" s="1"/>
      <c r="G68" s="1"/>
      <c r="H68" s="1"/>
      <c r="I68" s="1"/>
    </row>
    <row r="69" spans="1:26" x14ac:dyDescent="0.2">
      <c r="A69" s="1"/>
      <c r="B69" s="1"/>
      <c r="C69" s="1"/>
      <c r="D69" s="1"/>
      <c r="E69" s="1"/>
      <c r="F69" s="1"/>
      <c r="G69" s="1"/>
      <c r="H69" s="1"/>
      <c r="I69" s="1"/>
    </row>
    <row r="70" spans="1:26" x14ac:dyDescent="0.2">
      <c r="A70" s="1"/>
      <c r="B70" s="1"/>
      <c r="C70" s="1"/>
      <c r="D70" s="1"/>
      <c r="E70" s="1"/>
      <c r="F70" s="1"/>
      <c r="G70" s="1"/>
      <c r="H70" s="1"/>
      <c r="I70" s="1"/>
    </row>
    <row r="71" spans="1:26" x14ac:dyDescent="0.2">
      <c r="A71" s="1"/>
      <c r="B71" s="1"/>
      <c r="C71" s="1"/>
      <c r="D71" s="1"/>
      <c r="E71" s="1"/>
      <c r="F71" s="1"/>
      <c r="G71" s="1"/>
      <c r="H71" s="1"/>
      <c r="I71" s="1"/>
    </row>
    <row r="72" spans="1:26" x14ac:dyDescent="0.2">
      <c r="A72" s="1"/>
      <c r="B72" s="1"/>
      <c r="C72" s="1"/>
      <c r="D72" s="1"/>
      <c r="E72" s="1"/>
      <c r="F72" s="1"/>
      <c r="G72" s="1"/>
      <c r="H72" s="1"/>
      <c r="I72" s="1"/>
    </row>
    <row r="73" spans="1:26" x14ac:dyDescent="0.2">
      <c r="A73" s="1"/>
      <c r="B73" s="1"/>
      <c r="C73" s="1"/>
      <c r="D73" s="1"/>
      <c r="E73" s="1"/>
      <c r="F73" s="1"/>
      <c r="G73" s="1"/>
      <c r="H73" s="1"/>
      <c r="I73" s="1"/>
    </row>
    <row r="74" spans="1:26" x14ac:dyDescent="0.2">
      <c r="A74" s="1"/>
      <c r="B74" s="1"/>
      <c r="C74" s="1"/>
      <c r="D74" s="1"/>
      <c r="E74" s="1"/>
      <c r="F74" s="1"/>
      <c r="G74" s="1"/>
      <c r="H74" s="1"/>
      <c r="I74" s="1"/>
    </row>
    <row r="75" spans="1:26" x14ac:dyDescent="0.2">
      <c r="A75" s="1"/>
      <c r="B75" s="1"/>
      <c r="C75" s="1"/>
      <c r="D75" s="1"/>
      <c r="E75" s="1"/>
      <c r="F75" s="1"/>
      <c r="G75" s="1"/>
      <c r="H75" s="1"/>
      <c r="I75" s="1"/>
    </row>
    <row r="76" spans="1:26" ht="13.5" thickBot="1" x14ac:dyDescent="0.25">
      <c r="A76" s="1"/>
      <c r="B76" s="1"/>
      <c r="C76" s="1"/>
      <c r="D76" s="1"/>
      <c r="E76" s="1"/>
      <c r="F76" s="1"/>
      <c r="G76" s="1"/>
      <c r="H76" s="1"/>
      <c r="I76" s="1"/>
    </row>
    <row r="77" spans="1:26" x14ac:dyDescent="0.2">
      <c r="A77" s="1"/>
      <c r="B77" s="1"/>
      <c r="C77" s="1"/>
      <c r="D77" s="1"/>
      <c r="E77" s="1"/>
      <c r="F77" s="1"/>
      <c r="G77" s="1"/>
      <c r="H77" s="1"/>
      <c r="I77" s="1"/>
      <c r="J77" s="30" t="s">
        <v>157</v>
      </c>
      <c r="K77" s="31" t="s">
        <v>158</v>
      </c>
      <c r="L77" s="30" t="s">
        <v>159</v>
      </c>
      <c r="M77" s="30" t="s">
        <v>163</v>
      </c>
      <c r="N77" s="32" t="s">
        <v>334</v>
      </c>
      <c r="O77" s="557" t="s">
        <v>333</v>
      </c>
      <c r="P77" s="558"/>
      <c r="Q77" s="558"/>
      <c r="R77" s="558"/>
      <c r="S77" s="559"/>
      <c r="T77" s="33" t="s">
        <v>634</v>
      </c>
      <c r="U77" s="557" t="s">
        <v>242</v>
      </c>
      <c r="V77" s="558"/>
      <c r="W77" s="558"/>
      <c r="X77" s="558"/>
      <c r="Y77" s="559"/>
      <c r="Z77" s="33" t="s">
        <v>633</v>
      </c>
    </row>
    <row r="78" spans="1:26" ht="13.5" thickBot="1" x14ac:dyDescent="0.25">
      <c r="A78" s="1"/>
      <c r="B78" s="1"/>
      <c r="C78" s="1"/>
      <c r="D78" s="1"/>
      <c r="E78" s="1"/>
      <c r="F78" s="1"/>
      <c r="G78" s="1"/>
      <c r="H78" s="1"/>
      <c r="I78" s="1"/>
      <c r="J78" s="34" t="s">
        <v>160</v>
      </c>
      <c r="K78" s="35"/>
      <c r="L78" s="34" t="s">
        <v>161</v>
      </c>
      <c r="M78" s="34" t="s">
        <v>161</v>
      </c>
      <c r="N78" s="36" t="s">
        <v>161</v>
      </c>
      <c r="O78" s="560" t="s">
        <v>161</v>
      </c>
      <c r="P78" s="561"/>
      <c r="Q78" s="561"/>
      <c r="R78" s="561"/>
      <c r="S78" s="562"/>
      <c r="T78" s="37" t="s">
        <v>161</v>
      </c>
      <c r="U78" s="560" t="s">
        <v>161</v>
      </c>
      <c r="V78" s="561"/>
      <c r="W78" s="561"/>
      <c r="X78" s="561"/>
      <c r="Y78" s="562"/>
      <c r="Z78" s="37" t="s">
        <v>161</v>
      </c>
    </row>
    <row r="79" spans="1:26" x14ac:dyDescent="0.2">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ht="26.25" x14ac:dyDescent="0.4">
      <c r="A81" s="567" t="s">
        <v>374</v>
      </c>
      <c r="B81" s="567"/>
      <c r="C81" s="567"/>
      <c r="D81" s="567"/>
      <c r="E81" s="567"/>
      <c r="F81" s="567"/>
      <c r="G81" s="567"/>
      <c r="H81" s="567"/>
      <c r="I81" s="567"/>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ht="13.5" thickBot="1" x14ac:dyDescent="0.25">
      <c r="A82" s="1"/>
      <c r="B82" s="1"/>
      <c r="C82" s="1"/>
      <c r="D82" s="1"/>
      <c r="E82" s="1"/>
      <c r="F82" s="1"/>
      <c r="G82" s="1"/>
      <c r="H82" s="1"/>
      <c r="I82" s="1"/>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75" x14ac:dyDescent="0.25">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33" t="s">
        <v>333</v>
      </c>
    </row>
    <row r="84" spans="1:27" ht="13.5" thickBot="1" x14ac:dyDescent="0.25">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37" t="s">
        <v>161</v>
      </c>
    </row>
    <row r="85" spans="1:27" x14ac:dyDescent="0.2">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4">
        <f t="shared" ref="AA85:AA92" si="12">lininterp($U$93:$Z$93,U85:Z85,$AA$93)</f>
        <v>2028.5423037716616</v>
      </c>
    </row>
    <row r="86" spans="1:27" x14ac:dyDescent="0.2">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4">
        <f t="shared" si="12"/>
        <v>2028.5423037716616</v>
      </c>
    </row>
    <row r="87" spans="1:27" x14ac:dyDescent="0.2">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3">lininterp($O$94:$S$94,O87:S87,$T$93)</f>
        <v>1.5800203873598371</v>
      </c>
      <c r="U87" s="446">
        <f t="shared" ref="U87:U92" si="14">193000/98.1</f>
        <v>1967.3802242609584</v>
      </c>
      <c r="V87" s="440">
        <f t="shared" ref="V87:V92" si="15">189000/98.1</f>
        <v>1926.605504587156</v>
      </c>
      <c r="W87" s="440">
        <f t="shared" ref="W87:W92" si="16">183000/98.1</f>
        <v>1865.4434250764527</v>
      </c>
      <c r="X87" s="440">
        <f t="shared" ref="X87:X92" si="17">180000/98.1</f>
        <v>1834.8623853211011</v>
      </c>
      <c r="Y87" s="442">
        <f t="shared" ref="Y87:Y92" si="18">174000/98.1</f>
        <v>1773.7003058103976</v>
      </c>
      <c r="Z87" s="447">
        <f t="shared" ref="Z87:Z92" si="19">lininterp($U$94:$Y$94,U87:Y87,$Z$93)</f>
        <v>1967.3802242609584</v>
      </c>
      <c r="AA87" s="44">
        <f t="shared" si="12"/>
        <v>1967.3802242609584</v>
      </c>
    </row>
    <row r="88" spans="1:27" x14ac:dyDescent="0.2">
      <c r="A88" s="1"/>
      <c r="B88" s="5" t="s">
        <v>134</v>
      </c>
      <c r="C88" s="5"/>
      <c r="D88" s="5"/>
      <c r="E88" s="5"/>
      <c r="F88" s="46"/>
      <c r="G88" s="47"/>
      <c r="H88" s="48">
        <f>H86^2/4*PI()*H87</f>
        <v>706.85834705770344</v>
      </c>
      <c r="I88" s="5" t="s">
        <v>305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3"/>
        <v>1.4780835881753314</v>
      </c>
      <c r="U88" s="446">
        <f t="shared" si="14"/>
        <v>1967.3802242609584</v>
      </c>
      <c r="V88" s="440">
        <f t="shared" si="15"/>
        <v>1926.605504587156</v>
      </c>
      <c r="W88" s="440">
        <f t="shared" si="16"/>
        <v>1865.4434250764527</v>
      </c>
      <c r="X88" s="440">
        <f t="shared" si="17"/>
        <v>1834.8623853211011</v>
      </c>
      <c r="Y88" s="442">
        <f t="shared" si="18"/>
        <v>1773.7003058103976</v>
      </c>
      <c r="Z88" s="447">
        <f t="shared" si="19"/>
        <v>1967.3802242609584</v>
      </c>
      <c r="AA88" s="44">
        <f t="shared" si="12"/>
        <v>1967.3802242609584</v>
      </c>
    </row>
    <row r="89" spans="1:27" x14ac:dyDescent="0.2">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3"/>
        <v>1.5800203873598371</v>
      </c>
      <c r="U89" s="446">
        <f t="shared" si="14"/>
        <v>1967.3802242609584</v>
      </c>
      <c r="V89" s="440">
        <f t="shared" si="15"/>
        <v>1926.605504587156</v>
      </c>
      <c r="W89" s="440">
        <f t="shared" si="16"/>
        <v>1865.4434250764527</v>
      </c>
      <c r="X89" s="440">
        <f t="shared" si="17"/>
        <v>1834.8623853211011</v>
      </c>
      <c r="Y89" s="442">
        <f t="shared" si="18"/>
        <v>1773.7003058103976</v>
      </c>
      <c r="Z89" s="447">
        <f t="shared" si="19"/>
        <v>1967.3802242609584</v>
      </c>
      <c r="AA89" s="44">
        <f t="shared" si="12"/>
        <v>1967.3802242609584</v>
      </c>
    </row>
    <row r="90" spans="1:27" x14ac:dyDescent="0.2">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3"/>
        <v>1.4780835881753314</v>
      </c>
      <c r="U90" s="446">
        <f t="shared" si="14"/>
        <v>1967.3802242609584</v>
      </c>
      <c r="V90" s="440">
        <f t="shared" si="15"/>
        <v>1926.605504587156</v>
      </c>
      <c r="W90" s="440">
        <f t="shared" si="16"/>
        <v>1865.4434250764527</v>
      </c>
      <c r="X90" s="440">
        <f t="shared" si="17"/>
        <v>1834.8623853211011</v>
      </c>
      <c r="Y90" s="442">
        <f t="shared" si="18"/>
        <v>1773.7003058103976</v>
      </c>
      <c r="Z90" s="447">
        <f t="shared" si="19"/>
        <v>1967.3802242609584</v>
      </c>
      <c r="AA90" s="44">
        <f t="shared" si="12"/>
        <v>1967.3802242609584</v>
      </c>
    </row>
    <row r="91" spans="1:27" x14ac:dyDescent="0.2">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3"/>
        <v>1.5800203873598371</v>
      </c>
      <c r="U91" s="446">
        <f t="shared" si="14"/>
        <v>1967.3802242609584</v>
      </c>
      <c r="V91" s="440">
        <f t="shared" si="15"/>
        <v>1926.605504587156</v>
      </c>
      <c r="W91" s="440">
        <f t="shared" si="16"/>
        <v>1865.4434250764527</v>
      </c>
      <c r="X91" s="440">
        <f t="shared" si="17"/>
        <v>1834.8623853211011</v>
      </c>
      <c r="Y91" s="442">
        <f t="shared" si="18"/>
        <v>1773.7003058103976</v>
      </c>
      <c r="Z91" s="447">
        <f t="shared" si="19"/>
        <v>1967.3802242609584</v>
      </c>
      <c r="AA91" s="44">
        <f t="shared" si="12"/>
        <v>1967.3802242609584</v>
      </c>
    </row>
    <row r="92" spans="1:27" ht="13.5" thickBot="1" x14ac:dyDescent="0.25">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3"/>
        <v>1.5800203873598371</v>
      </c>
      <c r="U92" s="446">
        <f t="shared" si="14"/>
        <v>1967.3802242609584</v>
      </c>
      <c r="V92" s="440">
        <f t="shared" si="15"/>
        <v>1926.605504587156</v>
      </c>
      <c r="W92" s="440">
        <f t="shared" si="16"/>
        <v>1865.4434250764527</v>
      </c>
      <c r="X92" s="440">
        <f t="shared" si="17"/>
        <v>1834.8623853211011</v>
      </c>
      <c r="Y92" s="442">
        <f t="shared" si="18"/>
        <v>1773.7003058103976</v>
      </c>
      <c r="Z92" s="447">
        <f t="shared" si="19"/>
        <v>1967.3802242609584</v>
      </c>
      <c r="AA92" s="44">
        <f t="shared" si="12"/>
        <v>1967.3802242609584</v>
      </c>
    </row>
    <row r="93" spans="1:27" ht="13.5" thickBot="1" x14ac:dyDescent="0.2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58">
        <f>H92</f>
        <v>40</v>
      </c>
    </row>
    <row r="94" spans="1:27" ht="13.5" thickBot="1" x14ac:dyDescent="0.2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N94" s="15"/>
      <c r="O94" s="61">
        <v>40</v>
      </c>
      <c r="P94" s="56">
        <v>90</v>
      </c>
      <c r="Q94" s="56">
        <v>150</v>
      </c>
      <c r="R94" s="56">
        <v>200</v>
      </c>
      <c r="S94" s="57">
        <v>260</v>
      </c>
      <c r="U94" s="61">
        <v>40</v>
      </c>
      <c r="V94" s="56">
        <v>90</v>
      </c>
      <c r="W94" s="56">
        <v>150</v>
      </c>
      <c r="X94" s="56">
        <v>200</v>
      </c>
      <c r="Y94" s="57">
        <v>260</v>
      </c>
    </row>
    <row r="95" spans="1:27" x14ac:dyDescent="0.2">
      <c r="A95" s="1"/>
      <c r="B95" s="1"/>
      <c r="C95" s="1"/>
      <c r="D95" s="1"/>
      <c r="E95" s="1"/>
      <c r="F95" s="1"/>
      <c r="G95" s="67" t="str">
        <f>IF(H92&gt;260,"Temperatura muy alta","")</f>
        <v/>
      </c>
      <c r="H95" s="47"/>
      <c r="I95" s="1"/>
      <c r="N95" s="29"/>
      <c r="O95" s="29"/>
      <c r="P95" s="65"/>
      <c r="Q95" s="66"/>
      <c r="R95" s="29"/>
      <c r="S95" s="29"/>
      <c r="T95" s="29"/>
      <c r="U95" s="29"/>
    </row>
    <row r="96" spans="1:27" s="74" customFormat="1" ht="12.75" customHeight="1" thickBot="1" x14ac:dyDescent="0.25">
      <c r="A96" s="68"/>
      <c r="B96" s="68"/>
      <c r="C96" s="68"/>
      <c r="D96" s="68"/>
      <c r="E96" s="68"/>
      <c r="F96" s="68"/>
      <c r="G96" s="68"/>
      <c r="H96" s="69"/>
      <c r="I96" s="68"/>
      <c r="J96" s="70"/>
      <c r="K96" s="70"/>
      <c r="L96" s="70"/>
      <c r="M96" s="71"/>
      <c r="N96" s="72"/>
      <c r="O96" s="73"/>
      <c r="P96" s="73"/>
      <c r="Q96" s="73"/>
      <c r="R96" s="73"/>
      <c r="S96" s="73"/>
      <c r="T96" s="73"/>
      <c r="U96" s="73"/>
    </row>
    <row r="97" spans="1:22" x14ac:dyDescent="0.2">
      <c r="A97" s="75" t="s">
        <v>512</v>
      </c>
      <c r="B97" s="76"/>
      <c r="C97" s="76"/>
      <c r="D97" s="76"/>
      <c r="E97" s="76"/>
      <c r="F97" s="76"/>
      <c r="G97" s="69"/>
      <c r="H97" s="77"/>
      <c r="I97" s="76"/>
      <c r="J97" s="78" t="s">
        <v>137</v>
      </c>
      <c r="K97" s="79" t="s">
        <v>141</v>
      </c>
      <c r="L97" s="80" t="s">
        <v>107</v>
      </c>
      <c r="M97" s="81"/>
      <c r="P97" s="82"/>
      <c r="Q97" s="73"/>
      <c r="R97" s="73"/>
      <c r="S97" s="73"/>
      <c r="T97" s="73"/>
      <c r="U97" s="73"/>
      <c r="V97" s="16"/>
    </row>
    <row r="98" spans="1:22" ht="12" customHeight="1" x14ac:dyDescent="0.2">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x14ac:dyDescent="0.2">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3.5" thickBot="1" x14ac:dyDescent="0.2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5" thickBot="1" x14ac:dyDescent="0.25">
      <c r="A101" s="1"/>
      <c r="B101" s="1"/>
      <c r="C101" s="1"/>
      <c r="D101" s="1"/>
      <c r="E101" s="1"/>
      <c r="F101" s="1"/>
      <c r="G101" s="1"/>
      <c r="H101" s="47"/>
      <c r="I101" s="1"/>
      <c r="J101" s="454">
        <v>2</v>
      </c>
      <c r="K101" s="84"/>
      <c r="L101" s="91"/>
      <c r="M101" s="81"/>
      <c r="O101" s="92"/>
      <c r="P101" s="86"/>
      <c r="Q101" s="86"/>
      <c r="R101" s="86"/>
      <c r="S101" s="87"/>
      <c r="T101" s="22"/>
      <c r="U101" s="22"/>
      <c r="V101" s="16"/>
    </row>
    <row r="102" spans="1:22" ht="13.5" thickBot="1" x14ac:dyDescent="0.25">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5" thickBot="1" x14ac:dyDescent="0.25">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5" thickBot="1" x14ac:dyDescent="0.25">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5" thickBot="1" x14ac:dyDescent="0.25">
      <c r="A108" s="1"/>
      <c r="B108" s="5" t="s">
        <v>224</v>
      </c>
      <c r="C108" s="1"/>
      <c r="D108" s="1"/>
      <c r="E108" s="1"/>
      <c r="F108" s="46" t="s">
        <v>221</v>
      </c>
      <c r="G108" s="47" t="s">
        <v>2</v>
      </c>
      <c r="H108" s="47">
        <v>4</v>
      </c>
      <c r="I108" s="1"/>
      <c r="M108" s="81"/>
      <c r="N108" s="86"/>
      <c r="O108" s="101"/>
      <c r="P108" s="86"/>
      <c r="Q108" s="86"/>
      <c r="R108" s="86"/>
      <c r="S108" s="94"/>
      <c r="T108" s="22"/>
      <c r="U108" s="22"/>
      <c r="V108" s="16"/>
    </row>
    <row r="109" spans="1:22" x14ac:dyDescent="0.2">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x14ac:dyDescent="0.2">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5" thickBot="1" x14ac:dyDescent="0.25">
      <c r="A113" s="1"/>
      <c r="B113" s="106"/>
      <c r="C113" s="1"/>
      <c r="D113" s="1"/>
      <c r="E113" s="1"/>
      <c r="F113" s="46"/>
      <c r="G113" s="47"/>
      <c r="H113" s="395">
        <v>0</v>
      </c>
      <c r="I113" s="1"/>
      <c r="J113" s="88" t="s">
        <v>149</v>
      </c>
      <c r="K113" s="89">
        <f>K112+1</f>
        <v>4</v>
      </c>
      <c r="L113" s="107">
        <v>1.35</v>
      </c>
      <c r="M113" s="108">
        <v>1.8</v>
      </c>
      <c r="O113" s="86"/>
      <c r="P113" s="86"/>
      <c r="Q113" s="86"/>
      <c r="R113" s="109"/>
      <c r="S113" s="87"/>
      <c r="T113" s="22"/>
      <c r="U113" s="22"/>
      <c r="V113" s="16"/>
    </row>
    <row r="114" spans="1:22" ht="13.5" thickBot="1" x14ac:dyDescent="0.25">
      <c r="A114" s="1"/>
      <c r="B114" s="1"/>
      <c r="C114" s="1"/>
      <c r="D114" s="1"/>
      <c r="E114" s="1"/>
      <c r="F114" s="1"/>
      <c r="G114" s="1"/>
      <c r="H114" s="47"/>
      <c r="I114" s="1"/>
      <c r="J114" s="455">
        <v>3</v>
      </c>
      <c r="P114" s="12"/>
    </row>
    <row r="115" spans="1:22" ht="13.5" thickBot="1" x14ac:dyDescent="0.25">
      <c r="A115" s="1"/>
      <c r="B115" s="1"/>
      <c r="C115" s="1"/>
      <c r="D115" s="1"/>
      <c r="E115" s="1"/>
      <c r="F115" s="1"/>
      <c r="G115" s="1"/>
      <c r="H115" s="47"/>
      <c r="I115" s="1"/>
      <c r="P115" s="12"/>
    </row>
    <row r="116" spans="1:22" ht="13.5" thickBot="1" x14ac:dyDescent="0.25">
      <c r="A116" s="38" t="s">
        <v>514</v>
      </c>
      <c r="B116" s="1"/>
      <c r="C116" s="1"/>
      <c r="D116" s="1"/>
      <c r="E116" s="1"/>
      <c r="F116" s="1"/>
      <c r="G116" s="1"/>
      <c r="H116" s="95"/>
      <c r="I116" s="5"/>
      <c r="J116" s="110" t="s">
        <v>323</v>
      </c>
      <c r="K116" s="456" t="b">
        <v>0</v>
      </c>
      <c r="P116" s="12"/>
    </row>
    <row r="117" spans="1:22" x14ac:dyDescent="0.2">
      <c r="A117" s="1"/>
      <c r="B117" s="5" t="s">
        <v>76</v>
      </c>
      <c r="C117" s="5"/>
      <c r="D117" s="5"/>
      <c r="E117" s="5"/>
      <c r="F117" s="5"/>
      <c r="G117" s="47"/>
      <c r="H117" s="51">
        <f>PI()*H86^2/4*0.122</f>
        <v>9.5818575934488699</v>
      </c>
      <c r="I117" s="5" t="s">
        <v>14</v>
      </c>
      <c r="J117" s="65"/>
      <c r="K117" s="65"/>
      <c r="L117" s="65"/>
      <c r="M117" s="65"/>
      <c r="N117" s="65"/>
      <c r="O117" s="65"/>
      <c r="P117" s="12"/>
    </row>
    <row r="118" spans="1:22" x14ac:dyDescent="0.2">
      <c r="A118" s="1"/>
      <c r="B118" s="5" t="s">
        <v>15</v>
      </c>
      <c r="C118" s="5"/>
      <c r="D118" s="5"/>
      <c r="E118" s="5"/>
      <c r="F118" s="5"/>
      <c r="G118" s="47"/>
      <c r="H118" s="451">
        <v>1</v>
      </c>
      <c r="I118" s="5" t="s">
        <v>14</v>
      </c>
    </row>
    <row r="119" spans="1:22" x14ac:dyDescent="0.2">
      <c r="A119" s="1"/>
      <c r="B119" s="5" t="s">
        <v>16</v>
      </c>
      <c r="C119" s="5"/>
      <c r="D119" s="5"/>
      <c r="E119" s="5"/>
      <c r="F119" s="5"/>
      <c r="G119" s="47"/>
      <c r="H119" s="51">
        <f>+MAX(H117,H118)</f>
        <v>9.5818575934488699</v>
      </c>
      <c r="I119" s="5" t="s">
        <v>14</v>
      </c>
    </row>
    <row r="120" spans="1:22" x14ac:dyDescent="0.2">
      <c r="A120" s="1"/>
      <c r="B120" s="5" t="s">
        <v>17</v>
      </c>
      <c r="C120" s="5"/>
      <c r="D120" s="5"/>
      <c r="E120" s="5"/>
      <c r="F120" s="5"/>
      <c r="G120" s="47"/>
      <c r="H120" s="451">
        <v>0</v>
      </c>
      <c r="I120" s="5" t="s">
        <v>18</v>
      </c>
    </row>
    <row r="121" spans="1:22" ht="13.5" thickBot="1" x14ac:dyDescent="0.25">
      <c r="A121" s="1"/>
      <c r="B121" s="5" t="s">
        <v>19</v>
      </c>
      <c r="C121" s="5"/>
      <c r="D121" s="5"/>
      <c r="E121" s="5"/>
      <c r="F121" s="5"/>
      <c r="G121" s="47"/>
      <c r="H121" s="451">
        <v>1</v>
      </c>
      <c r="I121" s="5" t="s">
        <v>14</v>
      </c>
      <c r="K121" s="81"/>
      <c r="L121" s="81"/>
      <c r="M121" s="81"/>
      <c r="O121" s="86"/>
      <c r="P121" s="86"/>
      <c r="Q121" s="86"/>
      <c r="R121" s="86"/>
      <c r="S121" s="87"/>
      <c r="T121" s="487"/>
      <c r="U121" s="487"/>
      <c r="V121" s="16"/>
    </row>
    <row r="122" spans="1:22" x14ac:dyDescent="0.2">
      <c r="A122" s="1"/>
      <c r="B122" s="1"/>
      <c r="C122" s="1"/>
      <c r="D122" s="1"/>
      <c r="E122" s="1"/>
      <c r="F122" s="1"/>
      <c r="G122" s="1"/>
      <c r="H122" s="47"/>
      <c r="I122" s="1"/>
      <c r="J122" s="216" t="s">
        <v>620</v>
      </c>
      <c r="K122" s="463"/>
      <c r="L122" s="463"/>
      <c r="M122" s="463"/>
      <c r="N122" s="464"/>
      <c r="P122" s="86"/>
      <c r="Q122" s="86"/>
      <c r="R122" s="86"/>
      <c r="S122" s="94"/>
      <c r="T122" s="488"/>
      <c r="U122" s="488"/>
      <c r="V122" s="16"/>
    </row>
    <row r="123" spans="1:22" x14ac:dyDescent="0.2">
      <c r="A123" s="1"/>
      <c r="B123" s="1"/>
      <c r="C123" s="1"/>
      <c r="D123" s="1"/>
      <c r="E123" s="1"/>
      <c r="F123" s="1"/>
      <c r="G123" s="1"/>
      <c r="H123" s="47"/>
      <c r="I123" s="1"/>
      <c r="J123" s="218" t="s">
        <v>621</v>
      </c>
      <c r="K123" s="153"/>
      <c r="L123" s="153"/>
      <c r="M123" s="153"/>
      <c r="N123" s="465"/>
      <c r="P123" s="86"/>
      <c r="Q123" s="86"/>
      <c r="R123" s="86"/>
      <c r="S123" s="94"/>
      <c r="T123" s="488"/>
      <c r="U123" s="488"/>
      <c r="V123" s="16"/>
    </row>
    <row r="124" spans="1:22" ht="13.5" thickBot="1" x14ac:dyDescent="0.25">
      <c r="A124" s="1"/>
      <c r="B124" s="1"/>
      <c r="C124" s="1"/>
      <c r="D124" s="1"/>
      <c r="E124" s="1"/>
      <c r="F124" s="1"/>
      <c r="G124" s="1"/>
      <c r="H124" s="47"/>
      <c r="I124" s="1"/>
      <c r="J124" s="462">
        <v>1</v>
      </c>
      <c r="K124" s="466"/>
      <c r="L124" s="466"/>
      <c r="M124" s="466"/>
      <c r="N124" s="467"/>
      <c r="P124" s="86"/>
      <c r="Q124" s="86"/>
      <c r="R124" s="86"/>
      <c r="S124" s="94"/>
      <c r="T124" s="488"/>
      <c r="U124" s="488"/>
      <c r="V124" s="16"/>
    </row>
    <row r="125" spans="1:22" x14ac:dyDescent="0.2">
      <c r="A125" s="38" t="s">
        <v>515</v>
      </c>
      <c r="B125" s="1"/>
      <c r="C125" s="1"/>
      <c r="D125" s="1"/>
      <c r="E125" s="1"/>
      <c r="F125" s="1"/>
      <c r="G125" s="1"/>
      <c r="H125" s="51"/>
      <c r="I125" s="5"/>
      <c r="P125" s="86"/>
      <c r="Q125" s="86"/>
      <c r="R125" s="86"/>
      <c r="S125" s="94"/>
      <c r="T125" s="488"/>
      <c r="U125" s="488"/>
      <c r="V125" s="16"/>
    </row>
    <row r="126" spans="1:22" x14ac:dyDescent="0.2">
      <c r="A126" s="1"/>
      <c r="B126" s="5" t="s">
        <v>9</v>
      </c>
      <c r="C126" s="5"/>
      <c r="D126" s="5"/>
      <c r="E126" s="5"/>
      <c r="F126" s="46" t="s">
        <v>72</v>
      </c>
      <c r="G126" s="47" t="s">
        <v>2</v>
      </c>
      <c r="H126" s="451">
        <v>2</v>
      </c>
      <c r="I126" s="5" t="s">
        <v>3</v>
      </c>
      <c r="P126" s="86"/>
      <c r="Q126" s="86"/>
      <c r="R126" s="86"/>
      <c r="S126" s="94"/>
      <c r="T126" s="488"/>
      <c r="U126" s="488"/>
      <c r="V126" s="16"/>
    </row>
    <row r="127" spans="1:22" x14ac:dyDescent="0.2">
      <c r="A127" s="1"/>
      <c r="B127" s="5" t="s">
        <v>73</v>
      </c>
      <c r="C127" s="5"/>
      <c r="D127" s="5"/>
      <c r="E127" s="5"/>
      <c r="F127" s="102" t="s">
        <v>10</v>
      </c>
      <c r="G127" s="47" t="s">
        <v>2</v>
      </c>
      <c r="H127" s="51">
        <f>ATAN(2*H126/H86)*180/PI()</f>
        <v>21.801409486351812</v>
      </c>
      <c r="I127" s="5" t="str">
        <f>"° "&amp;IF(AND(H127&lt;37,H127&gt;9.5),"OK","No Cumple")</f>
        <v>° OK</v>
      </c>
      <c r="P127" s="86"/>
      <c r="Q127" s="86"/>
      <c r="R127" s="86"/>
      <c r="S127" s="94"/>
      <c r="T127" s="488"/>
      <c r="U127" s="488"/>
      <c r="V127" s="16"/>
    </row>
    <row r="128" spans="1:22" x14ac:dyDescent="0.2">
      <c r="A128" s="1"/>
      <c r="B128" s="5" t="s">
        <v>193</v>
      </c>
      <c r="C128" s="5"/>
      <c r="D128" s="5"/>
      <c r="E128" s="5"/>
      <c r="F128" s="5"/>
      <c r="G128" s="47"/>
      <c r="H128" s="111">
        <f>IF(H126=0,"X",IF((H130+H119)/PI()/H86^2*4&lt;0.22,H86/0.3048/400/SIN(H127*PI()/180)*25.4+H98,H86/0.3048/400/SIN(H127*PI()/180)*25.4*SQRT((H130+H119)/PI()/H86^2*4/0.22)+H98))</f>
        <v>7.6095466740984419</v>
      </c>
      <c r="I128" s="112" t="str">
        <f>"mm "&amp;IF(AND(H128&lt;12.5,H128&gt;5),"OK","No Cumple")</f>
        <v>mm OK</v>
      </c>
      <c r="P128" s="86"/>
      <c r="Q128" s="86"/>
      <c r="R128" s="86"/>
      <c r="S128" s="94"/>
      <c r="T128" s="488"/>
      <c r="U128" s="488"/>
      <c r="V128" s="16"/>
    </row>
    <row r="129" spans="1:22" x14ac:dyDescent="0.2">
      <c r="A129" s="1"/>
      <c r="B129" s="5" t="s">
        <v>23</v>
      </c>
      <c r="C129" s="5"/>
      <c r="D129" s="5"/>
      <c r="E129" s="5"/>
      <c r="F129" s="46" t="s">
        <v>133</v>
      </c>
      <c r="G129" s="47" t="s">
        <v>2</v>
      </c>
      <c r="H129" s="452">
        <v>8</v>
      </c>
      <c r="I129" s="112" t="str">
        <f>"mm "&amp;IF(AND(H129&lt;12.5,H129&gt;5,H129&gt;=H128),"OK","No Cumple")</f>
        <v>mm OK</v>
      </c>
      <c r="P129" s="86"/>
      <c r="Q129" s="86"/>
      <c r="R129" s="86"/>
      <c r="S129" s="94"/>
      <c r="T129" s="488"/>
      <c r="U129" s="488"/>
      <c r="V129" s="16"/>
    </row>
    <row r="130" spans="1:22" x14ac:dyDescent="0.2">
      <c r="A130" s="1"/>
      <c r="B130" s="5" t="s">
        <v>24</v>
      </c>
      <c r="C130" s="5"/>
      <c r="D130" s="5"/>
      <c r="E130" s="5"/>
      <c r="F130" s="5"/>
      <c r="G130" s="47"/>
      <c r="H130" s="111">
        <f>PI()*H86*H86/4/COS(H127*PI()/180)*H129/1000*7.85</f>
        <v>5.3122501776897124</v>
      </c>
      <c r="I130" s="112" t="s">
        <v>14</v>
      </c>
      <c r="P130" s="86"/>
      <c r="Q130" s="86"/>
      <c r="R130" s="86"/>
      <c r="S130" s="94"/>
      <c r="T130" s="488"/>
      <c r="U130" s="488"/>
      <c r="V130" s="16"/>
    </row>
    <row r="131" spans="1:22" x14ac:dyDescent="0.2">
      <c r="A131" s="1"/>
      <c r="B131" s="5" t="s">
        <v>192</v>
      </c>
      <c r="C131" s="5"/>
      <c r="D131" s="5"/>
      <c r="E131" s="5"/>
      <c r="F131" s="5"/>
      <c r="G131" s="47"/>
      <c r="H131" s="111">
        <f>PI()*H86*H86/4/COS(H127*PI()/180)*H129/1000*7.85+H119*H120/100</f>
        <v>5.3122501776897124</v>
      </c>
      <c r="I131" s="112" t="s">
        <v>14</v>
      </c>
      <c r="P131" s="86"/>
      <c r="Q131" s="86"/>
      <c r="R131" s="86"/>
      <c r="S131" s="94"/>
      <c r="T131" s="488"/>
      <c r="U131" s="488"/>
      <c r="V131" s="16"/>
    </row>
    <row r="132" spans="1:22" x14ac:dyDescent="0.2">
      <c r="A132" s="1"/>
      <c r="B132" s="1"/>
      <c r="C132" s="1"/>
      <c r="D132" s="1"/>
      <c r="E132" s="1"/>
      <c r="F132" s="1"/>
      <c r="G132" s="1"/>
      <c r="H132" s="1"/>
      <c r="I132" s="1"/>
      <c r="P132" s="86"/>
      <c r="Q132" s="86"/>
      <c r="R132" s="113"/>
      <c r="S132" s="114"/>
      <c r="T132" s="115"/>
      <c r="U132" s="115"/>
      <c r="V132" s="16"/>
    </row>
    <row r="133" spans="1:22" x14ac:dyDescent="0.2">
      <c r="A133" s="1"/>
      <c r="B133" s="1"/>
      <c r="C133" s="1"/>
      <c r="D133" s="1"/>
      <c r="E133" s="1"/>
      <c r="F133" s="1"/>
      <c r="G133" s="1"/>
      <c r="H133" s="116"/>
      <c r="I133" s="1"/>
      <c r="P133" s="86"/>
      <c r="Q133" s="86"/>
      <c r="R133" s="113"/>
      <c r="S133" s="114"/>
      <c r="T133" s="115"/>
      <c r="U133" s="115"/>
      <c r="V133" s="16"/>
    </row>
    <row r="134" spans="1:22" ht="15.75" x14ac:dyDescent="0.25">
      <c r="A134" s="117" t="s">
        <v>562</v>
      </c>
      <c r="B134" s="1"/>
      <c r="C134" s="1"/>
      <c r="D134" s="1"/>
      <c r="E134" s="1"/>
      <c r="F134" s="1"/>
      <c r="G134" s="1"/>
      <c r="H134" s="1"/>
      <c r="I134" s="1"/>
      <c r="P134" s="86"/>
      <c r="Q134" s="86"/>
      <c r="R134" s="113"/>
      <c r="S134" s="114"/>
      <c r="T134" s="115"/>
      <c r="U134" s="115"/>
    </row>
    <row r="135" spans="1:22" x14ac:dyDescent="0.2">
      <c r="A135" s="1"/>
      <c r="B135" s="1"/>
      <c r="C135" s="1"/>
      <c r="D135" s="1"/>
      <c r="E135" s="1"/>
      <c r="F135" s="1"/>
      <c r="G135" s="1"/>
      <c r="H135" s="1"/>
      <c r="I135" s="1"/>
      <c r="P135" s="86"/>
      <c r="Q135" s="86"/>
      <c r="R135" s="113"/>
      <c r="S135" s="114"/>
      <c r="T135" s="115"/>
      <c r="U135" s="115"/>
    </row>
    <row r="136" spans="1:22" x14ac:dyDescent="0.2">
      <c r="A136" s="38" t="s">
        <v>517</v>
      </c>
      <c r="B136" s="1"/>
      <c r="C136" s="1"/>
      <c r="D136" s="1"/>
      <c r="E136" s="1"/>
      <c r="F136" s="1"/>
      <c r="G136" s="1"/>
      <c r="H136" s="1"/>
      <c r="I136" s="1"/>
      <c r="P136" s="86"/>
      <c r="Q136" s="86"/>
      <c r="R136" s="113"/>
      <c r="S136" s="114"/>
      <c r="T136" s="115"/>
      <c r="U136" s="115"/>
    </row>
    <row r="137" spans="1:22" ht="13.5" thickBot="1" x14ac:dyDescent="0.25">
      <c r="A137" s="1"/>
      <c r="B137" s="1"/>
      <c r="C137" s="1"/>
      <c r="D137" s="1"/>
      <c r="E137" s="1"/>
      <c r="F137" s="1"/>
      <c r="G137" s="1"/>
      <c r="H137" s="1"/>
      <c r="I137" s="1"/>
      <c r="P137" s="86"/>
      <c r="Q137" s="86"/>
      <c r="R137" s="86"/>
      <c r="S137" s="87"/>
      <c r="T137" s="22"/>
      <c r="U137" s="22"/>
    </row>
    <row r="138" spans="1:22" ht="12.75" customHeight="1" x14ac:dyDescent="0.2">
      <c r="A138" s="1"/>
      <c r="B138" s="1"/>
      <c r="C138" s="118"/>
      <c r="D138" s="119" t="s">
        <v>194</v>
      </c>
      <c r="E138" s="120"/>
      <c r="F138" s="121" t="s">
        <v>25</v>
      </c>
      <c r="G138" s="1"/>
      <c r="H138" s="1"/>
      <c r="I138" s="1"/>
      <c r="P138" s="86"/>
      <c r="Q138" s="86"/>
      <c r="R138" s="113"/>
      <c r="S138" s="94"/>
      <c r="T138" s="22"/>
      <c r="U138" s="22"/>
    </row>
    <row r="139" spans="1:22" ht="12.75" customHeight="1" thickBot="1" x14ac:dyDescent="0.25">
      <c r="A139" s="1"/>
      <c r="B139" s="1"/>
      <c r="C139" s="122"/>
      <c r="D139" s="123" t="s">
        <v>3</v>
      </c>
      <c r="E139" s="124"/>
      <c r="F139" s="124" t="s">
        <v>11</v>
      </c>
      <c r="G139" s="1"/>
      <c r="H139" s="1"/>
      <c r="I139" s="1"/>
      <c r="P139" s="86"/>
      <c r="Q139" s="86"/>
      <c r="R139" s="113"/>
      <c r="S139" s="114"/>
      <c r="T139" s="22"/>
      <c r="U139" s="22"/>
    </row>
    <row r="140" spans="1:22" x14ac:dyDescent="0.2">
      <c r="A140" s="1"/>
      <c r="B140" s="1"/>
      <c r="C140" s="125"/>
      <c r="D140" s="126" t="s">
        <v>195</v>
      </c>
      <c r="E140" s="10"/>
      <c r="F140" s="10">
        <v>5</v>
      </c>
      <c r="G140" s="1"/>
      <c r="H140" s="1"/>
      <c r="I140" s="1"/>
      <c r="P140" s="86"/>
      <c r="Q140" s="86"/>
      <c r="R140" s="113"/>
      <c r="S140" s="114"/>
      <c r="T140" s="22"/>
      <c r="U140" s="22"/>
    </row>
    <row r="141" spans="1:22" x14ac:dyDescent="0.2">
      <c r="A141" s="1"/>
      <c r="B141" s="1"/>
      <c r="C141" s="125"/>
      <c r="D141" s="126" t="s">
        <v>196</v>
      </c>
      <c r="E141" s="10"/>
      <c r="F141" s="10">
        <v>6</v>
      </c>
      <c r="G141" s="1"/>
      <c r="H141" s="1"/>
      <c r="I141" s="1"/>
      <c r="O141" s="86"/>
      <c r="P141" s="86"/>
      <c r="Q141" s="86"/>
      <c r="R141" s="113"/>
      <c r="S141" s="114"/>
      <c r="T141" s="22"/>
      <c r="U141" s="22"/>
    </row>
    <row r="142" spans="1:22" x14ac:dyDescent="0.2">
      <c r="A142" s="1"/>
      <c r="B142" s="1"/>
      <c r="C142" s="125"/>
      <c r="D142" s="126" t="s">
        <v>197</v>
      </c>
      <c r="E142" s="10"/>
      <c r="F142" s="10">
        <v>8</v>
      </c>
      <c r="G142" s="1"/>
      <c r="H142" s="1"/>
      <c r="I142" s="1"/>
      <c r="Q142" s="86"/>
      <c r="R142" s="113"/>
      <c r="S142" s="114"/>
      <c r="T142" s="22"/>
      <c r="U142" s="22"/>
    </row>
    <row r="143" spans="1:22" ht="12.75" customHeight="1" thickBot="1" x14ac:dyDescent="0.25">
      <c r="A143" s="1"/>
      <c r="B143" s="1"/>
      <c r="C143" s="122"/>
      <c r="D143" s="7" t="s">
        <v>198</v>
      </c>
      <c r="E143" s="9"/>
      <c r="F143" s="9">
        <v>10</v>
      </c>
      <c r="G143" s="1"/>
      <c r="H143" s="1"/>
      <c r="I143" s="1"/>
      <c r="Q143" s="86"/>
      <c r="R143" s="113"/>
      <c r="S143" s="114"/>
      <c r="T143" s="22"/>
      <c r="U143" s="22"/>
    </row>
    <row r="144" spans="1:22" ht="15.75" x14ac:dyDescent="0.3">
      <c r="A144" s="1"/>
      <c r="B144" s="1"/>
      <c r="C144" s="1"/>
      <c r="D144" s="127" t="s">
        <v>201</v>
      </c>
      <c r="E144" s="1">
        <f>IF(H86&lt;15,5,IF(H86&lt;36,6,IF(H86&lt;60,8,10)))</f>
        <v>5</v>
      </c>
      <c r="F144" s="5" t="s">
        <v>11</v>
      </c>
      <c r="G144" s="1"/>
      <c r="H144" s="1"/>
      <c r="I144" s="1"/>
      <c r="Q144" s="86"/>
      <c r="R144" s="113"/>
      <c r="S144" s="114"/>
      <c r="T144" s="22"/>
      <c r="U144" s="22"/>
    </row>
    <row r="145" spans="1:21" x14ac:dyDescent="0.2">
      <c r="A145" s="1"/>
      <c r="B145" s="1"/>
      <c r="C145" s="1"/>
      <c r="D145" s="1"/>
      <c r="E145" s="1"/>
      <c r="F145" s="1"/>
      <c r="G145" s="1"/>
      <c r="H145" s="1"/>
      <c r="L145" s="12">
        <f t="shared" ref="L145:L151" si="20">Redondear_Lista($M$157:$M$172,G158)</f>
        <v>5</v>
      </c>
      <c r="Q145" s="86"/>
      <c r="R145" s="113"/>
      <c r="S145" s="114"/>
      <c r="T145" s="22"/>
      <c r="U145" s="22"/>
    </row>
    <row r="146" spans="1:21" x14ac:dyDescent="0.2">
      <c r="A146" s="38" t="s">
        <v>518</v>
      </c>
      <c r="B146" s="1"/>
      <c r="C146" s="1"/>
      <c r="D146" s="1"/>
      <c r="E146" s="126"/>
      <c r="F146" s="1"/>
      <c r="G146" s="1"/>
      <c r="H146" s="1"/>
      <c r="I146" s="1"/>
      <c r="L146" s="12">
        <f t="shared" si="20"/>
        <v>5</v>
      </c>
      <c r="Q146" s="86"/>
      <c r="R146" s="113"/>
      <c r="S146" s="114"/>
      <c r="T146" s="22"/>
      <c r="U146" s="22"/>
    </row>
    <row r="147" spans="1:21" x14ac:dyDescent="0.2">
      <c r="A147" s="1"/>
      <c r="B147" s="1"/>
      <c r="C147" s="1"/>
      <c r="D147" s="1"/>
      <c r="E147" s="1"/>
      <c r="F147" s="1"/>
      <c r="G147" s="1"/>
      <c r="H147" s="1"/>
      <c r="I147" s="1"/>
      <c r="L147" s="12">
        <f t="shared" si="20"/>
        <v>5</v>
      </c>
      <c r="Q147" s="86"/>
      <c r="R147" s="113"/>
      <c r="S147" s="114"/>
      <c r="T147" s="22"/>
      <c r="U147" s="22"/>
    </row>
    <row r="148" spans="1:21" ht="13.5" thickBot="1" x14ac:dyDescent="0.25">
      <c r="A148" s="1"/>
      <c r="B148" s="5" t="s">
        <v>342</v>
      </c>
      <c r="C148" s="1"/>
      <c r="D148" s="62" t="s">
        <v>343</v>
      </c>
      <c r="E148" s="340">
        <v>90</v>
      </c>
      <c r="F148" s="22" t="s">
        <v>18</v>
      </c>
      <c r="G148" s="1"/>
      <c r="H148" s="1"/>
      <c r="I148" s="1"/>
      <c r="L148" s="12">
        <f t="shared" si="20"/>
        <v>5</v>
      </c>
      <c r="Q148" s="86"/>
      <c r="R148" s="113"/>
      <c r="S148" s="94"/>
      <c r="T148" s="22"/>
      <c r="U148" s="22"/>
    </row>
    <row r="149" spans="1:21" ht="13.5" thickBot="1" x14ac:dyDescent="0.25">
      <c r="A149" s="1"/>
      <c r="B149" s="1"/>
      <c r="C149" s="1"/>
      <c r="D149" s="55" t="s">
        <v>199</v>
      </c>
      <c r="E149" s="129">
        <f>LOOKUP(J93,K79:K92,T79:T92)*IF(K149,E151,1)</f>
        <v>1.63098878695209</v>
      </c>
      <c r="F149" s="64" t="s">
        <v>96</v>
      </c>
      <c r="G149" s="22"/>
      <c r="H149" s="1"/>
      <c r="I149" s="1"/>
      <c r="J149" s="110" t="s">
        <v>314</v>
      </c>
      <c r="K149" s="456" t="b">
        <v>0</v>
      </c>
      <c r="L149" s="12">
        <f t="shared" si="20"/>
        <v>5</v>
      </c>
      <c r="Q149" s="86"/>
      <c r="R149" s="86"/>
      <c r="S149" s="87"/>
      <c r="T149" s="22"/>
      <c r="U149" s="22"/>
    </row>
    <row r="150" spans="1:21" ht="12.75" customHeight="1" x14ac:dyDescent="0.2">
      <c r="A150" s="1"/>
      <c r="B150" s="1"/>
      <c r="C150" s="55"/>
      <c r="D150" s="62" t="s">
        <v>200</v>
      </c>
      <c r="E150" s="130">
        <f>LOOKUP(J93,K79:K92,N79:N92)*IF(K149,E151,1)</f>
        <v>1.7474879860200963</v>
      </c>
      <c r="F150" s="64" t="s">
        <v>96</v>
      </c>
      <c r="G150" s="1"/>
      <c r="H150" s="1"/>
      <c r="I150" s="1"/>
      <c r="J150" s="131"/>
      <c r="L150" s="12">
        <f t="shared" si="20"/>
        <v>5</v>
      </c>
      <c r="Q150" s="86"/>
      <c r="R150" s="113"/>
      <c r="S150" s="94"/>
      <c r="T150" s="22"/>
      <c r="U150" s="22"/>
    </row>
    <row r="151" spans="1:21" ht="12.75" customHeight="1" x14ac:dyDescent="0.2">
      <c r="A151" s="1"/>
      <c r="B151" s="1"/>
      <c r="C151" s="62"/>
      <c r="D151" s="46" t="str">
        <f>IF(K149,"F1 =","")</f>
        <v/>
      </c>
      <c r="E151" s="468">
        <v>0.9</v>
      </c>
      <c r="G151" s="1"/>
      <c r="H151" s="1"/>
      <c r="I151" s="1"/>
      <c r="J151" s="131"/>
      <c r="L151" s="12">
        <f t="shared" si="20"/>
        <v>5</v>
      </c>
      <c r="Q151" s="86"/>
      <c r="R151" s="113"/>
      <c r="S151" s="94"/>
      <c r="T151" s="22"/>
      <c r="U151" s="22"/>
    </row>
    <row r="152" spans="1:21" x14ac:dyDescent="0.2">
      <c r="B152" s="1"/>
      <c r="C152" s="1"/>
      <c r="D152" s="1"/>
      <c r="E152" s="1"/>
      <c r="F152" s="1"/>
      <c r="G152" s="1"/>
      <c r="H152" s="1"/>
      <c r="I152" s="1"/>
      <c r="O152" s="86"/>
      <c r="P152" s="86"/>
      <c r="Q152" s="86"/>
      <c r="R152" s="86"/>
      <c r="S152" s="87"/>
      <c r="T152" s="22"/>
      <c r="U152" s="22"/>
    </row>
    <row r="153" spans="1:21" ht="12.75" customHeight="1" x14ac:dyDescent="0.2">
      <c r="A153" s="38" t="s">
        <v>519</v>
      </c>
      <c r="B153" s="1"/>
      <c r="C153" s="1"/>
      <c r="D153" s="1"/>
      <c r="E153" s="1"/>
      <c r="F153" s="1"/>
      <c r="G153" s="1"/>
      <c r="H153" s="1"/>
      <c r="I153" s="1"/>
      <c r="N153" s="15"/>
      <c r="O153" s="86"/>
      <c r="P153" s="86"/>
      <c r="Q153" s="86"/>
      <c r="R153" s="86"/>
      <c r="S153" s="87"/>
      <c r="T153" s="22"/>
      <c r="U153" s="22"/>
    </row>
    <row r="154" spans="1:21" ht="36.75" customHeight="1" thickBot="1" x14ac:dyDescent="0.25">
      <c r="A154" s="1"/>
      <c r="B154" s="577" t="s">
        <v>567</v>
      </c>
      <c r="C154" s="577"/>
      <c r="D154" s="478">
        <v>10</v>
      </c>
      <c r="E154" s="132"/>
      <c r="F154" s="132"/>
      <c r="G154" s="132"/>
      <c r="H154" s="132"/>
      <c r="I154" s="133"/>
      <c r="N154" s="15"/>
      <c r="O154" s="86"/>
      <c r="P154" s="86"/>
      <c r="Q154" s="86"/>
      <c r="R154" s="86"/>
      <c r="S154" s="87"/>
      <c r="T154" s="22"/>
      <c r="U154" s="22"/>
    </row>
    <row r="155" spans="1:21" ht="23.25" thickBot="1" x14ac:dyDescent="0.25">
      <c r="A155" s="1"/>
      <c r="B155" s="568" t="s">
        <v>28</v>
      </c>
      <c r="C155" s="571" t="s">
        <v>26</v>
      </c>
      <c r="D155" s="572"/>
      <c r="E155" s="572"/>
      <c r="F155" s="572"/>
      <c r="G155" s="573"/>
      <c r="H155" s="134" t="s">
        <v>27</v>
      </c>
      <c r="I155" s="133"/>
      <c r="K155" s="30" t="s">
        <v>164</v>
      </c>
      <c r="L155" s="31" t="s">
        <v>158</v>
      </c>
      <c r="M155" s="135"/>
      <c r="N155" s="15"/>
      <c r="O155" s="86"/>
      <c r="P155" s="86"/>
      <c r="Q155" s="86"/>
      <c r="R155" s="86"/>
      <c r="S155" s="87"/>
      <c r="T155" s="22"/>
      <c r="U155" s="22"/>
    </row>
    <row r="156" spans="1:21" x14ac:dyDescent="0.2">
      <c r="A156" s="1"/>
      <c r="B156" s="569"/>
      <c r="C156" s="136" t="s">
        <v>29</v>
      </c>
      <c r="D156" s="574" t="s">
        <v>30</v>
      </c>
      <c r="E156" s="575"/>
      <c r="F156" s="576"/>
      <c r="G156" s="137" t="s">
        <v>31</v>
      </c>
      <c r="H156" s="138" t="s">
        <v>77</v>
      </c>
      <c r="I156" s="133"/>
      <c r="J156" s="404" t="s">
        <v>35</v>
      </c>
      <c r="K156" s="139"/>
      <c r="L156" s="140"/>
      <c r="M156" s="141" t="s">
        <v>11</v>
      </c>
      <c r="N156" s="15"/>
      <c r="O156" s="86" t="s">
        <v>357</v>
      </c>
      <c r="P156" s="86"/>
      <c r="Q156" s="86"/>
      <c r="R156" s="86"/>
      <c r="S156" s="87"/>
      <c r="T156" s="22"/>
      <c r="U156" s="22"/>
    </row>
    <row r="157" spans="1:21" ht="13.5" thickBot="1" x14ac:dyDescent="0.25">
      <c r="A157" s="1"/>
      <c r="B157" s="570"/>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
      <c r="A158" s="1"/>
      <c r="B158" s="479">
        <v>1</v>
      </c>
      <c r="C158" s="469">
        <f>H90*1/10</f>
        <v>1</v>
      </c>
      <c r="D158" s="480">
        <f>4.9*$H$86*(C158-$H$89-0.3)*$H$91/($E$149*E148)+$H$99</f>
        <v>1.89985625</v>
      </c>
      <c r="E158" s="480">
        <f>4.9*$H$86*(C158-$H$89-0.3)/($E$150*E148)</f>
        <v>-9.3467499999999981E-2</v>
      </c>
      <c r="F158" s="480">
        <f t="shared" ref="F158:F167" si="21">MAX(D158,E158,$E$144)</f>
        <v>5</v>
      </c>
      <c r="G158" s="471">
        <v>5</v>
      </c>
      <c r="H158" s="481">
        <f>PI()*$H$86*G158/1000*7.85*C158</f>
        <v>1.2330751165339937</v>
      </c>
      <c r="I158" s="146" t="str">
        <f t="shared" ref="I158:I167" si="22">IF(G158&gt;=F158,"","Aumentar")</f>
        <v/>
      </c>
      <c r="J158" s="403">
        <f>H158*(0+C158)/2</f>
        <v>0.61653755826699685</v>
      </c>
      <c r="K158" s="39" t="s">
        <v>166</v>
      </c>
      <c r="L158" s="40">
        <f t="shared" ref="L158:L172" si="23">L157+1</f>
        <v>2</v>
      </c>
      <c r="M158" s="145">
        <v>5</v>
      </c>
      <c r="N158" s="15"/>
      <c r="O158" s="86">
        <f>Redondear_Lista($M$157:$M$172,F158)</f>
        <v>5</v>
      </c>
      <c r="P158" s="86"/>
      <c r="Q158" s="86"/>
      <c r="R158" s="86"/>
      <c r="S158" s="87"/>
      <c r="T158" s="22"/>
      <c r="U158" s="22"/>
    </row>
    <row r="159" spans="1:21" x14ac:dyDescent="0.2">
      <c r="A159" s="1"/>
      <c r="B159" s="479">
        <v>2</v>
      </c>
      <c r="C159" s="469">
        <f>H90*2/10</f>
        <v>2</v>
      </c>
      <c r="D159" s="480">
        <f>4.9*$H$86*(C159-$H$89-0.3)*$H$91/($E$149*E148)+$H$99</f>
        <v>2.2336687500000001</v>
      </c>
      <c r="E159" s="480">
        <f>4.9*$H$86*(C159-$H$89-0.3)/($E$150*E148)</f>
        <v>0.21809083333333329</v>
      </c>
      <c r="F159" s="480">
        <f t="shared" si="21"/>
        <v>5</v>
      </c>
      <c r="G159" s="471">
        <v>5</v>
      </c>
      <c r="H159" s="481">
        <f t="shared" ref="H159:H167" si="24">PI()*$H$86*G159/1000*7.85*(C159-C158)</f>
        <v>1.2330751165339937</v>
      </c>
      <c r="I159" s="146" t="str">
        <f t="shared" si="22"/>
        <v/>
      </c>
      <c r="J159" s="403">
        <f>H159*(C159+C158)/2</f>
        <v>1.8496126748009907</v>
      </c>
      <c r="K159" s="39" t="s">
        <v>167</v>
      </c>
      <c r="L159" s="40">
        <f t="shared" si="23"/>
        <v>3</v>
      </c>
      <c r="M159" s="145">
        <v>6</v>
      </c>
      <c r="N159" s="15"/>
      <c r="O159" s="86">
        <f t="shared" ref="O159:O167" si="25">Redondear_Lista($M$157:$M$172,F159)</f>
        <v>5</v>
      </c>
      <c r="P159" s="86"/>
      <c r="Q159" s="86"/>
      <c r="R159" s="86"/>
      <c r="S159" s="87"/>
      <c r="T159" s="22"/>
      <c r="U159" s="22"/>
    </row>
    <row r="160" spans="1:21" x14ac:dyDescent="0.2">
      <c r="A160" s="1"/>
      <c r="B160" s="479">
        <v>3</v>
      </c>
      <c r="C160" s="469">
        <f>H90*3/10</f>
        <v>3</v>
      </c>
      <c r="D160" s="480">
        <f>4.9*$H$86*(C160-$H$89-0.3)*$H$91/($E$149*E148)+$H$99</f>
        <v>2.5674812499999997</v>
      </c>
      <c r="E160" s="480">
        <f>4.9*$H$86*(C160-$H$89-0.3)/($E$150*E148)</f>
        <v>0.52964916666666662</v>
      </c>
      <c r="F160" s="480">
        <f t="shared" si="21"/>
        <v>5</v>
      </c>
      <c r="G160" s="471">
        <v>5</v>
      </c>
      <c r="H160" s="481">
        <f t="shared" si="24"/>
        <v>1.2330751165339937</v>
      </c>
      <c r="I160" s="146" t="str">
        <f t="shared" si="22"/>
        <v/>
      </c>
      <c r="J160" s="403">
        <f t="shared" ref="J160:J167" si="26">H160*(C160+C159)/2</f>
        <v>3.0826877913349842</v>
      </c>
      <c r="K160" s="39" t="s">
        <v>168</v>
      </c>
      <c r="L160" s="40">
        <f t="shared" si="23"/>
        <v>4</v>
      </c>
      <c r="M160" s="145">
        <v>8</v>
      </c>
      <c r="N160" s="15"/>
      <c r="O160" s="86">
        <f t="shared" si="25"/>
        <v>5</v>
      </c>
      <c r="P160" s="86"/>
      <c r="Q160" s="86"/>
      <c r="R160" s="86"/>
      <c r="S160" s="87"/>
      <c r="T160" s="22"/>
      <c r="U160" s="22"/>
    </row>
    <row r="161" spans="1:21" x14ac:dyDescent="0.2">
      <c r="A161" s="1"/>
      <c r="B161" s="479">
        <v>4</v>
      </c>
      <c r="C161" s="469">
        <f>H90*4/10</f>
        <v>4</v>
      </c>
      <c r="D161" s="480">
        <f>4.9*$H$86*(C161-$H$89-0.3)*$H$91/($E$149*E148)+$H$99</f>
        <v>2.9012937499999998</v>
      </c>
      <c r="E161" s="480">
        <f>4.9*$H$86*(C161-$H$89-0.3)/($E$150*E148)</f>
        <v>0.8412075</v>
      </c>
      <c r="F161" s="480">
        <f t="shared" si="21"/>
        <v>5</v>
      </c>
      <c r="G161" s="471">
        <v>5</v>
      </c>
      <c r="H161" s="481">
        <f t="shared" si="24"/>
        <v>1.2330751165339937</v>
      </c>
      <c r="I161" s="146" t="str">
        <f t="shared" si="22"/>
        <v/>
      </c>
      <c r="J161" s="403">
        <f t="shared" si="26"/>
        <v>4.3157629078689776</v>
      </c>
      <c r="K161" s="39" t="s">
        <v>169</v>
      </c>
      <c r="L161" s="40">
        <f t="shared" si="23"/>
        <v>5</v>
      </c>
      <c r="M161" s="145">
        <v>10</v>
      </c>
      <c r="N161" s="15"/>
      <c r="O161" s="86">
        <f t="shared" si="25"/>
        <v>5</v>
      </c>
      <c r="P161" s="86"/>
      <c r="Q161" s="86"/>
      <c r="R161" s="86"/>
      <c r="S161" s="87"/>
      <c r="T161" s="22"/>
      <c r="U161" s="22"/>
    </row>
    <row r="162" spans="1:21" x14ac:dyDescent="0.2">
      <c r="A162" s="1"/>
      <c r="B162" s="479">
        <v>5</v>
      </c>
      <c r="C162" s="469">
        <f>H90*5/10</f>
        <v>5</v>
      </c>
      <c r="D162" s="480">
        <f>4.9*$H$86*(C162-$H$89-0.3)*$H$91/($E$149*E148)+$H$99</f>
        <v>3.2351062499999999</v>
      </c>
      <c r="E162" s="480">
        <f>4.9*$H$86*(C162-$H$89-0.3)/($E$150*E148)</f>
        <v>1.1527658333333333</v>
      </c>
      <c r="F162" s="480">
        <f t="shared" si="21"/>
        <v>5</v>
      </c>
      <c r="G162" s="471">
        <v>5</v>
      </c>
      <c r="H162" s="481">
        <f t="shared" si="24"/>
        <v>1.2330751165339937</v>
      </c>
      <c r="I162" s="146" t="str">
        <f t="shared" si="22"/>
        <v/>
      </c>
      <c r="J162" s="403">
        <f t="shared" si="26"/>
        <v>5.548838024402972</v>
      </c>
      <c r="K162" s="39" t="s">
        <v>170</v>
      </c>
      <c r="L162" s="40">
        <f t="shared" si="23"/>
        <v>6</v>
      </c>
      <c r="M162" s="145">
        <v>12</v>
      </c>
      <c r="N162" s="15"/>
      <c r="O162" s="86">
        <f t="shared" si="25"/>
        <v>5</v>
      </c>
      <c r="P162" s="86"/>
      <c r="Q162" s="86"/>
      <c r="R162" s="86"/>
      <c r="S162" s="87"/>
      <c r="T162" s="22"/>
      <c r="U162" s="22"/>
    </row>
    <row r="163" spans="1:21" x14ac:dyDescent="0.2">
      <c r="A163" s="1"/>
      <c r="B163" s="479">
        <v>6</v>
      </c>
      <c r="C163" s="469">
        <f>H90*6/10</f>
        <v>6</v>
      </c>
      <c r="D163" s="480">
        <f>4.9*$H$86*(C163-$H$89-0.3)*$H$91/($E$149*E148)+$H$99</f>
        <v>3.5689187499999999</v>
      </c>
      <c r="E163" s="480">
        <f>4.9*$H$86*(C163-$H$89-0.3)/($E$150*E148)</f>
        <v>1.4643241666666666</v>
      </c>
      <c r="F163" s="480">
        <f t="shared" si="21"/>
        <v>5</v>
      </c>
      <c r="G163" s="471">
        <v>5</v>
      </c>
      <c r="H163" s="481">
        <f t="shared" si="24"/>
        <v>1.2330751165339937</v>
      </c>
      <c r="I163" s="146" t="str">
        <f t="shared" si="22"/>
        <v/>
      </c>
      <c r="J163" s="403">
        <f>H163*(C163+C162)/2</f>
        <v>6.7819131409369655</v>
      </c>
      <c r="K163" s="39" t="s">
        <v>171</v>
      </c>
      <c r="L163" s="40">
        <f t="shared" si="23"/>
        <v>7</v>
      </c>
      <c r="M163" s="145">
        <v>14</v>
      </c>
      <c r="N163" s="15"/>
      <c r="O163" s="86">
        <f t="shared" si="25"/>
        <v>5</v>
      </c>
      <c r="P163" s="86"/>
      <c r="Q163" s="86"/>
      <c r="R163" s="86"/>
      <c r="S163" s="87"/>
      <c r="T163" s="22"/>
      <c r="U163" s="22"/>
    </row>
    <row r="164" spans="1:21" x14ac:dyDescent="0.2">
      <c r="A164" s="1"/>
      <c r="B164" s="479">
        <v>7</v>
      </c>
      <c r="C164" s="469">
        <f>H90*7/10</f>
        <v>7</v>
      </c>
      <c r="D164" s="480">
        <f>4.9*$H$86*(C164-$H$89-0.3)*$H$91/($E$149*E148)+$H$99</f>
        <v>3.9027312499999995</v>
      </c>
      <c r="E164" s="480">
        <f>4.9*$H$86*(C164-$H$89-0.3)/($E$150*E148)</f>
        <v>1.7758824999999998</v>
      </c>
      <c r="F164" s="480">
        <f t="shared" si="21"/>
        <v>5</v>
      </c>
      <c r="G164" s="471">
        <v>5</v>
      </c>
      <c r="H164" s="481">
        <f t="shared" si="24"/>
        <v>1.2330751165339937</v>
      </c>
      <c r="I164" s="146" t="str">
        <f t="shared" si="22"/>
        <v/>
      </c>
      <c r="J164" s="403">
        <f t="shared" si="26"/>
        <v>8.014988257470959</v>
      </c>
      <c r="K164" s="39" t="s">
        <v>172</v>
      </c>
      <c r="L164" s="40">
        <f t="shared" si="23"/>
        <v>8</v>
      </c>
      <c r="M164" s="145">
        <v>16</v>
      </c>
      <c r="N164" s="15"/>
      <c r="O164" s="86">
        <f t="shared" si="25"/>
        <v>5</v>
      </c>
      <c r="P164" s="86"/>
      <c r="Q164" s="86"/>
      <c r="R164" s="86"/>
      <c r="S164" s="87"/>
      <c r="T164" s="22"/>
      <c r="U164" s="22"/>
    </row>
    <row r="165" spans="1:21" ht="12.75" customHeight="1" x14ac:dyDescent="0.2">
      <c r="A165" s="1"/>
      <c r="B165" s="479">
        <v>8</v>
      </c>
      <c r="C165" s="469">
        <f>H90*8/10</f>
        <v>8</v>
      </c>
      <c r="D165" s="480">
        <f>4.9*$H$86*(C165-$H$89-0.3)*$H$91/($E$149*E148)+$H$99</f>
        <v>4.2365437499999992</v>
      </c>
      <c r="E165" s="480">
        <f>4.9*$H$86*(C165-$H$89-0.3)/($E$150*E148)</f>
        <v>2.087440833333333</v>
      </c>
      <c r="F165" s="480">
        <f t="shared" si="21"/>
        <v>5</v>
      </c>
      <c r="G165" s="471">
        <v>5</v>
      </c>
      <c r="H165" s="481">
        <f t="shared" si="24"/>
        <v>1.2330751165339937</v>
      </c>
      <c r="I165" s="146" t="str">
        <f t="shared" si="22"/>
        <v/>
      </c>
      <c r="J165" s="403">
        <f t="shared" si="26"/>
        <v>9.2480633740049534</v>
      </c>
      <c r="K165" s="39" t="s">
        <v>173</v>
      </c>
      <c r="L165" s="40">
        <f t="shared" si="23"/>
        <v>9</v>
      </c>
      <c r="M165" s="145">
        <v>18</v>
      </c>
      <c r="N165" s="15"/>
      <c r="O165" s="86">
        <f t="shared" si="25"/>
        <v>5</v>
      </c>
      <c r="P165" s="113"/>
      <c r="Q165" s="113"/>
      <c r="R165" s="113"/>
      <c r="S165" s="87"/>
      <c r="T165" s="22"/>
      <c r="U165" s="22"/>
    </row>
    <row r="166" spans="1:21" x14ac:dyDescent="0.2">
      <c r="A166" s="1"/>
      <c r="B166" s="479">
        <v>9</v>
      </c>
      <c r="C166" s="469">
        <f>H90*9/10</f>
        <v>9</v>
      </c>
      <c r="D166" s="480">
        <f>4.9*$H$86*(C166-$H$89-0.3)*$H$91/($E$149*E148)+$H$99</f>
        <v>4.5703562499999997</v>
      </c>
      <c r="E166" s="480">
        <f>4.9*$H$86*(C166-$H$89-0.3)/($E$150*E148)</f>
        <v>2.3989991666666666</v>
      </c>
      <c r="F166" s="480">
        <f t="shared" si="21"/>
        <v>5</v>
      </c>
      <c r="G166" s="471">
        <v>5</v>
      </c>
      <c r="H166" s="481">
        <f t="shared" si="24"/>
        <v>1.2330751165339937</v>
      </c>
      <c r="I166" s="146" t="str">
        <f>IF(G166&gt;=F166,"","Aumentar")</f>
        <v/>
      </c>
      <c r="J166" s="403">
        <f t="shared" si="26"/>
        <v>10.481138490538946</v>
      </c>
      <c r="K166" s="39" t="s">
        <v>174</v>
      </c>
      <c r="L166" s="40">
        <f t="shared" si="23"/>
        <v>10</v>
      </c>
      <c r="M166" s="145">
        <v>20</v>
      </c>
      <c r="N166" s="15"/>
      <c r="O166" s="86">
        <f t="shared" si="25"/>
        <v>5</v>
      </c>
      <c r="P166" s="113"/>
      <c r="Q166" s="113"/>
      <c r="R166" s="113"/>
      <c r="S166" s="87"/>
      <c r="T166" s="22"/>
      <c r="U166" s="22"/>
    </row>
    <row r="167" spans="1:21" ht="13.5" thickBot="1" x14ac:dyDescent="0.25">
      <c r="A167" s="1"/>
      <c r="B167" s="482">
        <v>10</v>
      </c>
      <c r="C167" s="470">
        <f>H90*10/10</f>
        <v>10</v>
      </c>
      <c r="D167" s="483">
        <f>4.9*$H$86*(C167-$H$89-0.3)*$H$91/($E$149*E148)+$H$99</f>
        <v>4.9041687499999993</v>
      </c>
      <c r="E167" s="483">
        <f>4.9*$H$86*(C167-$H$89-0.3)/($E$150*E148)</f>
        <v>2.7105574999999993</v>
      </c>
      <c r="F167" s="483">
        <f t="shared" si="21"/>
        <v>5</v>
      </c>
      <c r="G167" s="472">
        <v>6</v>
      </c>
      <c r="H167" s="484">
        <f t="shared" si="24"/>
        <v>1.4796901398407925</v>
      </c>
      <c r="I167" s="146" t="str">
        <f t="shared" si="22"/>
        <v/>
      </c>
      <c r="J167" s="406">
        <f t="shared" si="26"/>
        <v>14.057056328487528</v>
      </c>
      <c r="K167" s="39" t="s">
        <v>175</v>
      </c>
      <c r="L167" s="40">
        <f t="shared" si="23"/>
        <v>11</v>
      </c>
      <c r="M167" s="145">
        <v>22</v>
      </c>
      <c r="N167" s="15"/>
      <c r="O167" s="86">
        <f t="shared" si="25"/>
        <v>5</v>
      </c>
      <c r="P167" s="113"/>
      <c r="Q167" s="113"/>
      <c r="R167" s="113"/>
      <c r="S167" s="87"/>
      <c r="T167" s="22"/>
      <c r="U167" s="22"/>
    </row>
    <row r="168" spans="1:21" ht="27.75" customHeight="1" x14ac:dyDescent="0.2">
      <c r="A168" s="1"/>
      <c r="B168" s="399"/>
      <c r="C168" s="400"/>
      <c r="D168" s="401"/>
      <c r="E168" s="401"/>
      <c r="F168" s="401"/>
      <c r="G168" s="402"/>
      <c r="H168" s="400">
        <f>SUM(H158:H167)</f>
        <v>12.577366188646737</v>
      </c>
      <c r="I168" s="133"/>
      <c r="J168" s="400">
        <f>SUM(J158:J167)</f>
        <v>63.996598548114278</v>
      </c>
      <c r="K168" s="39" t="s">
        <v>176</v>
      </c>
      <c r="L168" s="40">
        <f t="shared" si="23"/>
        <v>12</v>
      </c>
      <c r="M168" s="145">
        <v>25</v>
      </c>
      <c r="N168" s="15"/>
      <c r="O168" s="113"/>
      <c r="P168" s="113"/>
      <c r="Q168" s="113"/>
      <c r="R168" s="113"/>
      <c r="S168" s="87"/>
      <c r="T168" s="22"/>
      <c r="U168" s="22"/>
    </row>
    <row r="169" spans="1:21" x14ac:dyDescent="0.2">
      <c r="A169" s="38" t="s">
        <v>520</v>
      </c>
      <c r="B169" s="1"/>
      <c r="C169" s="1"/>
      <c r="D169" s="1"/>
      <c r="E169" s="1"/>
      <c r="F169" s="1"/>
      <c r="G169" s="1"/>
      <c r="H169" s="1"/>
      <c r="I169" s="1"/>
      <c r="J169" s="407"/>
      <c r="K169" s="39" t="s">
        <v>177</v>
      </c>
      <c r="L169" s="40">
        <f t="shared" si="23"/>
        <v>13</v>
      </c>
      <c r="M169" s="145">
        <v>28</v>
      </c>
      <c r="P169" s="12"/>
    </row>
    <row r="170" spans="1:21" ht="13.5" thickBot="1" x14ac:dyDescent="0.25">
      <c r="A170" s="1"/>
      <c r="B170" s="1"/>
      <c r="C170" s="1"/>
      <c r="D170" s="1"/>
      <c r="E170" s="1"/>
      <c r="F170" s="1"/>
      <c r="G170" s="1"/>
      <c r="H170" s="1"/>
      <c r="I170" s="1"/>
      <c r="K170" s="39" t="s">
        <v>178</v>
      </c>
      <c r="L170" s="40">
        <f t="shared" si="23"/>
        <v>14</v>
      </c>
      <c r="M170" s="145">
        <v>32</v>
      </c>
      <c r="P170" s="12"/>
    </row>
    <row r="171" spans="1:21" x14ac:dyDescent="0.2">
      <c r="A171" s="1"/>
      <c r="B171" s="1"/>
      <c r="C171" s="578" t="s">
        <v>214</v>
      </c>
      <c r="D171" s="579"/>
      <c r="E171" s="578" t="s">
        <v>216</v>
      </c>
      <c r="F171" s="580"/>
      <c r="G171" s="580"/>
      <c r="H171" s="579"/>
      <c r="I171" s="1"/>
      <c r="K171" s="39" t="s">
        <v>179</v>
      </c>
      <c r="L171" s="40">
        <f t="shared" si="23"/>
        <v>15</v>
      </c>
      <c r="M171" s="145">
        <v>35</v>
      </c>
      <c r="P171" s="12"/>
    </row>
    <row r="172" spans="1:21" ht="13.5" thickBot="1" x14ac:dyDescent="0.25">
      <c r="A172" s="1"/>
      <c r="B172" s="1"/>
      <c r="C172" s="565" t="s">
        <v>215</v>
      </c>
      <c r="D172" s="566"/>
      <c r="E172" s="6"/>
      <c r="F172" s="581" t="s">
        <v>208</v>
      </c>
      <c r="G172" s="581"/>
      <c r="H172" s="9"/>
      <c r="I172" s="1"/>
      <c r="K172" s="147" t="s">
        <v>180</v>
      </c>
      <c r="L172" s="53">
        <f t="shared" si="23"/>
        <v>16</v>
      </c>
      <c r="M172" s="148">
        <v>40</v>
      </c>
      <c r="P172" s="12"/>
    </row>
    <row r="173" spans="1:21" ht="13.5" thickBot="1" x14ac:dyDescent="0.25">
      <c r="A173" s="1"/>
      <c r="B173" s="1"/>
      <c r="C173" s="582" t="s">
        <v>11</v>
      </c>
      <c r="D173" s="583"/>
      <c r="E173" s="149" t="s">
        <v>217</v>
      </c>
      <c r="F173" s="150" t="s">
        <v>220</v>
      </c>
      <c r="G173" s="150" t="s">
        <v>218</v>
      </c>
      <c r="H173" s="151" t="s">
        <v>219</v>
      </c>
      <c r="I173" s="1"/>
      <c r="K173" s="147" t="s">
        <v>582</v>
      </c>
      <c r="L173" s="53">
        <f>L172+1</f>
        <v>17</v>
      </c>
      <c r="M173" s="148">
        <v>50</v>
      </c>
      <c r="P173" s="12"/>
    </row>
    <row r="174" spans="1:21" x14ac:dyDescent="0.2">
      <c r="A174" s="1"/>
      <c r="B174" s="1"/>
      <c r="C174" s="565" t="s">
        <v>209</v>
      </c>
      <c r="D174" s="566"/>
      <c r="E174" s="126">
        <v>6</v>
      </c>
      <c r="F174" s="11">
        <v>6</v>
      </c>
      <c r="G174" s="11">
        <v>7</v>
      </c>
      <c r="H174" s="10">
        <v>9</v>
      </c>
      <c r="I174" s="1"/>
      <c r="J174" s="152">
        <f>IF($H$182&lt;190,E174,IF($H$182&lt;210,F174,IF($H$182&lt;230,G174,H174)))</f>
        <v>6</v>
      </c>
      <c r="P174" s="12"/>
    </row>
    <row r="175" spans="1:21" x14ac:dyDescent="0.2">
      <c r="A175" s="1"/>
      <c r="B175" s="1"/>
      <c r="C175" s="565" t="s">
        <v>210</v>
      </c>
      <c r="D175" s="566"/>
      <c r="E175" s="126">
        <v>6</v>
      </c>
      <c r="F175" s="11">
        <v>7</v>
      </c>
      <c r="G175" s="11">
        <v>10</v>
      </c>
      <c r="H175" s="10">
        <v>11</v>
      </c>
      <c r="I175" s="1"/>
      <c r="J175" s="152">
        <f>IF($H$182&lt;190,E175,IF($H$182&lt;210,F175,IF($H$182&lt;230,G175,H175)))</f>
        <v>6</v>
      </c>
      <c r="P175" s="12"/>
    </row>
    <row r="176" spans="1:21" x14ac:dyDescent="0.2">
      <c r="A176" s="1"/>
      <c r="B176" s="1"/>
      <c r="C176" s="565" t="s">
        <v>211</v>
      </c>
      <c r="D176" s="566"/>
      <c r="E176" s="126">
        <v>6</v>
      </c>
      <c r="F176" s="11">
        <v>9</v>
      </c>
      <c r="G176" s="11">
        <v>12</v>
      </c>
      <c r="H176" s="10">
        <v>14</v>
      </c>
      <c r="I176" s="1"/>
      <c r="J176" s="152">
        <f>IF($H$182&lt;190,E176,IF($H$182&lt;210,F176,IF($H$182&lt;230,G176,H176)))</f>
        <v>6</v>
      </c>
      <c r="P176" s="12"/>
    </row>
    <row r="177" spans="1:21" x14ac:dyDescent="0.2">
      <c r="A177" s="1"/>
      <c r="B177" s="1"/>
      <c r="C177" s="565" t="s">
        <v>212</v>
      </c>
      <c r="D177" s="566"/>
      <c r="E177" s="126">
        <v>8</v>
      </c>
      <c r="F177" s="11">
        <v>11</v>
      </c>
      <c r="G177" s="11">
        <v>14</v>
      </c>
      <c r="H177" s="10">
        <v>17</v>
      </c>
      <c r="I177" s="1"/>
      <c r="J177" s="152">
        <f>IF($H$182&lt;190,E177,IF($H$182&lt;210,F177,IF($H$182&lt;230,G177,H177)))</f>
        <v>8</v>
      </c>
      <c r="P177" s="12"/>
    </row>
    <row r="178" spans="1:21" ht="13.5" thickBot="1" x14ac:dyDescent="0.25">
      <c r="A178" s="1"/>
      <c r="B178" s="1"/>
      <c r="C178" s="582" t="s">
        <v>213</v>
      </c>
      <c r="D178" s="583"/>
      <c r="E178" s="7">
        <v>9</v>
      </c>
      <c r="F178" s="8">
        <v>13</v>
      </c>
      <c r="G178" s="8">
        <v>16</v>
      </c>
      <c r="H178" s="9">
        <v>19</v>
      </c>
      <c r="I178" s="1"/>
      <c r="J178" s="152">
        <f>IF($H$182&lt;190,E178,IF($H$182&lt;210,F178,IF($H$182&lt;230,G178,H178)))</f>
        <v>9</v>
      </c>
      <c r="P178" s="12"/>
    </row>
    <row r="179" spans="1:21" x14ac:dyDescent="0.2">
      <c r="A179" s="1"/>
      <c r="B179" s="1"/>
      <c r="C179" s="5"/>
      <c r="D179" s="1"/>
      <c r="E179" s="1"/>
      <c r="F179" s="1"/>
      <c r="G179" s="1"/>
      <c r="H179" s="1"/>
      <c r="I179" s="1"/>
      <c r="P179" s="12"/>
    </row>
    <row r="180" spans="1:21" x14ac:dyDescent="0.2">
      <c r="A180" s="1"/>
      <c r="B180" s="5" t="s">
        <v>510</v>
      </c>
      <c r="C180" s="1"/>
      <c r="D180" s="1"/>
      <c r="E180" s="1"/>
      <c r="F180" s="46" t="s">
        <v>74</v>
      </c>
      <c r="G180" s="47" t="s">
        <v>2</v>
      </c>
      <c r="H180" s="473">
        <v>8</v>
      </c>
      <c r="I180" s="5" t="str">
        <f>"mm" &amp; IF(J94="ACERO CARBONO",IF(H180-H100&lt;6," AUMENTAR",""),IF(H180-H100&lt;5," AUMENTAR",""))</f>
        <v>mm</v>
      </c>
      <c r="P180" s="12"/>
    </row>
    <row r="181" spans="1:21" x14ac:dyDescent="0.2">
      <c r="A181" s="1"/>
      <c r="B181" s="5" t="s">
        <v>206</v>
      </c>
      <c r="D181" s="1"/>
      <c r="E181" s="1"/>
      <c r="F181" s="1"/>
      <c r="G181" s="1"/>
      <c r="H181" s="48">
        <f>LOOKUP(D154,B158:B167,G158:G167)</f>
        <v>6</v>
      </c>
      <c r="I181" s="5" t="s">
        <v>11</v>
      </c>
      <c r="P181" s="12"/>
    </row>
    <row r="182" spans="1:21" x14ac:dyDescent="0.2">
      <c r="A182" s="1"/>
      <c r="B182" s="5" t="s">
        <v>207</v>
      </c>
      <c r="C182" s="1"/>
      <c r="D182" s="1"/>
      <c r="E182" s="1"/>
      <c r="F182" s="1"/>
      <c r="G182" s="1"/>
      <c r="H182" s="63">
        <f>4.9*$H$86*(H87-0.3)/H181</f>
        <v>71.05</v>
      </c>
      <c r="I182" s="1" t="s">
        <v>208</v>
      </c>
      <c r="P182" s="12"/>
    </row>
    <row r="183" spans="1:21" x14ac:dyDescent="0.2">
      <c r="A183" s="1"/>
      <c r="B183" s="5" t="s">
        <v>203</v>
      </c>
      <c r="C183" s="5"/>
      <c r="D183" s="5"/>
      <c r="E183" s="5"/>
      <c r="F183" s="46" t="s">
        <v>509</v>
      </c>
      <c r="G183" s="47" t="s">
        <v>2</v>
      </c>
      <c r="H183" s="48">
        <f>IF(H181&lt;19,J174,IF(H181&lt;25,J175,IF(H181&lt;32,J176,IF(H181&lt;38,J177,J178))))+H100</f>
        <v>8</v>
      </c>
      <c r="I183" s="5" t="s">
        <v>11</v>
      </c>
      <c r="P183" s="12"/>
    </row>
    <row r="184" spans="1:21" x14ac:dyDescent="0.2">
      <c r="A184" s="1"/>
      <c r="B184" s="1"/>
      <c r="C184" s="1"/>
      <c r="D184" s="1"/>
      <c r="E184" s="1"/>
      <c r="F184" s="1"/>
      <c r="G184" s="1"/>
      <c r="H184" s="51"/>
      <c r="I184" s="1"/>
      <c r="O184" s="113"/>
      <c r="P184" s="113"/>
      <c r="Q184" s="113"/>
      <c r="R184" s="113"/>
      <c r="S184" s="87"/>
      <c r="T184" s="22"/>
      <c r="U184" s="22"/>
    </row>
    <row r="185" spans="1:21" ht="15.75" x14ac:dyDescent="0.25">
      <c r="A185" s="117" t="s">
        <v>521</v>
      </c>
      <c r="B185" s="1"/>
      <c r="C185" s="1"/>
      <c r="D185" s="1"/>
      <c r="E185" s="1"/>
      <c r="F185" s="1"/>
      <c r="G185" s="1"/>
      <c r="H185" s="51"/>
      <c r="I185" s="1"/>
      <c r="L185" s="153"/>
      <c r="M185" s="84"/>
      <c r="N185" s="113"/>
      <c r="O185" s="113"/>
      <c r="P185" s="113"/>
      <c r="Q185" s="113"/>
      <c r="R185" s="113"/>
      <c r="S185" s="87"/>
      <c r="T185" s="22"/>
      <c r="U185" s="22"/>
    </row>
    <row r="186" spans="1:21" x14ac:dyDescent="0.2">
      <c r="A186" s="1"/>
      <c r="B186" s="1"/>
      <c r="C186" s="1"/>
      <c r="D186" s="1"/>
      <c r="E186" s="1"/>
      <c r="F186" s="1"/>
      <c r="G186" s="1"/>
      <c r="H186" s="51"/>
      <c r="I186" s="1"/>
      <c r="L186" s="153"/>
      <c r="M186" s="84"/>
      <c r="N186" s="113"/>
      <c r="O186" s="113"/>
      <c r="P186" s="113"/>
      <c r="Q186" s="113"/>
      <c r="R186" s="113"/>
      <c r="S186" s="87"/>
      <c r="T186" s="22"/>
      <c r="U186" s="22"/>
    </row>
    <row r="187" spans="1:21" x14ac:dyDescent="0.2">
      <c r="A187" s="38" t="s">
        <v>524</v>
      </c>
      <c r="B187" s="1"/>
      <c r="C187" s="1"/>
      <c r="D187" s="1"/>
      <c r="E187" s="1"/>
      <c r="F187" s="1"/>
      <c r="G187" s="1"/>
      <c r="H187" s="51"/>
      <c r="I187" s="1"/>
      <c r="L187" s="153"/>
      <c r="M187" s="84"/>
      <c r="N187" s="113"/>
      <c r="O187" s="113"/>
      <c r="P187" s="113"/>
      <c r="Q187" s="113"/>
      <c r="R187" s="113"/>
      <c r="S187" s="87"/>
      <c r="T187" s="22"/>
      <c r="U187" s="22"/>
    </row>
    <row r="188" spans="1:21" x14ac:dyDescent="0.2">
      <c r="A188" s="1"/>
      <c r="B188" s="5" t="s">
        <v>36</v>
      </c>
      <c r="C188" s="5"/>
      <c r="D188" s="5"/>
      <c r="E188" s="5"/>
      <c r="F188" s="46" t="s">
        <v>78</v>
      </c>
      <c r="G188" s="47" t="s">
        <v>2</v>
      </c>
      <c r="H188" s="486">
        <f>+H131</f>
        <v>5.3122501776897124</v>
      </c>
      <c r="I188" s="5" t="s">
        <v>14</v>
      </c>
      <c r="J188" s="155"/>
      <c r="L188" s="153"/>
      <c r="M188" s="156"/>
      <c r="N188" s="157"/>
      <c r="O188" s="113"/>
      <c r="P188" s="113"/>
      <c r="Q188" s="113"/>
      <c r="R188" s="113"/>
      <c r="S188" s="87"/>
      <c r="T188" s="22"/>
      <c r="U188" s="22"/>
    </row>
    <row r="189" spans="1:21" x14ac:dyDescent="0.2">
      <c r="A189" s="1"/>
      <c r="B189" s="5" t="s">
        <v>642</v>
      </c>
      <c r="C189" s="5"/>
      <c r="D189" s="5"/>
      <c r="E189" s="5"/>
      <c r="F189" s="46" t="s">
        <v>79</v>
      </c>
      <c r="G189" s="47" t="s">
        <v>2</v>
      </c>
      <c r="H189" s="154">
        <f>+H168+H121</f>
        <v>13.577366188646737</v>
      </c>
      <c r="I189" s="5" t="s">
        <v>14</v>
      </c>
      <c r="J189" s="155"/>
      <c r="L189" s="153"/>
      <c r="M189" s="84"/>
      <c r="N189" s="113"/>
      <c r="O189" s="113"/>
      <c r="P189" s="113"/>
      <c r="Q189" s="113"/>
      <c r="R189" s="113"/>
      <c r="S189" s="87"/>
      <c r="T189" s="22"/>
      <c r="U189" s="22"/>
    </row>
    <row r="190" spans="1:21" x14ac:dyDescent="0.2">
      <c r="A190" s="1"/>
      <c r="B190" s="5" t="s">
        <v>37</v>
      </c>
      <c r="C190" s="5"/>
      <c r="D190" s="5"/>
      <c r="E190" s="5"/>
      <c r="F190" s="46" t="s">
        <v>80</v>
      </c>
      <c r="G190" s="47" t="s">
        <v>2</v>
      </c>
      <c r="H190" s="158">
        <f>PI()*H86*H86/4*H87*H91</f>
        <v>706.85834705770344</v>
      </c>
      <c r="I190" s="5" t="s">
        <v>14</v>
      </c>
      <c r="J190" s="155"/>
      <c r="L190" s="153"/>
      <c r="M190" s="84"/>
      <c r="N190" s="113"/>
      <c r="O190" s="113"/>
      <c r="P190" s="113"/>
      <c r="Q190" s="113"/>
      <c r="R190" s="113"/>
      <c r="S190" s="87"/>
      <c r="T190" s="22"/>
      <c r="U190" s="22"/>
    </row>
    <row r="191" spans="1:21" x14ac:dyDescent="0.2">
      <c r="A191" s="1"/>
      <c r="B191" s="5" t="s">
        <v>38</v>
      </c>
      <c r="C191" s="5"/>
      <c r="D191" s="5"/>
      <c r="E191" s="5"/>
      <c r="F191" s="46" t="s">
        <v>81</v>
      </c>
      <c r="G191" s="47" t="s">
        <v>2</v>
      </c>
      <c r="H191" s="158">
        <f>SUM(H188:H190)</f>
        <v>725.74796342403988</v>
      </c>
      <c r="I191" s="5" t="s">
        <v>14</v>
      </c>
      <c r="J191" s="155"/>
      <c r="L191" s="153"/>
      <c r="M191" s="84"/>
      <c r="N191" s="113"/>
      <c r="O191" s="113"/>
      <c r="P191" s="113"/>
      <c r="Q191" s="113"/>
      <c r="R191" s="113"/>
      <c r="S191" s="87"/>
      <c r="T191" s="22"/>
      <c r="U191" s="22"/>
    </row>
    <row r="192" spans="1:21" x14ac:dyDescent="0.2">
      <c r="A192" s="1"/>
      <c r="B192" s="5" t="s">
        <v>622</v>
      </c>
      <c r="C192" s="5"/>
      <c r="D192" s="5"/>
      <c r="E192" s="5"/>
      <c r="F192" s="46" t="s">
        <v>82</v>
      </c>
      <c r="G192" s="47" t="s">
        <v>2</v>
      </c>
      <c r="H192" s="486">
        <f>+H90+H126</f>
        <v>12</v>
      </c>
      <c r="I192" s="5" t="s">
        <v>3</v>
      </c>
      <c r="J192" s="155"/>
      <c r="L192" s="153"/>
      <c r="M192" s="84"/>
      <c r="N192" s="113"/>
      <c r="O192" s="113"/>
      <c r="P192" s="113"/>
      <c r="Q192" s="113"/>
      <c r="R192" s="113"/>
      <c r="S192" s="87"/>
      <c r="T192" s="22"/>
      <c r="U192" s="22"/>
    </row>
    <row r="193" spans="1:21" x14ac:dyDescent="0.2">
      <c r="A193" s="1"/>
      <c r="B193" s="5" t="s">
        <v>39</v>
      </c>
      <c r="C193" s="5"/>
      <c r="D193" s="5"/>
      <c r="E193" s="5"/>
      <c r="F193" s="46" t="s">
        <v>83</v>
      </c>
      <c r="G193" s="47" t="s">
        <v>2</v>
      </c>
      <c r="H193" s="154">
        <f>H90-J168/H168</f>
        <v>4.9117647058823533</v>
      </c>
      <c r="I193" s="5" t="s">
        <v>3</v>
      </c>
      <c r="J193" s="155"/>
      <c r="L193" s="153"/>
      <c r="M193" s="156"/>
      <c r="N193" s="157"/>
      <c r="O193" s="157"/>
      <c r="P193" s="157"/>
      <c r="Q193" s="157"/>
      <c r="R193" s="157"/>
      <c r="S193" s="87"/>
      <c r="T193" s="22"/>
      <c r="U193" s="22"/>
    </row>
    <row r="194" spans="1:21" x14ac:dyDescent="0.2">
      <c r="A194" s="1"/>
      <c r="B194" s="5"/>
      <c r="C194" s="5"/>
      <c r="D194" s="5"/>
      <c r="E194" s="5"/>
      <c r="F194" s="46"/>
      <c r="G194" s="47"/>
      <c r="H194" s="154"/>
      <c r="I194" s="5"/>
      <c r="J194" s="155"/>
      <c r="L194" s="153"/>
      <c r="M194" s="84"/>
      <c r="N194" s="113"/>
      <c r="O194" s="159"/>
      <c r="P194" s="159"/>
      <c r="Q194" s="159"/>
      <c r="R194" s="160"/>
      <c r="S194" s="87"/>
      <c r="T194" s="22"/>
      <c r="U194" s="22"/>
    </row>
    <row r="195" spans="1:21" x14ac:dyDescent="0.2">
      <c r="A195" s="38" t="s">
        <v>525</v>
      </c>
      <c r="B195" s="5"/>
      <c r="C195" s="5"/>
      <c r="D195" s="5"/>
      <c r="E195" s="5"/>
      <c r="F195" s="46" t="s">
        <v>40</v>
      </c>
      <c r="G195" s="47" t="s">
        <v>2</v>
      </c>
      <c r="H195" s="154">
        <f>H86/H87</f>
        <v>1.1111111111111112</v>
      </c>
      <c r="I195" s="5"/>
      <c r="J195" s="81"/>
      <c r="K195" s="81"/>
      <c r="L195" s="153"/>
      <c r="M195" s="84"/>
      <c r="N195" s="113"/>
      <c r="O195" s="159"/>
      <c r="P195" s="159"/>
      <c r="Q195" s="159"/>
      <c r="R195" s="160"/>
      <c r="S195" s="87"/>
      <c r="T195" s="22"/>
      <c r="U195" s="22"/>
    </row>
    <row r="196" spans="1:21" x14ac:dyDescent="0.2">
      <c r="A196" s="1"/>
      <c r="B196" s="5" t="s">
        <v>41</v>
      </c>
      <c r="C196" s="5"/>
      <c r="D196" s="5"/>
      <c r="E196" s="5"/>
      <c r="F196" s="46" t="s">
        <v>84</v>
      </c>
      <c r="G196" s="47" t="s">
        <v>2</v>
      </c>
      <c r="H196" s="154">
        <f>TANH(0.866*H195)/(0.866*H195)</f>
        <v>0.77452633948478777</v>
      </c>
      <c r="I196" s="5"/>
      <c r="J196" s="155"/>
      <c r="L196" s="153"/>
      <c r="M196" s="84"/>
      <c r="N196" s="113"/>
      <c r="O196" s="159"/>
      <c r="P196" s="159"/>
      <c r="Q196" s="159"/>
      <c r="R196" s="160"/>
      <c r="S196" s="87"/>
      <c r="T196" s="22"/>
      <c r="U196" s="22"/>
    </row>
    <row r="197" spans="1:21" x14ac:dyDescent="0.2">
      <c r="A197" s="1"/>
      <c r="B197" s="5" t="s">
        <v>41</v>
      </c>
      <c r="C197" s="5"/>
      <c r="D197" s="5"/>
      <c r="E197" s="5"/>
      <c r="F197" s="46" t="s">
        <v>85</v>
      </c>
      <c r="G197" s="47" t="s">
        <v>2</v>
      </c>
      <c r="H197" s="154">
        <f>0.23*H195*TANH(3.68/H195)</f>
        <v>0.25487764520193273</v>
      </c>
      <c r="I197" s="5"/>
      <c r="J197" s="155"/>
      <c r="L197" s="153"/>
      <c r="M197" s="84"/>
      <c r="N197" s="113"/>
      <c r="O197" s="159"/>
      <c r="P197" s="159"/>
      <c r="Q197" s="159"/>
      <c r="R197" s="160"/>
      <c r="S197" s="87"/>
      <c r="T197" s="22"/>
      <c r="U197" s="22"/>
    </row>
    <row r="198" spans="1:21" x14ac:dyDescent="0.2">
      <c r="A198" s="1"/>
      <c r="B198" s="5" t="s">
        <v>42</v>
      </c>
      <c r="C198" s="5"/>
      <c r="D198" s="5"/>
      <c r="E198" s="5"/>
      <c r="F198" s="46" t="s">
        <v>86</v>
      </c>
      <c r="G198" s="47" t="s">
        <v>2</v>
      </c>
      <c r="H198" s="154">
        <f>IF(H195&lt;4/3,0.5-0.09375*H195,0.375)</f>
        <v>0.39583333333333331</v>
      </c>
      <c r="I198" s="5"/>
      <c r="J198" s="155"/>
      <c r="L198" s="153"/>
      <c r="M198" s="84"/>
      <c r="N198" s="113"/>
      <c r="O198" s="113"/>
      <c r="P198" s="113"/>
      <c r="Q198" s="113"/>
      <c r="R198" s="113"/>
      <c r="S198" s="87"/>
      <c r="T198" s="22"/>
      <c r="U198" s="22"/>
    </row>
    <row r="199" spans="1:21" x14ac:dyDescent="0.2">
      <c r="A199" s="1"/>
      <c r="B199" s="5" t="s">
        <v>42</v>
      </c>
      <c r="C199" s="5"/>
      <c r="D199" s="5"/>
      <c r="E199" s="5"/>
      <c r="F199" s="46" t="s">
        <v>87</v>
      </c>
      <c r="G199" s="47" t="s">
        <v>2</v>
      </c>
      <c r="H199" s="154">
        <f>1-(COSH(3.68/H195)-1)/(3.68/H195*SINH(3.68/H195))</f>
        <v>0.71930060699590292</v>
      </c>
      <c r="I199" s="5"/>
      <c r="J199" s="155"/>
      <c r="L199" s="153"/>
      <c r="M199" s="156"/>
      <c r="N199" s="157"/>
      <c r="O199" s="113"/>
      <c r="P199" s="113"/>
      <c r="Q199" s="113"/>
      <c r="R199" s="113"/>
      <c r="S199" s="87"/>
      <c r="T199" s="22"/>
      <c r="U199" s="22"/>
    </row>
    <row r="200" spans="1:21" x14ac:dyDescent="0.2">
      <c r="A200" s="1"/>
      <c r="B200" s="5" t="s">
        <v>43</v>
      </c>
      <c r="C200" s="5"/>
      <c r="D200" s="5"/>
      <c r="E200" s="5"/>
      <c r="F200" s="46" t="s">
        <v>44</v>
      </c>
      <c r="G200" s="47" t="s">
        <v>2</v>
      </c>
      <c r="H200" s="154">
        <f>2*PI()/SQRT(118.4*TANH(3.68/H195))</f>
        <v>0.57820362141683868</v>
      </c>
      <c r="I200" s="5"/>
      <c r="J200" s="155"/>
      <c r="L200" s="153"/>
      <c r="M200" s="84"/>
      <c r="N200" s="113"/>
      <c r="O200" s="113"/>
      <c r="P200" s="113"/>
      <c r="Q200" s="113"/>
      <c r="R200" s="113"/>
      <c r="S200" s="87"/>
      <c r="T200" s="22"/>
      <c r="U200" s="22"/>
    </row>
    <row r="201" spans="1:21" x14ac:dyDescent="0.2">
      <c r="A201" s="1"/>
      <c r="B201" s="5" t="s">
        <v>45</v>
      </c>
      <c r="C201" s="5"/>
      <c r="D201" s="5"/>
      <c r="E201" s="5"/>
      <c r="F201" s="46" t="s">
        <v>88</v>
      </c>
      <c r="G201" s="47" t="s">
        <v>2</v>
      </c>
      <c r="H201" s="158">
        <f>H190*H196</f>
        <v>547.4804080808708</v>
      </c>
      <c r="I201" s="5" t="s">
        <v>14</v>
      </c>
      <c r="J201" s="155"/>
      <c r="L201" s="153"/>
      <c r="M201" s="84"/>
      <c r="N201" s="113"/>
      <c r="O201" s="113"/>
      <c r="P201" s="113"/>
      <c r="Q201" s="113"/>
      <c r="R201" s="113"/>
      <c r="S201" s="87"/>
      <c r="T201" s="22"/>
      <c r="U201" s="22"/>
    </row>
    <row r="202" spans="1:21" x14ac:dyDescent="0.2">
      <c r="A202" s="1"/>
      <c r="B202" s="5" t="s">
        <v>46</v>
      </c>
      <c r="C202" s="5"/>
      <c r="D202" s="5"/>
      <c r="E202" s="5"/>
      <c r="F202" s="46" t="s">
        <v>89</v>
      </c>
      <c r="G202" s="47" t="s">
        <v>2</v>
      </c>
      <c r="H202" s="158">
        <f>H190*H197</f>
        <v>180.16239098939798</v>
      </c>
      <c r="I202" s="5" t="s">
        <v>14</v>
      </c>
      <c r="J202" s="155"/>
      <c r="L202" s="153"/>
      <c r="M202" s="84"/>
      <c r="N202" s="113"/>
      <c r="O202" s="113"/>
      <c r="P202" s="113"/>
      <c r="Q202" s="113"/>
      <c r="R202" s="113"/>
      <c r="S202" s="87"/>
      <c r="T202" s="22"/>
      <c r="U202" s="22"/>
    </row>
    <row r="203" spans="1:21" x14ac:dyDescent="0.2">
      <c r="A203" s="1"/>
      <c r="B203" s="4" t="s">
        <v>154</v>
      </c>
      <c r="C203" s="5"/>
      <c r="D203" s="5"/>
      <c r="E203" s="5"/>
      <c r="F203" s="46" t="s">
        <v>90</v>
      </c>
      <c r="G203" s="47" t="s">
        <v>2</v>
      </c>
      <c r="H203" s="154">
        <f>H198*H87</f>
        <v>3.5625</v>
      </c>
      <c r="I203" s="5" t="s">
        <v>3</v>
      </c>
      <c r="J203" s="155"/>
      <c r="L203" s="153"/>
      <c r="M203" s="84"/>
      <c r="N203" s="113"/>
      <c r="O203" s="113"/>
      <c r="P203" s="113"/>
      <c r="Q203" s="113"/>
      <c r="R203" s="113"/>
      <c r="S203" s="87"/>
      <c r="T203" s="22"/>
      <c r="U203" s="22"/>
    </row>
    <row r="204" spans="1:21" x14ac:dyDescent="0.2">
      <c r="A204" s="1"/>
      <c r="B204" s="4" t="s">
        <v>155</v>
      </c>
      <c r="C204" s="5"/>
      <c r="D204" s="5"/>
      <c r="E204" s="5"/>
      <c r="F204" s="46" t="s">
        <v>91</v>
      </c>
      <c r="G204" s="47" t="s">
        <v>2</v>
      </c>
      <c r="H204" s="154">
        <f>H199*H87</f>
        <v>6.4737054629631263</v>
      </c>
      <c r="I204" s="5" t="s">
        <v>3</v>
      </c>
      <c r="J204" s="155"/>
      <c r="L204" s="153"/>
      <c r="M204" s="84"/>
      <c r="N204" s="113"/>
      <c r="O204" s="113"/>
      <c r="P204" s="113"/>
      <c r="Q204" s="113"/>
      <c r="R204" s="113"/>
      <c r="S204" s="87"/>
      <c r="T204" s="22"/>
      <c r="U204" s="22"/>
    </row>
    <row r="205" spans="1:21" x14ac:dyDescent="0.2">
      <c r="A205" s="1"/>
      <c r="B205" s="5" t="s">
        <v>47</v>
      </c>
      <c r="C205" s="5"/>
      <c r="D205" s="5"/>
      <c r="E205" s="5"/>
      <c r="F205" s="46" t="s">
        <v>225</v>
      </c>
      <c r="G205" s="47" t="s">
        <v>2</v>
      </c>
      <c r="H205" s="154">
        <f>1.81*H200*H86^0.5</f>
        <v>3.3094771150132125</v>
      </c>
      <c r="I205" s="5" t="s">
        <v>48</v>
      </c>
      <c r="J205" s="155"/>
      <c r="L205" s="153"/>
      <c r="M205" s="84"/>
      <c r="N205" s="113"/>
      <c r="O205" s="113"/>
      <c r="P205" s="113"/>
      <c r="Q205" s="113"/>
      <c r="R205" s="113"/>
      <c r="S205" s="87"/>
      <c r="T205" s="22"/>
      <c r="U205" s="22"/>
    </row>
    <row r="206" spans="1:21" x14ac:dyDescent="0.2">
      <c r="A206" s="1"/>
      <c r="B206" s="5" t="s">
        <v>188</v>
      </c>
      <c r="C206" s="5"/>
      <c r="D206" s="5"/>
      <c r="E206" s="5"/>
      <c r="F206" s="46" t="s">
        <v>153</v>
      </c>
      <c r="G206" s="47" t="s">
        <v>2</v>
      </c>
      <c r="H206" s="154">
        <f>MAX(2.75*H104/4*(H111/H205)^H112*(0.05/0.005)^0.4,0.1*H104)</f>
        <v>4.0000000000000008E-2</v>
      </c>
      <c r="I206" s="5"/>
      <c r="J206" s="155"/>
      <c r="L206" s="153"/>
      <c r="M206" s="153"/>
      <c r="N206" s="82"/>
      <c r="O206" s="82"/>
      <c r="P206" s="82"/>
      <c r="Q206" s="82"/>
      <c r="R206" s="82"/>
    </row>
    <row r="207" spans="1:21" x14ac:dyDescent="0.2">
      <c r="A207" s="1"/>
      <c r="B207" s="5" t="s">
        <v>189</v>
      </c>
      <c r="C207" s="5"/>
      <c r="D207" s="5"/>
      <c r="E207" s="5"/>
      <c r="F207" s="46" t="s">
        <v>92</v>
      </c>
      <c r="G207" s="47" t="s">
        <v>2</v>
      </c>
      <c r="H207" s="154">
        <f>H110</f>
        <v>0.32</v>
      </c>
      <c r="I207" s="5"/>
      <c r="J207" s="155"/>
      <c r="L207" s="153"/>
      <c r="M207" s="153"/>
      <c r="N207" s="82"/>
      <c r="O207" s="82"/>
      <c r="P207" s="82"/>
      <c r="Q207" s="82"/>
      <c r="R207" s="82"/>
    </row>
    <row r="208" spans="1:21" x14ac:dyDescent="0.2">
      <c r="A208" s="1"/>
      <c r="B208" s="5" t="s">
        <v>156</v>
      </c>
      <c r="C208" s="5"/>
      <c r="E208" s="5"/>
      <c r="F208" s="46" t="s">
        <v>226</v>
      </c>
      <c r="G208" s="47" t="s">
        <v>2</v>
      </c>
      <c r="H208" s="154">
        <f>0.3426*H106*H206*H205^2*TANH(4.77/SQRT(H195))</f>
        <v>0.15005974175104675</v>
      </c>
      <c r="I208" s="5" t="s">
        <v>3</v>
      </c>
      <c r="J208" s="161"/>
    </row>
    <row r="209" spans="1:10" x14ac:dyDescent="0.2">
      <c r="A209" s="1"/>
      <c r="B209" s="1"/>
      <c r="C209" s="1"/>
      <c r="D209" s="1"/>
      <c r="E209" s="1"/>
      <c r="F209" s="1"/>
      <c r="G209" s="1"/>
      <c r="H209" s="1"/>
      <c r="I209" s="1"/>
      <c r="J209" s="155"/>
    </row>
    <row r="210" spans="1:10" x14ac:dyDescent="0.2">
      <c r="A210" s="1"/>
      <c r="B210" s="1"/>
      <c r="C210" s="1"/>
      <c r="D210" s="1"/>
      <c r="E210" s="1"/>
      <c r="F210" s="1"/>
      <c r="G210" s="162" t="str">
        <f>IF(H208&lt;H89,"Revancha OK","Aumentar Revancha")</f>
        <v>Revancha OK</v>
      </c>
      <c r="H210" s="1"/>
      <c r="I210" s="1"/>
      <c r="J210" s="155"/>
    </row>
    <row r="211" spans="1:10" x14ac:dyDescent="0.2">
      <c r="A211" s="1"/>
      <c r="B211" s="5"/>
      <c r="C211" s="5"/>
      <c r="D211" s="5"/>
      <c r="E211" s="5"/>
      <c r="F211" s="46"/>
      <c r="G211" s="47"/>
      <c r="H211" s="163"/>
      <c r="I211" s="5"/>
      <c r="J211" s="155"/>
    </row>
    <row r="212" spans="1:10" x14ac:dyDescent="0.2">
      <c r="A212" s="1"/>
      <c r="B212" s="5"/>
      <c r="C212" s="5"/>
      <c r="D212" s="5"/>
      <c r="E212" s="5"/>
      <c r="F212" s="22"/>
      <c r="G212" s="47"/>
      <c r="H212" s="163"/>
      <c r="I212" s="5"/>
      <c r="J212" s="155"/>
    </row>
    <row r="213" spans="1:10" x14ac:dyDescent="0.2">
      <c r="A213" s="1"/>
      <c r="B213" s="5"/>
      <c r="C213" s="5"/>
      <c r="D213" s="5"/>
      <c r="E213" s="5"/>
      <c r="F213" s="46"/>
      <c r="G213" s="47"/>
      <c r="H213" s="163"/>
      <c r="I213" s="5"/>
      <c r="J213" s="155"/>
    </row>
    <row r="214" spans="1:10" ht="14.25" x14ac:dyDescent="0.2">
      <c r="A214" s="1"/>
      <c r="B214" s="22"/>
      <c r="C214" s="164"/>
      <c r="D214" s="5"/>
      <c r="E214" s="22"/>
      <c r="F214" s="22"/>
      <c r="G214" s="47"/>
      <c r="H214" s="163"/>
      <c r="I214" s="5"/>
      <c r="J214" s="155"/>
    </row>
    <row r="215" spans="1:10" x14ac:dyDescent="0.2">
      <c r="A215" s="1"/>
      <c r="B215" s="1"/>
      <c r="C215" s="1"/>
      <c r="D215" s="1"/>
      <c r="E215" s="1"/>
      <c r="F215" s="1"/>
      <c r="G215" s="1"/>
      <c r="H215" s="22"/>
      <c r="I215" s="1"/>
      <c r="J215" s="155"/>
    </row>
    <row r="216" spans="1:10" x14ac:dyDescent="0.2">
      <c r="A216" s="1"/>
      <c r="B216" s="1"/>
      <c r="C216" s="1"/>
      <c r="D216" s="1"/>
      <c r="E216" s="1"/>
      <c r="F216" s="1"/>
      <c r="G216" s="1"/>
      <c r="H216" s="1"/>
      <c r="I216" s="1"/>
      <c r="J216" s="155"/>
    </row>
    <row r="217" spans="1:10" x14ac:dyDescent="0.2">
      <c r="A217" s="1"/>
      <c r="B217" s="1"/>
      <c r="C217" s="22"/>
      <c r="D217" s="22"/>
      <c r="E217" s="1"/>
      <c r="F217" s="1"/>
      <c r="G217" s="1"/>
      <c r="H217" s="1"/>
      <c r="I217" s="1"/>
      <c r="J217" s="155"/>
    </row>
    <row r="218" spans="1:10" x14ac:dyDescent="0.2">
      <c r="A218" s="1"/>
      <c r="B218" s="5"/>
      <c r="C218" s="5"/>
      <c r="D218" s="5"/>
      <c r="E218" s="5"/>
      <c r="F218" s="46"/>
      <c r="G218" s="22"/>
      <c r="H218" s="165"/>
      <c r="I218" s="5"/>
      <c r="J218" s="155"/>
    </row>
    <row r="219" spans="1:10" x14ac:dyDescent="0.2">
      <c r="A219" s="1"/>
      <c r="B219" s="5"/>
      <c r="C219" s="5"/>
      <c r="D219" s="5"/>
      <c r="E219" s="5"/>
      <c r="F219" s="46"/>
      <c r="G219" s="47"/>
      <c r="H219" s="165"/>
      <c r="I219" s="5"/>
      <c r="J219" s="155"/>
    </row>
    <row r="220" spans="1:10" x14ac:dyDescent="0.2">
      <c r="A220" s="1"/>
      <c r="B220" s="5"/>
      <c r="C220" s="22"/>
      <c r="D220" s="5"/>
      <c r="E220" s="22"/>
      <c r="F220" s="46"/>
      <c r="G220" s="47"/>
      <c r="H220" s="166"/>
      <c r="I220" s="5"/>
      <c r="J220" s="155"/>
    </row>
    <row r="221" spans="1:10" x14ac:dyDescent="0.2">
      <c r="A221" s="1"/>
      <c r="B221" s="5"/>
      <c r="C221" s="5"/>
      <c r="D221" s="5"/>
      <c r="E221" s="5"/>
      <c r="F221" s="46"/>
      <c r="G221" s="166"/>
      <c r="H221" s="165"/>
      <c r="I221" s="5"/>
      <c r="J221" s="155"/>
    </row>
    <row r="222" spans="1:10" x14ac:dyDescent="0.2">
      <c r="A222" s="1"/>
      <c r="B222" s="5"/>
      <c r="C222" s="5"/>
      <c r="D222" s="5"/>
      <c r="E222" s="5"/>
      <c r="F222" s="46"/>
      <c r="G222" s="47"/>
      <c r="H222" s="165"/>
      <c r="I222" s="5"/>
      <c r="J222" s="155"/>
    </row>
    <row r="223" spans="1:10" x14ac:dyDescent="0.2">
      <c r="A223" s="1"/>
      <c r="B223" s="5"/>
      <c r="C223" s="5"/>
      <c r="D223" s="5"/>
      <c r="E223" s="5"/>
      <c r="F223" s="46"/>
      <c r="G223" s="47"/>
      <c r="H223" s="165"/>
      <c r="I223" s="5"/>
      <c r="J223" s="155"/>
    </row>
    <row r="224" spans="1:10" x14ac:dyDescent="0.2">
      <c r="A224" s="1"/>
      <c r="B224" s="5"/>
      <c r="C224" s="5"/>
      <c r="D224" s="5"/>
      <c r="E224" s="5"/>
      <c r="F224" s="46"/>
      <c r="G224" s="47"/>
      <c r="H224" s="165"/>
      <c r="I224" s="5"/>
      <c r="J224" s="155"/>
    </row>
    <row r="225" spans="1:10" x14ac:dyDescent="0.2">
      <c r="A225" s="1"/>
      <c r="B225" s="5"/>
      <c r="C225" s="5"/>
      <c r="D225" s="5"/>
      <c r="E225" s="5"/>
      <c r="F225" s="46"/>
      <c r="G225" s="47"/>
      <c r="H225" s="165"/>
      <c r="I225" s="5"/>
      <c r="J225" s="155"/>
    </row>
    <row r="226" spans="1:10" x14ac:dyDescent="0.2">
      <c r="A226" s="1"/>
      <c r="B226" s="5"/>
      <c r="C226" s="5"/>
      <c r="D226" s="5"/>
      <c r="E226" s="5"/>
      <c r="F226" s="46"/>
      <c r="G226" s="47"/>
      <c r="H226" s="165"/>
      <c r="I226" s="5"/>
      <c r="J226" s="155"/>
    </row>
    <row r="227" spans="1:10" x14ac:dyDescent="0.2">
      <c r="A227" s="1"/>
      <c r="B227" s="5"/>
      <c r="C227" s="5"/>
      <c r="D227" s="5"/>
      <c r="E227" s="5"/>
      <c r="F227" s="46"/>
      <c r="G227" s="47"/>
      <c r="H227" s="165"/>
      <c r="I227" s="5"/>
      <c r="J227" s="155"/>
    </row>
    <row r="228" spans="1:10" x14ac:dyDescent="0.2">
      <c r="A228" s="1"/>
      <c r="B228" s="5"/>
      <c r="C228" s="5"/>
      <c r="D228" s="5"/>
      <c r="E228" s="5"/>
      <c r="F228" s="46"/>
      <c r="G228" s="47"/>
      <c r="H228" s="165"/>
      <c r="I228" s="166"/>
      <c r="J228" s="155"/>
    </row>
    <row r="229" spans="1:10" x14ac:dyDescent="0.2">
      <c r="A229" s="1"/>
      <c r="B229" s="5"/>
      <c r="C229" s="5"/>
      <c r="D229" s="5"/>
      <c r="E229" s="5"/>
      <c r="F229" s="46"/>
      <c r="G229" s="47"/>
      <c r="H229" s="165"/>
      <c r="I229" s="5"/>
      <c r="J229" s="155"/>
    </row>
    <row r="230" spans="1:10" x14ac:dyDescent="0.2">
      <c r="A230" s="1"/>
      <c r="B230" s="5"/>
      <c r="C230" s="5"/>
      <c r="D230" s="5"/>
      <c r="E230" s="5"/>
      <c r="F230" s="46"/>
      <c r="G230" s="47"/>
      <c r="H230" s="165"/>
      <c r="I230" s="5"/>
      <c r="J230" s="155"/>
    </row>
    <row r="231" spans="1:10" x14ac:dyDescent="0.2">
      <c r="A231" s="1"/>
      <c r="B231" s="5"/>
      <c r="C231" s="5"/>
      <c r="D231" s="5"/>
      <c r="E231" s="5"/>
      <c r="F231" s="46"/>
      <c r="G231" s="47"/>
      <c r="H231" s="165"/>
      <c r="I231" s="5"/>
      <c r="J231" s="155"/>
    </row>
    <row r="232" spans="1:10" x14ac:dyDescent="0.2">
      <c r="A232" s="1"/>
      <c r="B232" s="5"/>
      <c r="C232" s="5"/>
      <c r="D232" s="5"/>
      <c r="E232" s="5"/>
      <c r="F232" s="46"/>
      <c r="G232" s="47"/>
      <c r="H232" s="165"/>
      <c r="I232" s="5"/>
      <c r="J232" s="155"/>
    </row>
    <row r="233" spans="1:10" x14ac:dyDescent="0.2">
      <c r="A233" s="1"/>
      <c r="B233" s="5"/>
      <c r="C233" s="5"/>
      <c r="D233" s="5"/>
      <c r="E233" s="5"/>
      <c r="F233" s="46"/>
      <c r="G233" s="47"/>
      <c r="H233" s="165"/>
      <c r="I233" s="5"/>
      <c r="J233" s="155"/>
    </row>
    <row r="234" spans="1:10" x14ac:dyDescent="0.2">
      <c r="A234" s="1"/>
      <c r="B234" s="5"/>
      <c r="C234" s="5"/>
      <c r="D234" s="5"/>
      <c r="E234" s="5"/>
      <c r="F234" s="46"/>
      <c r="G234" s="47"/>
      <c r="H234" s="165"/>
      <c r="I234" s="5"/>
      <c r="J234" s="155"/>
    </row>
    <row r="235" spans="1:10" x14ac:dyDescent="0.2">
      <c r="A235" s="1"/>
      <c r="B235" s="5"/>
      <c r="C235" s="5"/>
      <c r="D235" s="5"/>
      <c r="E235" s="5"/>
      <c r="F235" s="46"/>
      <c r="G235" s="47"/>
      <c r="H235" s="165"/>
      <c r="I235" s="5"/>
      <c r="J235" s="155"/>
    </row>
    <row r="236" spans="1:10" x14ac:dyDescent="0.2">
      <c r="A236" s="1"/>
      <c r="B236" s="5"/>
      <c r="C236" s="5"/>
      <c r="D236" s="5"/>
      <c r="E236" s="5"/>
      <c r="F236" s="46"/>
      <c r="G236" s="47"/>
      <c r="H236" s="165"/>
      <c r="I236" s="5"/>
      <c r="J236" s="155"/>
    </row>
    <row r="237" spans="1:10" x14ac:dyDescent="0.2">
      <c r="A237" s="1"/>
      <c r="B237" s="1"/>
      <c r="C237" s="1"/>
      <c r="D237" s="1"/>
      <c r="E237" s="5"/>
      <c r="F237" s="46"/>
      <c r="G237" s="47"/>
      <c r="H237" s="165"/>
      <c r="I237" s="5"/>
      <c r="J237" s="155"/>
    </row>
    <row r="238" spans="1:10" x14ac:dyDescent="0.2">
      <c r="A238" s="38" t="s">
        <v>526</v>
      </c>
      <c r="B238" s="5"/>
      <c r="C238" s="5"/>
      <c r="D238" s="5"/>
      <c r="E238" s="5"/>
      <c r="F238" s="46"/>
      <c r="G238" s="47"/>
      <c r="H238" s="165"/>
      <c r="I238" s="5"/>
      <c r="J238" s="155"/>
    </row>
    <row r="239" spans="1:10" x14ac:dyDescent="0.2">
      <c r="A239" s="5"/>
      <c r="C239" s="5"/>
      <c r="D239" s="5"/>
      <c r="E239" s="5"/>
      <c r="F239" s="46"/>
      <c r="G239" s="47"/>
      <c r="H239" s="165"/>
      <c r="I239" s="5"/>
      <c r="J239" s="155"/>
    </row>
    <row r="240" spans="1:10" x14ac:dyDescent="0.2">
      <c r="A240" s="5"/>
      <c r="B240" s="5" t="s">
        <v>326</v>
      </c>
      <c r="C240" s="5"/>
      <c r="D240" s="5"/>
      <c r="E240" s="5"/>
      <c r="F240" s="46"/>
      <c r="G240" s="47"/>
      <c r="H240" s="165"/>
      <c r="I240" s="5"/>
      <c r="J240" s="155"/>
    </row>
    <row r="241" spans="1:10" x14ac:dyDescent="0.2">
      <c r="A241" s="5"/>
      <c r="B241" s="5" t="s">
        <v>539</v>
      </c>
      <c r="C241" s="474">
        <v>0</v>
      </c>
      <c r="D241" s="5" t="s">
        <v>49</v>
      </c>
      <c r="E241" s="5"/>
      <c r="F241" s="46"/>
      <c r="G241" s="47"/>
      <c r="H241" s="165"/>
      <c r="I241" s="5"/>
      <c r="J241" s="155"/>
    </row>
    <row r="242" spans="1:10" x14ac:dyDescent="0.2">
      <c r="A242" s="1"/>
      <c r="B242" s="5"/>
      <c r="C242" s="5"/>
      <c r="D242" s="5"/>
      <c r="E242" s="5"/>
      <c r="F242" s="46"/>
      <c r="G242" s="47"/>
      <c r="H242" s="165"/>
      <c r="I242" s="5"/>
      <c r="J242" s="155"/>
    </row>
    <row r="243" spans="1:10" x14ac:dyDescent="0.2">
      <c r="A243" s="1"/>
      <c r="B243" s="5" t="s">
        <v>324</v>
      </c>
      <c r="C243" s="5"/>
      <c r="D243" s="5"/>
      <c r="E243" s="5"/>
      <c r="F243" s="46"/>
      <c r="G243" s="47"/>
      <c r="H243" s="165"/>
      <c r="I243" s="5"/>
      <c r="J243" s="155"/>
    </row>
    <row r="244" spans="1:10" x14ac:dyDescent="0.2">
      <c r="A244" s="1"/>
      <c r="B244" s="5" t="s">
        <v>540</v>
      </c>
      <c r="C244" s="474">
        <v>0</v>
      </c>
      <c r="D244" s="5" t="s">
        <v>50</v>
      </c>
      <c r="E244" s="5"/>
      <c r="F244" s="46"/>
      <c r="G244" s="47"/>
      <c r="H244" s="165"/>
      <c r="I244" s="5"/>
      <c r="J244" s="155"/>
    </row>
    <row r="245" spans="1:10" x14ac:dyDescent="0.2">
      <c r="A245" s="1"/>
      <c r="B245" s="5"/>
      <c r="C245" s="5"/>
      <c r="D245" s="5"/>
      <c r="E245" s="5"/>
      <c r="F245" s="46"/>
      <c r="G245" s="47"/>
      <c r="H245" s="165"/>
      <c r="I245" s="5"/>
      <c r="J245" s="155"/>
    </row>
    <row r="246" spans="1:10" x14ac:dyDescent="0.2">
      <c r="A246" s="1"/>
      <c r="B246" s="5" t="s">
        <v>325</v>
      </c>
      <c r="C246" s="5"/>
      <c r="D246" s="5"/>
      <c r="E246" s="5"/>
      <c r="F246" s="46"/>
      <c r="G246" s="47"/>
      <c r="H246" s="165"/>
      <c r="I246" s="5"/>
      <c r="J246" s="155"/>
    </row>
    <row r="247" spans="1:10" x14ac:dyDescent="0.2">
      <c r="A247" s="1"/>
      <c r="B247" s="5" t="s">
        <v>541</v>
      </c>
      <c r="C247" s="474">
        <v>0</v>
      </c>
      <c r="D247" s="5" t="s">
        <v>50</v>
      </c>
      <c r="E247" s="5"/>
      <c r="F247" s="46"/>
      <c r="G247" s="47"/>
      <c r="H247" s="165"/>
      <c r="I247" s="5"/>
      <c r="J247" s="155"/>
    </row>
    <row r="248" spans="1:10" x14ac:dyDescent="0.2">
      <c r="A248" s="1"/>
      <c r="B248" s="5"/>
      <c r="C248" s="5"/>
      <c r="D248" s="5"/>
      <c r="E248" s="5"/>
      <c r="F248" s="46"/>
      <c r="G248" s="47"/>
      <c r="H248" s="165"/>
      <c r="I248" s="5"/>
      <c r="J248" s="155"/>
    </row>
    <row r="249" spans="1:10" x14ac:dyDescent="0.2">
      <c r="B249" s="5" t="s">
        <v>538</v>
      </c>
      <c r="C249" s="5"/>
      <c r="D249" s="5"/>
      <c r="E249" s="5"/>
      <c r="F249" s="46"/>
      <c r="G249" s="47"/>
      <c r="H249" s="165"/>
      <c r="I249" s="5"/>
      <c r="J249" s="155"/>
    </row>
    <row r="250" spans="1:10" x14ac:dyDescent="0.2">
      <c r="A250" s="1"/>
      <c r="B250" s="5"/>
      <c r="C250" s="5"/>
      <c r="D250" s="5"/>
      <c r="E250" s="5"/>
      <c r="F250" s="46"/>
      <c r="G250" s="47"/>
      <c r="H250" s="165"/>
      <c r="I250" s="5"/>
      <c r="J250" s="155"/>
    </row>
    <row r="251" spans="1:10" x14ac:dyDescent="0.2">
      <c r="A251" s="1"/>
      <c r="B251" s="5"/>
      <c r="C251" s="5"/>
      <c r="D251" s="5"/>
      <c r="E251" s="5"/>
      <c r="F251" s="46"/>
      <c r="G251" s="47"/>
      <c r="H251" s="165"/>
      <c r="I251" s="5"/>
      <c r="J251" s="155"/>
    </row>
    <row r="252" spans="1:10" x14ac:dyDescent="0.2">
      <c r="A252" s="38" t="s">
        <v>527</v>
      </c>
      <c r="B252" s="5"/>
      <c r="C252" s="5"/>
      <c r="D252" s="5"/>
      <c r="E252" s="5"/>
      <c r="F252" s="46"/>
      <c r="G252" s="47"/>
      <c r="H252" s="167"/>
      <c r="I252" s="5"/>
      <c r="J252" s="155"/>
    </row>
    <row r="253" spans="1:10" x14ac:dyDescent="0.2">
      <c r="A253" s="1"/>
      <c r="B253" s="5" t="s">
        <v>190</v>
      </c>
      <c r="C253" s="5"/>
      <c r="D253" s="5"/>
      <c r="E253" s="5"/>
      <c r="F253" s="46" t="s">
        <v>331</v>
      </c>
      <c r="G253" s="47" t="s">
        <v>2</v>
      </c>
      <c r="H253" s="168">
        <f>H106*(H207*H189*H193+H207*H188*H192+H207*H201*H203+H206*H202*H204)</f>
        <v>712.5198610594191</v>
      </c>
      <c r="I253" s="5" t="s">
        <v>49</v>
      </c>
      <c r="J253" s="155"/>
    </row>
    <row r="254" spans="1:10" x14ac:dyDescent="0.2">
      <c r="A254" s="1"/>
      <c r="B254" s="5" t="s">
        <v>191</v>
      </c>
      <c r="C254" s="5"/>
      <c r="D254" s="5"/>
      <c r="E254" s="5"/>
      <c r="F254" s="46" t="s">
        <v>330</v>
      </c>
      <c r="G254" s="47" t="s">
        <v>2</v>
      </c>
      <c r="H254" s="168">
        <f>H106*(H207*H189+H207*H188+H207*H201+H206*H202)</f>
        <v>188.44490346268225</v>
      </c>
      <c r="I254" s="5" t="s">
        <v>50</v>
      </c>
      <c r="J254" s="155"/>
    </row>
    <row r="255" spans="1:10" x14ac:dyDescent="0.2">
      <c r="A255" s="1"/>
      <c r="B255" s="5"/>
      <c r="C255" s="5"/>
      <c r="D255" s="5"/>
      <c r="E255" s="22"/>
      <c r="F255" s="46"/>
      <c r="G255" s="47"/>
      <c r="H255" s="168"/>
      <c r="I255" s="5"/>
      <c r="J255" s="155"/>
    </row>
    <row r="256" spans="1:10" x14ac:dyDescent="0.2">
      <c r="A256" s="1"/>
      <c r="B256" s="5"/>
      <c r="C256" s="5"/>
      <c r="D256" s="5"/>
      <c r="E256" s="166"/>
      <c r="F256" s="46"/>
      <c r="G256" s="47"/>
      <c r="H256" s="168"/>
      <c r="I256" s="5"/>
      <c r="J256" s="155"/>
    </row>
    <row r="257" spans="1:10" x14ac:dyDescent="0.2">
      <c r="A257" s="1"/>
      <c r="B257" s="1"/>
      <c r="C257" s="1"/>
      <c r="D257" s="1"/>
      <c r="E257" s="1"/>
      <c r="F257" s="1"/>
      <c r="G257" s="1"/>
      <c r="H257" s="47"/>
      <c r="I257" s="1"/>
      <c r="J257" s="155"/>
    </row>
    <row r="258" spans="1:10" x14ac:dyDescent="0.2">
      <c r="A258" s="1"/>
      <c r="B258" s="1"/>
      <c r="C258" s="1"/>
      <c r="D258" s="1"/>
      <c r="E258" s="1"/>
      <c r="F258" s="1"/>
      <c r="G258" s="1"/>
      <c r="H258" s="47"/>
      <c r="I258" s="1"/>
      <c r="J258" s="155"/>
    </row>
    <row r="259" spans="1:10" x14ac:dyDescent="0.2">
      <c r="A259" s="38" t="s">
        <v>528</v>
      </c>
      <c r="B259" s="5"/>
      <c r="C259" s="5"/>
      <c r="D259" s="5"/>
      <c r="E259" s="5"/>
      <c r="F259" s="46"/>
      <c r="G259" s="47"/>
      <c r="H259" s="167"/>
      <c r="I259" s="5"/>
      <c r="J259" s="155"/>
    </row>
    <row r="260" spans="1:10" x14ac:dyDescent="0.2">
      <c r="A260" s="1"/>
      <c r="B260" s="5" t="s">
        <v>51</v>
      </c>
      <c r="C260" s="5"/>
      <c r="D260" s="5"/>
      <c r="E260" s="5"/>
      <c r="F260" s="46" t="s">
        <v>93</v>
      </c>
      <c r="G260" s="47" t="s">
        <v>2</v>
      </c>
      <c r="H260" s="167">
        <f>(H189+H188+C247)/PI()/H86</f>
        <v>0.6012751635624024</v>
      </c>
      <c r="I260" s="5" t="s">
        <v>52</v>
      </c>
      <c r="J260" s="155"/>
    </row>
    <row r="261" spans="1:10" x14ac:dyDescent="0.2">
      <c r="A261" s="1"/>
      <c r="B261" s="5" t="s">
        <v>53</v>
      </c>
      <c r="C261" s="5"/>
      <c r="D261" s="166"/>
      <c r="E261" s="5"/>
      <c r="F261" s="46" t="s">
        <v>94</v>
      </c>
      <c r="G261" s="47" t="s">
        <v>2</v>
      </c>
      <c r="H261" s="167">
        <f>MIN(196*H91*H87*H86,99*MIN(H183,6)*SQRT(H93*100*H91*H87))/10000</f>
        <v>1.764</v>
      </c>
      <c r="I261" s="5" t="s">
        <v>52</v>
      </c>
      <c r="J261" s="155"/>
    </row>
    <row r="262" spans="1:10" x14ac:dyDescent="0.2">
      <c r="A262" s="1"/>
      <c r="B262" s="5" t="s">
        <v>51</v>
      </c>
      <c r="C262" s="5"/>
      <c r="D262" s="5"/>
      <c r="E262" s="5"/>
      <c r="F262" s="169" t="s">
        <v>608</v>
      </c>
      <c r="G262" s="47" t="s">
        <v>2</v>
      </c>
      <c r="H262" s="167">
        <f>(H253+C241)/H86^2/(H260+H261)/IF(K116,(1-H113),1)</f>
        <v>3.0124184789826924</v>
      </c>
      <c r="J262" s="155"/>
    </row>
    <row r="263" spans="1:10" ht="12.75" customHeight="1" x14ac:dyDescent="0.25">
      <c r="A263" s="1"/>
      <c r="B263" s="5"/>
      <c r="C263" s="5"/>
      <c r="D263" s="5"/>
      <c r="E263" s="5"/>
      <c r="F263" s="46"/>
      <c r="G263" s="47"/>
      <c r="H263" s="589" t="str">
        <f>IF(H262&lt;1.57,"No anclar","Anclar")&amp;" Estanque"</f>
        <v>Anclar Estanque</v>
      </c>
      <c r="I263" s="589"/>
      <c r="J263" s="155"/>
    </row>
    <row r="264" spans="1:10" x14ac:dyDescent="0.2">
      <c r="A264" s="1"/>
      <c r="B264" s="1"/>
      <c r="C264" s="1"/>
      <c r="D264" s="1"/>
      <c r="E264" s="1"/>
      <c r="F264" s="1"/>
      <c r="G264" s="1"/>
      <c r="H264" s="1"/>
      <c r="I264" s="1"/>
      <c r="J264" s="155"/>
    </row>
    <row r="265" spans="1:10" x14ac:dyDescent="0.2">
      <c r="A265" s="38" t="s">
        <v>529</v>
      </c>
      <c r="B265" s="5"/>
      <c r="C265" s="5"/>
      <c r="D265" s="5"/>
      <c r="E265" s="5"/>
      <c r="F265" s="46"/>
      <c r="G265" s="47"/>
      <c r="H265" s="170"/>
      <c r="I265" s="5"/>
      <c r="J265" s="155"/>
    </row>
    <row r="266" spans="1:10" x14ac:dyDescent="0.2">
      <c r="A266" s="1"/>
      <c r="B266" s="5" t="s">
        <v>369</v>
      </c>
      <c r="C266" s="1"/>
      <c r="D266" s="1"/>
      <c r="E266" s="1"/>
      <c r="F266" s="102" t="s">
        <v>3</v>
      </c>
      <c r="G266" s="47" t="s">
        <v>2</v>
      </c>
      <c r="H266" s="475">
        <v>0.4</v>
      </c>
      <c r="I266" s="1"/>
      <c r="J266" s="155"/>
    </row>
    <row r="267" spans="1:10" x14ac:dyDescent="0.2">
      <c r="A267" s="1"/>
      <c r="B267" s="5" t="s">
        <v>241</v>
      </c>
      <c r="C267" s="5"/>
      <c r="D267" s="5"/>
      <c r="E267" s="5"/>
      <c r="F267" s="169" t="s">
        <v>610</v>
      </c>
      <c r="G267" s="47" t="s">
        <v>2</v>
      </c>
      <c r="H267" s="167">
        <f>+H266*(H191+C247)*IF(K116,(1-H113),1)/(H254+C244)</f>
        <v>1.5404990001605636</v>
      </c>
      <c r="I267" s="171"/>
      <c r="J267" s="155"/>
    </row>
    <row r="268" spans="1:10" ht="15" x14ac:dyDescent="0.25">
      <c r="A268" s="1"/>
      <c r="B268" s="5"/>
      <c r="C268" s="5"/>
      <c r="D268" s="5"/>
      <c r="E268" s="5"/>
      <c r="F268" s="46"/>
      <c r="G268" s="47"/>
      <c r="H268" s="589" t="str">
        <f>IF(H267&gt;1,"No desliza","Anclar")&amp;" Estanque"</f>
        <v>No desliza Estanque</v>
      </c>
      <c r="I268" s="589"/>
    </row>
    <row r="269" spans="1:10" x14ac:dyDescent="0.2">
      <c r="A269" s="38" t="s">
        <v>530</v>
      </c>
      <c r="B269" s="5"/>
      <c r="C269" s="5"/>
      <c r="D269" s="5"/>
      <c r="E269" s="5"/>
      <c r="F269" s="46"/>
      <c r="G269" s="47"/>
      <c r="H269" s="170"/>
      <c r="I269" s="5"/>
    </row>
    <row r="270" spans="1:10" x14ac:dyDescent="0.2">
      <c r="A270" s="1"/>
      <c r="B270" s="5" t="s">
        <v>54</v>
      </c>
      <c r="C270" s="5"/>
      <c r="D270" s="5"/>
      <c r="E270" s="5"/>
      <c r="F270" s="46" t="s">
        <v>55</v>
      </c>
      <c r="G270" s="47" t="s">
        <v>2</v>
      </c>
      <c r="H270" s="167">
        <f>H260+4/PI()*(H253+C241)/(H86^2)</f>
        <v>9.6733597986629629</v>
      </c>
      <c r="I270" s="5" t="s">
        <v>52</v>
      </c>
    </row>
    <row r="271" spans="1:10" x14ac:dyDescent="0.2">
      <c r="A271" s="1"/>
      <c r="B271" s="5"/>
      <c r="C271" s="5"/>
      <c r="D271" s="5"/>
      <c r="E271" s="5"/>
      <c r="F271" s="46" t="s">
        <v>95</v>
      </c>
      <c r="G271" s="47" t="s">
        <v>2</v>
      </c>
      <c r="H271" s="172">
        <f>IF(H270="-","-",H270/10/(H181-H99))</f>
        <v>0.24183399496657407</v>
      </c>
      <c r="I271" s="5" t="s">
        <v>96</v>
      </c>
    </row>
    <row r="272" spans="1:10" x14ac:dyDescent="0.2">
      <c r="A272" s="1"/>
      <c r="B272" s="5" t="s">
        <v>56</v>
      </c>
      <c r="C272" s="5"/>
      <c r="D272" s="5"/>
      <c r="E272" s="5"/>
      <c r="F272" s="46" t="s">
        <v>97</v>
      </c>
      <c r="G272" s="47" t="s">
        <v>2</v>
      </c>
      <c r="H272" s="173">
        <f>H91*H87*H86^2/(H181-H99)^2</f>
        <v>56.25</v>
      </c>
      <c r="I272" s="5" t="s">
        <v>227</v>
      </c>
    </row>
    <row r="273" spans="1:9" x14ac:dyDescent="0.2">
      <c r="A273" s="1"/>
      <c r="B273" s="1"/>
      <c r="C273" s="1"/>
      <c r="D273" s="1"/>
      <c r="E273" s="1"/>
      <c r="F273" s="46" t="s">
        <v>98</v>
      </c>
      <c r="G273" s="47" t="s">
        <v>2</v>
      </c>
      <c r="H273" s="172">
        <f>MIN(IF(H272&gt;=44,83*(H181-H99)/H86,83*(H181-H99)/(2.5*H86)+7.5*SQRT(H91*H87))/100,0.5*H93)</f>
        <v>0.33200000000000002</v>
      </c>
      <c r="I273" s="5" t="s">
        <v>96</v>
      </c>
    </row>
    <row r="274" spans="1:9" x14ac:dyDescent="0.2">
      <c r="A274" s="1"/>
      <c r="B274" s="1"/>
      <c r="C274" s="1"/>
      <c r="D274" s="166"/>
      <c r="E274" s="1"/>
      <c r="F274" s="258" t="s">
        <v>230</v>
      </c>
      <c r="G274" s="365" t="s">
        <v>2</v>
      </c>
      <c r="H274" s="414">
        <f>IF(H270="-","-",H271/H273)</f>
        <v>0.72841564748968091</v>
      </c>
      <c r="I274" s="171" t="str">
        <f>IF(H274="-","ANCLAR",IF(ROUND(H274,2)&lt;=1,"OK","No Cumple"))</f>
        <v>OK</v>
      </c>
    </row>
    <row r="275" spans="1:9" x14ac:dyDescent="0.2">
      <c r="A275" s="1"/>
      <c r="B275" s="1"/>
      <c r="C275" s="1"/>
      <c r="D275" s="1"/>
      <c r="E275" s="1"/>
      <c r="F275" s="1"/>
      <c r="G275" s="1"/>
      <c r="H275" s="47"/>
      <c r="I275" s="1"/>
    </row>
    <row r="276" spans="1:9" x14ac:dyDescent="0.2">
      <c r="A276" s="1"/>
      <c r="B276" s="1"/>
      <c r="C276" s="1"/>
      <c r="D276" s="1"/>
      <c r="E276" s="1"/>
      <c r="F276" s="1"/>
      <c r="G276" s="1"/>
      <c r="H276" s="1"/>
      <c r="I276" s="1"/>
    </row>
    <row r="277" spans="1:9" x14ac:dyDescent="0.2">
      <c r="A277" s="1"/>
      <c r="B277" s="166"/>
      <c r="C277" s="1"/>
      <c r="D277" s="1"/>
      <c r="E277" s="1"/>
      <c r="F277" s="1"/>
      <c r="G277" s="1"/>
      <c r="H277" s="1"/>
      <c r="I277" s="1"/>
    </row>
    <row r="278" spans="1:9" x14ac:dyDescent="0.2">
      <c r="A278" s="1"/>
      <c r="B278" s="1"/>
      <c r="C278" s="1"/>
      <c r="D278" s="1"/>
      <c r="E278" s="1"/>
      <c r="F278" s="1"/>
      <c r="G278" s="1"/>
      <c r="H278" s="1"/>
      <c r="I278" s="1"/>
    </row>
    <row r="279" spans="1:9" x14ac:dyDescent="0.2">
      <c r="A279" s="1"/>
      <c r="B279" s="1"/>
      <c r="C279" s="1"/>
      <c r="D279" s="1"/>
      <c r="E279" s="1"/>
      <c r="F279" s="1"/>
      <c r="G279" s="1"/>
      <c r="H279" s="1"/>
      <c r="I279" s="1"/>
    </row>
    <row r="280" spans="1:9" x14ac:dyDescent="0.2">
      <c r="A280" s="1"/>
      <c r="B280" s="1"/>
      <c r="C280" s="1"/>
      <c r="D280" s="1"/>
      <c r="E280" s="1"/>
      <c r="F280" s="1"/>
      <c r="G280" s="1"/>
      <c r="H280" s="1"/>
      <c r="I280" s="1"/>
    </row>
    <row r="281" spans="1:9" x14ac:dyDescent="0.2">
      <c r="A281" s="1"/>
      <c r="B281" s="1"/>
      <c r="C281" s="1"/>
      <c r="D281" s="1"/>
      <c r="E281" s="1"/>
      <c r="F281" s="1"/>
      <c r="G281" s="1"/>
      <c r="H281" s="1"/>
      <c r="I281" s="1"/>
    </row>
    <row r="282" spans="1:9" x14ac:dyDescent="0.2">
      <c r="A282" s="1"/>
      <c r="B282" s="1"/>
      <c r="C282" s="1"/>
      <c r="D282" s="1"/>
      <c r="E282" s="1"/>
      <c r="F282" s="1"/>
      <c r="G282" s="1"/>
      <c r="H282" s="1"/>
      <c r="I282" s="1"/>
    </row>
    <row r="283" spans="1:9" x14ac:dyDescent="0.2">
      <c r="A283" s="1"/>
      <c r="B283" s="1"/>
      <c r="C283" s="1"/>
      <c r="D283" s="1"/>
      <c r="E283" s="1"/>
      <c r="F283" s="1"/>
      <c r="G283" s="1"/>
      <c r="H283" s="1"/>
      <c r="I283" s="1"/>
    </row>
    <row r="284" spans="1:9" ht="15.75" x14ac:dyDescent="0.25">
      <c r="A284" s="117" t="s">
        <v>531</v>
      </c>
      <c r="B284" s="1"/>
      <c r="C284" s="1"/>
      <c r="D284" s="1"/>
      <c r="E284" s="1"/>
      <c r="F284" s="1"/>
      <c r="G284" s="1"/>
      <c r="H284" s="116"/>
      <c r="I284" s="1"/>
    </row>
    <row r="285" spans="1:9" x14ac:dyDescent="0.2">
      <c r="A285" s="1"/>
      <c r="B285" s="5" t="s">
        <v>250</v>
      </c>
      <c r="C285" s="1"/>
      <c r="D285" s="1"/>
      <c r="E285" s="1"/>
      <c r="F285" s="46" t="s">
        <v>50</v>
      </c>
      <c r="G285" s="47" t="s">
        <v>2</v>
      </c>
      <c r="H285" s="167">
        <f>MIN(G157:G166)</f>
        <v>5</v>
      </c>
      <c r="I285" s="5" t="s">
        <v>11</v>
      </c>
    </row>
    <row r="286" spans="1:9" x14ac:dyDescent="0.2">
      <c r="A286" s="38"/>
      <c r="B286" s="5" t="s">
        <v>248</v>
      </c>
      <c r="C286" s="1"/>
      <c r="D286" s="1"/>
      <c r="E286" s="1"/>
      <c r="F286" s="46" t="s">
        <v>249</v>
      </c>
      <c r="G286" s="47" t="s">
        <v>2</v>
      </c>
      <c r="H286" s="167">
        <f>9.47*H285*SQRT((H285/H86)^3)</f>
        <v>16.740753044591514</v>
      </c>
      <c r="I286" s="5" t="s">
        <v>3</v>
      </c>
    </row>
    <row r="287" spans="1:9" x14ac:dyDescent="0.2">
      <c r="A287" s="1"/>
      <c r="B287" s="5" t="s">
        <v>251</v>
      </c>
      <c r="C287" s="5"/>
      <c r="D287" s="5"/>
      <c r="E287" s="5"/>
      <c r="F287" s="46"/>
      <c r="G287" s="47"/>
      <c r="H287" s="174">
        <f>ROUNDUP(H90/H286,0)</f>
        <v>1</v>
      </c>
      <c r="I287" s="5"/>
    </row>
    <row r="288" spans="1:9" x14ac:dyDescent="0.2">
      <c r="A288" s="1"/>
      <c r="B288" s="5" t="s">
        <v>254</v>
      </c>
      <c r="C288" s="5"/>
      <c r="D288" s="5"/>
      <c r="E288" s="5"/>
      <c r="F288" s="46" t="s">
        <v>255</v>
      </c>
      <c r="G288" s="47" t="s">
        <v>2</v>
      </c>
      <c r="H288" s="168">
        <f>H90/H287</f>
        <v>10</v>
      </c>
      <c r="I288" s="5" t="s">
        <v>3</v>
      </c>
    </row>
    <row r="289" spans="1:23" x14ac:dyDescent="0.2">
      <c r="A289" s="1"/>
      <c r="B289" s="5" t="s">
        <v>252</v>
      </c>
      <c r="C289" s="5"/>
      <c r="D289" s="5"/>
      <c r="E289" s="5"/>
      <c r="F289" s="46" t="s">
        <v>256</v>
      </c>
      <c r="G289" s="47" t="s">
        <v>2</v>
      </c>
      <c r="H289" s="168">
        <f>H86^2*H288/17</f>
        <v>58.823529411764703</v>
      </c>
      <c r="I289" s="5" t="s">
        <v>253</v>
      </c>
    </row>
    <row r="290" spans="1:23" ht="13.5" thickBot="1" x14ac:dyDescent="0.25">
      <c r="A290" s="1"/>
      <c r="B290" s="1"/>
      <c r="C290" s="1"/>
      <c r="D290" s="1"/>
      <c r="E290" s="166"/>
      <c r="F290" s="1"/>
      <c r="G290" s="1"/>
      <c r="H290" s="1"/>
      <c r="I290" s="1"/>
      <c r="S290" s="587" t="s">
        <v>435</v>
      </c>
      <c r="T290" s="587"/>
      <c r="U290" s="587"/>
    </row>
    <row r="291" spans="1:23" ht="15.75" x14ac:dyDescent="0.25">
      <c r="A291" s="117" t="s">
        <v>532</v>
      </c>
      <c r="B291" s="1"/>
      <c r="C291" s="1"/>
      <c r="D291" s="1"/>
      <c r="E291" s="1"/>
      <c r="F291" s="5"/>
      <c r="G291" s="1"/>
      <c r="H291" s="1"/>
      <c r="I291" s="1"/>
      <c r="J291" s="30" t="s">
        <v>181</v>
      </c>
      <c r="K291" s="31" t="s">
        <v>158</v>
      </c>
      <c r="L291" s="31" t="s">
        <v>68</v>
      </c>
      <c r="M291" s="31" t="s">
        <v>68</v>
      </c>
      <c r="N291" s="175" t="s">
        <v>66</v>
      </c>
      <c r="O291" s="175" t="s">
        <v>182</v>
      </c>
      <c r="P291" s="175" t="s">
        <v>243</v>
      </c>
      <c r="Q291" s="135" t="s">
        <v>243</v>
      </c>
      <c r="R291" s="33" t="s">
        <v>371</v>
      </c>
      <c r="S291" s="369" t="s">
        <v>302</v>
      </c>
      <c r="T291" s="370" t="s">
        <v>68</v>
      </c>
      <c r="U291" s="371" t="s">
        <v>424</v>
      </c>
      <c r="V291" s="371" t="s">
        <v>613</v>
      </c>
    </row>
    <row r="292" spans="1:23" x14ac:dyDescent="0.2">
      <c r="A292" s="28"/>
      <c r="B292" s="1"/>
      <c r="C292" s="1"/>
      <c r="D292" s="1"/>
      <c r="E292" s="1"/>
      <c r="F292" s="1"/>
      <c r="G292" s="1"/>
      <c r="H292" s="1"/>
      <c r="I292" s="1"/>
      <c r="J292" s="139"/>
      <c r="K292" s="140"/>
      <c r="L292" s="140" t="s">
        <v>183</v>
      </c>
      <c r="M292" s="140" t="s">
        <v>63</v>
      </c>
      <c r="N292" s="176" t="s">
        <v>184</v>
      </c>
      <c r="O292" s="176" t="s">
        <v>184</v>
      </c>
      <c r="P292" s="176" t="s">
        <v>62</v>
      </c>
      <c r="Q292" s="141" t="s">
        <v>63</v>
      </c>
      <c r="R292" s="177"/>
      <c r="S292" s="372" t="s">
        <v>11</v>
      </c>
      <c r="T292" s="373" t="s">
        <v>11</v>
      </c>
      <c r="U292" s="374" t="s">
        <v>11</v>
      </c>
      <c r="V292" s="374" t="s">
        <v>11</v>
      </c>
    </row>
    <row r="293" spans="1:23" x14ac:dyDescent="0.2">
      <c r="A293" s="1"/>
      <c r="B293" s="5" t="s">
        <v>332</v>
      </c>
      <c r="C293" s="5"/>
      <c r="D293" s="5"/>
      <c r="E293" s="5"/>
      <c r="F293" s="46"/>
      <c r="G293" s="47" t="s">
        <v>2</v>
      </c>
      <c r="H293" s="178">
        <f>4/PI()*(H253+C241)/H86^2-H260*IF(K116,(1-H113),1)</f>
        <v>8.4708094715381588</v>
      </c>
      <c r="I293" s="5" t="s">
        <v>52</v>
      </c>
      <c r="J293" s="179" t="s">
        <v>542</v>
      </c>
      <c r="K293" s="40">
        <v>1</v>
      </c>
      <c r="L293" s="180">
        <v>1</v>
      </c>
      <c r="M293" s="180">
        <f t="shared" ref="M293:M299" si="27">L293*2.54</f>
        <v>2.54</v>
      </c>
      <c r="N293" s="181">
        <f t="shared" ref="N293:N299" si="28">M293^2/4*PI()</f>
        <v>5.0670747909749769</v>
      </c>
      <c r="O293" s="181">
        <f>0.606*2.54^2</f>
        <v>3.9096696</v>
      </c>
      <c r="P293" s="181">
        <f>1+5/8</f>
        <v>1.625</v>
      </c>
      <c r="Q293" s="182">
        <f t="shared" ref="Q293:Q299" si="29">P293*2.54</f>
        <v>4.1275000000000004</v>
      </c>
      <c r="R293" s="44">
        <f t="shared" ref="R293:R299" si="30">O293/N293</f>
        <v>0.77158316410950867</v>
      </c>
      <c r="S293" s="39">
        <v>45</v>
      </c>
      <c r="T293" s="40">
        <f>45+40</f>
        <v>85</v>
      </c>
      <c r="U293" s="375">
        <v>60</v>
      </c>
      <c r="V293" s="375">
        <f t="shared" ref="V293:V299" si="31">ROUNDUP(MAX(8*L293*25.4,250)/100,1)*100</f>
        <v>250</v>
      </c>
    </row>
    <row r="294" spans="1:23" x14ac:dyDescent="0.2">
      <c r="A294" s="1"/>
      <c r="B294" s="5" t="s">
        <v>57</v>
      </c>
      <c r="C294" s="5"/>
      <c r="D294" s="5"/>
      <c r="E294" s="5"/>
      <c r="F294" s="46" t="s">
        <v>99</v>
      </c>
      <c r="G294" s="47" t="s">
        <v>2</v>
      </c>
      <c r="H294" s="178">
        <f>H86+(2*(H325+H181)/1000)</f>
        <v>10.172000000000001</v>
      </c>
      <c r="I294" s="5" t="s">
        <v>3</v>
      </c>
      <c r="J294" s="179" t="s">
        <v>543</v>
      </c>
      <c r="K294" s="40">
        <f t="shared" ref="K294:K299" si="32">K293+1</f>
        <v>2</v>
      </c>
      <c r="L294" s="180">
        <v>1.25</v>
      </c>
      <c r="M294" s="180">
        <f t="shared" si="27"/>
        <v>3.1749999999999998</v>
      </c>
      <c r="N294" s="181">
        <f t="shared" si="28"/>
        <v>7.9173043608984015</v>
      </c>
      <c r="O294" s="181">
        <f>0.969*2.54^2</f>
        <v>6.2516004000000001</v>
      </c>
      <c r="P294" s="181">
        <v>2</v>
      </c>
      <c r="Q294" s="182">
        <f t="shared" si="29"/>
        <v>5.08</v>
      </c>
      <c r="R294" s="44">
        <f t="shared" si="30"/>
        <v>0.78961223606295861</v>
      </c>
      <c r="S294" s="39">
        <v>60</v>
      </c>
      <c r="T294" s="40">
        <f>60+50</f>
        <v>110</v>
      </c>
      <c r="U294" s="375">
        <v>70</v>
      </c>
      <c r="V294" s="375">
        <f t="shared" si="31"/>
        <v>260</v>
      </c>
    </row>
    <row r="295" spans="1:23" x14ac:dyDescent="0.2">
      <c r="A295" s="1"/>
      <c r="B295" s="5" t="s">
        <v>58</v>
      </c>
      <c r="C295" s="5"/>
      <c r="D295" s="5"/>
      <c r="E295" s="5"/>
      <c r="F295" s="46" t="s">
        <v>59</v>
      </c>
      <c r="G295" s="47" t="s">
        <v>2</v>
      </c>
      <c r="H295" s="184">
        <f>IF(H294&lt;15,PI()*H294/1.8,PI()*H294/3)</f>
        <v>17.75348915128632</v>
      </c>
      <c r="I295" s="5"/>
      <c r="J295" s="179" t="s">
        <v>544</v>
      </c>
      <c r="K295" s="40">
        <f t="shared" si="32"/>
        <v>3</v>
      </c>
      <c r="L295" s="180">
        <v>1.5</v>
      </c>
      <c r="M295" s="180">
        <f t="shared" si="27"/>
        <v>3.81</v>
      </c>
      <c r="N295" s="181">
        <f t="shared" si="28"/>
        <v>11.400918279693698</v>
      </c>
      <c r="O295" s="181">
        <f>1.41*2.54^2</f>
        <v>9.0967559999999992</v>
      </c>
      <c r="P295" s="181">
        <f>2+3/8</f>
        <v>2.375</v>
      </c>
      <c r="Q295" s="182">
        <f t="shared" si="29"/>
        <v>6.0324999999999998</v>
      </c>
      <c r="R295" s="44">
        <f t="shared" si="30"/>
        <v>0.79789678136736863</v>
      </c>
      <c r="S295" s="39">
        <v>70</v>
      </c>
      <c r="T295" s="40">
        <f>70+60</f>
        <v>130</v>
      </c>
      <c r="U295" s="375">
        <v>80</v>
      </c>
      <c r="V295" s="375">
        <f t="shared" si="31"/>
        <v>310</v>
      </c>
    </row>
    <row r="296" spans="1:23" x14ac:dyDescent="0.2">
      <c r="A296" s="1"/>
      <c r="B296" s="5" t="s">
        <v>60</v>
      </c>
      <c r="C296" s="5"/>
      <c r="D296" s="5"/>
      <c r="E296" s="5"/>
      <c r="F296" s="46" t="s">
        <v>61</v>
      </c>
      <c r="G296" s="47" t="s">
        <v>2</v>
      </c>
      <c r="H296" s="476">
        <v>16</v>
      </c>
      <c r="I296" s="1"/>
      <c r="J296" s="179" t="s">
        <v>545</v>
      </c>
      <c r="K296" s="40">
        <f t="shared" si="32"/>
        <v>4</v>
      </c>
      <c r="L296" s="180">
        <v>1.75</v>
      </c>
      <c r="M296" s="180">
        <f t="shared" si="27"/>
        <v>4.4450000000000003</v>
      </c>
      <c r="N296" s="181">
        <f t="shared" si="28"/>
        <v>15.517916547360871</v>
      </c>
      <c r="O296" s="181">
        <f>1.9*2.54^2</f>
        <v>12.258039999999999</v>
      </c>
      <c r="P296" s="181">
        <f>2+3/4</f>
        <v>2.75</v>
      </c>
      <c r="Q296" s="182">
        <f t="shared" si="29"/>
        <v>6.9850000000000003</v>
      </c>
      <c r="R296" s="44">
        <f t="shared" si="30"/>
        <v>0.78992820734589675</v>
      </c>
      <c r="S296" s="39">
        <v>80</v>
      </c>
      <c r="T296" s="40">
        <f>80+70</f>
        <v>150</v>
      </c>
      <c r="U296" s="375">
        <v>100</v>
      </c>
      <c r="V296" s="375">
        <f t="shared" si="31"/>
        <v>360</v>
      </c>
    </row>
    <row r="297" spans="1:23" x14ac:dyDescent="0.2">
      <c r="A297" s="1"/>
      <c r="B297" s="5" t="s">
        <v>231</v>
      </c>
      <c r="C297" s="1"/>
      <c r="D297" s="1"/>
      <c r="E297" s="1"/>
      <c r="F297" s="46" t="s">
        <v>103</v>
      </c>
      <c r="G297" s="47" t="s">
        <v>2</v>
      </c>
      <c r="H297" s="51">
        <f>H294*PI()/H296</f>
        <v>1.9972675295197111</v>
      </c>
      <c r="I297" s="5" t="s">
        <v>3</v>
      </c>
      <c r="J297" s="179" t="s">
        <v>546</v>
      </c>
      <c r="K297" s="40">
        <f t="shared" si="32"/>
        <v>5</v>
      </c>
      <c r="L297" s="180">
        <v>2</v>
      </c>
      <c r="M297" s="180">
        <f t="shared" si="27"/>
        <v>5.08</v>
      </c>
      <c r="N297" s="181">
        <f t="shared" si="28"/>
        <v>20.268299163899908</v>
      </c>
      <c r="O297" s="181">
        <f>2.5*2.54^2</f>
        <v>16.129000000000001</v>
      </c>
      <c r="P297" s="181">
        <f>3+1/8</f>
        <v>3.125</v>
      </c>
      <c r="Q297" s="182">
        <f t="shared" si="29"/>
        <v>7.9375</v>
      </c>
      <c r="R297" s="44">
        <f t="shared" si="30"/>
        <v>0.79577471545947687</v>
      </c>
      <c r="S297" s="39">
        <v>90</v>
      </c>
      <c r="T297" s="40">
        <f>90+80</f>
        <v>170</v>
      </c>
      <c r="U297" s="375">
        <v>110</v>
      </c>
      <c r="V297" s="375">
        <f t="shared" si="31"/>
        <v>409.99999999999994</v>
      </c>
    </row>
    <row r="298" spans="1:23" x14ac:dyDescent="0.2">
      <c r="A298" s="1"/>
      <c r="B298" s="5" t="s">
        <v>382</v>
      </c>
      <c r="C298" s="5"/>
      <c r="D298" s="5"/>
      <c r="E298" s="5"/>
      <c r="F298" s="46" t="s">
        <v>100</v>
      </c>
      <c r="G298" s="47" t="s">
        <v>2</v>
      </c>
      <c r="H298" s="178">
        <f>H293*(PI()*H86)/H296</f>
        <v>16.63239550358945</v>
      </c>
      <c r="I298" s="5" t="s">
        <v>50</v>
      </c>
      <c r="J298" s="179" t="s">
        <v>547</v>
      </c>
      <c r="K298" s="40">
        <f t="shared" si="32"/>
        <v>6</v>
      </c>
      <c r="L298" s="180">
        <v>2.25</v>
      </c>
      <c r="M298" s="180">
        <f t="shared" si="27"/>
        <v>5.7149999999999999</v>
      </c>
      <c r="N298" s="181">
        <f t="shared" si="28"/>
        <v>25.652066129310825</v>
      </c>
      <c r="O298" s="181">
        <f>N298*0.8</f>
        <v>20.521652903448661</v>
      </c>
      <c r="P298" s="181">
        <f>3+1/2</f>
        <v>3.5</v>
      </c>
      <c r="Q298" s="182">
        <f t="shared" si="29"/>
        <v>8.89</v>
      </c>
      <c r="R298" s="44">
        <f t="shared" si="30"/>
        <v>0.8</v>
      </c>
      <c r="S298" s="39">
        <v>100</v>
      </c>
      <c r="T298" s="40">
        <f>100+90</f>
        <v>190</v>
      </c>
      <c r="U298" s="375">
        <v>120</v>
      </c>
      <c r="V298" s="375">
        <f t="shared" si="31"/>
        <v>459.99999999999994</v>
      </c>
    </row>
    <row r="299" spans="1:23" ht="13.5" thickBot="1" x14ac:dyDescent="0.25">
      <c r="A299" s="1"/>
      <c r="B299" s="5" t="s">
        <v>229</v>
      </c>
      <c r="C299" s="5"/>
      <c r="D299" s="5"/>
      <c r="E299" s="5"/>
      <c r="F299" s="46"/>
      <c r="G299" s="47"/>
      <c r="H299" s="185"/>
      <c r="I299" s="1"/>
      <c r="J299" s="186" t="s">
        <v>548</v>
      </c>
      <c r="K299" s="53">
        <f t="shared" si="32"/>
        <v>7</v>
      </c>
      <c r="L299" s="187">
        <v>2.5</v>
      </c>
      <c r="M299" s="187">
        <f t="shared" si="27"/>
        <v>6.35</v>
      </c>
      <c r="N299" s="188">
        <f t="shared" si="28"/>
        <v>31.669217443593606</v>
      </c>
      <c r="O299" s="188">
        <f>N299*0.8</f>
        <v>25.335373954874886</v>
      </c>
      <c r="P299" s="188">
        <f>3+7/8</f>
        <v>3.875</v>
      </c>
      <c r="Q299" s="189">
        <f t="shared" si="29"/>
        <v>9.8424999999999994</v>
      </c>
      <c r="R299" s="190">
        <f t="shared" si="30"/>
        <v>0.8</v>
      </c>
      <c r="S299" s="147">
        <v>120</v>
      </c>
      <c r="T299" s="53">
        <f>120+100</f>
        <v>220</v>
      </c>
      <c r="U299" s="376">
        <v>130</v>
      </c>
      <c r="V299" s="376">
        <f t="shared" si="31"/>
        <v>509.99999999999994</v>
      </c>
    </row>
    <row r="300" spans="1:23" ht="13.5" thickBot="1" x14ac:dyDescent="0.25">
      <c r="A300" s="1"/>
      <c r="B300" s="5" t="s">
        <v>228</v>
      </c>
      <c r="C300" s="1"/>
      <c r="D300" s="1"/>
      <c r="E300" s="1"/>
      <c r="F300" s="46" t="s">
        <v>75</v>
      </c>
      <c r="G300" s="47" t="s">
        <v>2</v>
      </c>
      <c r="H300" s="178">
        <f>LOOKUP(J311,K304:K310,L304:L310)</f>
        <v>2.5299999999999998</v>
      </c>
      <c r="I300" s="5" t="s">
        <v>96</v>
      </c>
      <c r="J300" s="457">
        <v>3</v>
      </c>
      <c r="S300" s="40">
        <f>LOOKUP($J$300,$K$293:$K$299,S293:S299)</f>
        <v>70</v>
      </c>
      <c r="T300" s="40">
        <f>LOOKUP($J$300,$K$293:$K$299,T293:T299)</f>
        <v>130</v>
      </c>
      <c r="U300" s="40">
        <f>LOOKUP($J$300,$K$293:$K$299,U293:U299)</f>
        <v>80</v>
      </c>
      <c r="V300" s="40">
        <f>LOOKUP($J$300,$K$293:$K$299,V293:V299)</f>
        <v>310</v>
      </c>
      <c r="W300" s="377" t="s">
        <v>434</v>
      </c>
    </row>
    <row r="301" spans="1:23" ht="13.5" thickBot="1" x14ac:dyDescent="0.25">
      <c r="A301" s="128"/>
      <c r="B301" s="5" t="s">
        <v>635</v>
      </c>
      <c r="C301" s="5"/>
      <c r="D301" s="5"/>
      <c r="E301" s="5"/>
      <c r="F301" s="46" t="s">
        <v>636</v>
      </c>
      <c r="G301" s="47" t="s">
        <v>2</v>
      </c>
      <c r="H301" s="178">
        <f>LOOKUP(J300,K293:K299,N293:N299)</f>
        <v>11.400918279693698</v>
      </c>
      <c r="I301" s="5" t="s">
        <v>101</v>
      </c>
      <c r="S301" s="183"/>
      <c r="T301" s="191"/>
      <c r="U301" s="191"/>
      <c r="V301" s="191"/>
    </row>
    <row r="302" spans="1:23" x14ac:dyDescent="0.2">
      <c r="A302" s="1"/>
      <c r="B302" s="5" t="s">
        <v>637</v>
      </c>
      <c r="C302" s="1"/>
      <c r="D302" s="1"/>
      <c r="E302" s="1"/>
      <c r="F302" s="46" t="s">
        <v>638</v>
      </c>
      <c r="G302" s="47" t="s">
        <v>2</v>
      </c>
      <c r="H302" s="178">
        <f>LOOKUP(J300,K293:K299,O293:O299)</f>
        <v>9.0967559999999992</v>
      </c>
      <c r="I302" s="5" t="s">
        <v>101</v>
      </c>
      <c r="J302" s="192" t="s">
        <v>157</v>
      </c>
      <c r="K302" s="193" t="s">
        <v>158</v>
      </c>
      <c r="L302" s="193" t="s">
        <v>159</v>
      </c>
      <c r="M302" s="31" t="s">
        <v>163</v>
      </c>
      <c r="N302" s="31" t="s">
        <v>549</v>
      </c>
      <c r="O302" s="194" t="s">
        <v>372</v>
      </c>
      <c r="P302" s="195" t="s">
        <v>373</v>
      </c>
      <c r="S302" s="183"/>
      <c r="T302" s="191"/>
      <c r="U302" s="191"/>
      <c r="V302" s="191"/>
    </row>
    <row r="303" spans="1:23" x14ac:dyDescent="0.2">
      <c r="A303" s="1"/>
      <c r="B303" s="5" t="s">
        <v>439</v>
      </c>
      <c r="C303" s="1"/>
      <c r="D303" s="1"/>
      <c r="E303" s="1"/>
      <c r="F303" s="102" t="s">
        <v>440</v>
      </c>
      <c r="G303" s="47" t="s">
        <v>2</v>
      </c>
      <c r="H303" s="51">
        <f>H298/IF(J313=TRUE,H301,H302)</f>
        <v>1.8283875596519739</v>
      </c>
      <c r="I303" s="5" t="s">
        <v>96</v>
      </c>
      <c r="J303" s="196" t="s">
        <v>160</v>
      </c>
      <c r="K303" s="197"/>
      <c r="L303" s="197" t="s">
        <v>161</v>
      </c>
      <c r="M303" s="197" t="s">
        <v>161</v>
      </c>
      <c r="N303" s="197" t="s">
        <v>161</v>
      </c>
      <c r="O303" s="197" t="s">
        <v>161</v>
      </c>
      <c r="P303" s="198" t="s">
        <v>161</v>
      </c>
      <c r="S303" s="183"/>
      <c r="T303" s="191"/>
      <c r="U303" s="191"/>
      <c r="V303" s="191"/>
    </row>
    <row r="304" spans="1:23" ht="15.75" x14ac:dyDescent="0.25">
      <c r="A304" s="117"/>
      <c r="B304" s="5" t="str">
        <f>IF(J313=TRUE,"Tensión de tracción admisible (Interacción Corte)","Tensión de tracción admisible")</f>
        <v>Tensión de tracción admisible</v>
      </c>
      <c r="C304" s="1"/>
      <c r="D304" s="1"/>
      <c r="E304" s="1"/>
      <c r="F304" s="102" t="s">
        <v>442</v>
      </c>
      <c r="G304" s="47" t="s">
        <v>2</v>
      </c>
      <c r="H304" s="178">
        <f>IF(J313=TRUE,P311,0.8*H300)</f>
        <v>2.024</v>
      </c>
      <c r="I304" s="5" t="s">
        <v>96</v>
      </c>
      <c r="J304" s="52" t="s">
        <v>162</v>
      </c>
      <c r="K304" s="65">
        <v>1</v>
      </c>
      <c r="L304" s="199">
        <v>2.5299999999999998</v>
      </c>
      <c r="M304" s="199">
        <v>4.08</v>
      </c>
      <c r="N304" s="199">
        <f>1.33*0.17*M304</f>
        <v>0.92248800000000009</v>
      </c>
      <c r="O304" s="200">
        <f>0.33*M304*1.33</f>
        <v>1.7907120000000001</v>
      </c>
      <c r="P304" s="201">
        <f>IF(H308&lt;=2.432/1.8,MIN(2.432-1.8*H308,1.87),0)</f>
        <v>0</v>
      </c>
    </row>
    <row r="305" spans="1:21" x14ac:dyDescent="0.2">
      <c r="A305" s="1"/>
      <c r="B305" s="1"/>
      <c r="C305" s="1"/>
      <c r="D305" s="1"/>
      <c r="E305" s="1"/>
      <c r="F305" s="258" t="s">
        <v>443</v>
      </c>
      <c r="G305" s="365" t="s">
        <v>2</v>
      </c>
      <c r="H305" s="366">
        <f>IF(H304&gt;0,H303/H304,"-")</f>
        <v>0.90335353737745738</v>
      </c>
      <c r="I305" s="171" t="str">
        <f>IF(H305="-","Falla Perno",IF(ROUND(H305,2)&lt;=1,"OK","No Cumple"))</f>
        <v>OK</v>
      </c>
      <c r="J305" s="52" t="s">
        <v>345</v>
      </c>
      <c r="K305" s="65">
        <v>2</v>
      </c>
      <c r="L305" s="199">
        <v>2.2999999999999998</v>
      </c>
      <c r="M305" s="199">
        <v>4.22</v>
      </c>
      <c r="N305" s="199">
        <f>1.33*0.17*M305</f>
        <v>0.95414200000000005</v>
      </c>
      <c r="O305" s="200">
        <f>0.33*M305*1.33</f>
        <v>1.8521580000000002</v>
      </c>
      <c r="P305" s="201">
        <f>IF(H308&lt;=2.432/1.8,MIN(2.432-1.8*H308,1.87),0)</f>
        <v>0</v>
      </c>
    </row>
    <row r="306" spans="1:21" ht="13.5" customHeight="1" x14ac:dyDescent="0.2">
      <c r="A306" s="1"/>
      <c r="B306" s="346"/>
      <c r="C306" s="346"/>
      <c r="D306" s="346"/>
      <c r="E306" s="346"/>
      <c r="F306" s="346"/>
      <c r="G306" s="346"/>
      <c r="H306" s="346"/>
      <c r="I306" s="346"/>
      <c r="J306" s="52" t="s">
        <v>346</v>
      </c>
      <c r="K306" s="65">
        <v>3</v>
      </c>
      <c r="L306" s="199">
        <v>4.5999999999999996</v>
      </c>
      <c r="M306" s="199">
        <v>8.44</v>
      </c>
      <c r="N306" s="199">
        <f>1.33*21/14.22</f>
        <v>1.9641350210970463</v>
      </c>
      <c r="O306" s="200">
        <f>44/14.22*1.33</f>
        <v>4.1153305203938118</v>
      </c>
      <c r="P306" s="201">
        <f>IF(H308&lt;=1.33*44/SQRT(2.15)/14.22,SQRT((1.33*44)^2-2.15*(H308*14.22)^2)/14.22,0)</f>
        <v>0</v>
      </c>
    </row>
    <row r="307" spans="1:21" ht="13.5" customHeight="1" x14ac:dyDescent="0.2">
      <c r="A307" s="1"/>
      <c r="B307" s="345" t="s">
        <v>437</v>
      </c>
      <c r="C307" s="346"/>
      <c r="D307" s="346"/>
      <c r="E307" s="346"/>
      <c r="F307" s="415" t="s">
        <v>577</v>
      </c>
      <c r="G307" s="416" t="s">
        <v>2</v>
      </c>
      <c r="H307" s="417">
        <f>H254/(H296/3)</f>
        <v>35.333419399252925</v>
      </c>
      <c r="I307" s="345" t="s">
        <v>50</v>
      </c>
      <c r="J307" s="52" t="s">
        <v>347</v>
      </c>
      <c r="K307" s="65">
        <v>4</v>
      </c>
      <c r="L307" s="199">
        <v>9.1</v>
      </c>
      <c r="M307" s="199">
        <v>10.55</v>
      </c>
      <c r="N307" s="199">
        <f>1.33*28/14.22</f>
        <v>2.618846694796062</v>
      </c>
      <c r="O307" s="200">
        <f>54/14.22*1.33</f>
        <v>5.0506329113924053</v>
      </c>
      <c r="P307" s="201">
        <f>IF(H308&lt;=1.33*54/SQRT(1.82)/14.22,SQRT((1.33*54)^2-1.82*(H308*14.22)^2)/14.22,0)</f>
        <v>2.833376457666076</v>
      </c>
    </row>
    <row r="308" spans="1:21" ht="13.5" customHeight="1" x14ac:dyDescent="0.2">
      <c r="A308" s="1"/>
      <c r="B308" s="345" t="s">
        <v>438</v>
      </c>
      <c r="C308" s="346"/>
      <c r="D308" s="346"/>
      <c r="E308" s="346"/>
      <c r="F308" s="418" t="s">
        <v>578</v>
      </c>
      <c r="G308" s="416" t="s">
        <v>2</v>
      </c>
      <c r="H308" s="417">
        <f>H307/H301</f>
        <v>3.099173113290854</v>
      </c>
      <c r="I308" s="345" t="s">
        <v>579</v>
      </c>
      <c r="J308" s="39" t="s">
        <v>335</v>
      </c>
      <c r="K308" s="40">
        <f>K307+1</f>
        <v>5</v>
      </c>
      <c r="L308" s="180">
        <v>2.4</v>
      </c>
      <c r="M308" s="199">
        <v>3.7</v>
      </c>
      <c r="N308" s="199">
        <f>1.33*0.17*M308</f>
        <v>0.83657000000000015</v>
      </c>
      <c r="O308" s="200">
        <f>0.33*M308*1.33</f>
        <v>1.6239300000000001</v>
      </c>
      <c r="P308" s="201">
        <f>MAX(MIN(0.57*M308-1.4*H308,O308),0)</f>
        <v>0</v>
      </c>
    </row>
    <row r="309" spans="1:21" ht="13.5" customHeight="1" x14ac:dyDescent="0.2">
      <c r="A309" s="1"/>
      <c r="B309" s="345" t="s">
        <v>441</v>
      </c>
      <c r="C309" s="346"/>
      <c r="D309" s="346"/>
      <c r="E309" s="346"/>
      <c r="F309" s="418" t="s">
        <v>580</v>
      </c>
      <c r="G309" s="416" t="s">
        <v>2</v>
      </c>
      <c r="H309" s="395">
        <f>N311</f>
        <v>0.92248800000000009</v>
      </c>
      <c r="I309" s="345" t="s">
        <v>579</v>
      </c>
      <c r="J309" s="39" t="s">
        <v>336</v>
      </c>
      <c r="K309" s="40">
        <f>K308+1</f>
        <v>6</v>
      </c>
      <c r="L309" s="180">
        <v>2.7</v>
      </c>
      <c r="M309" s="199">
        <v>4.2</v>
      </c>
      <c r="N309" s="199">
        <f>1.33*0.17*M309</f>
        <v>0.94962000000000013</v>
      </c>
      <c r="O309" s="200">
        <f>0.33*M309*1.33</f>
        <v>1.8433800000000002</v>
      </c>
      <c r="P309" s="201">
        <f>MAX(MIN(0.57*M309-1.4*H308,O309),0)</f>
        <v>0</v>
      </c>
    </row>
    <row r="310" spans="1:21" ht="13.5" customHeight="1" thickBot="1" x14ac:dyDescent="0.25">
      <c r="A310" s="1"/>
      <c r="B310" s="346"/>
      <c r="C310" s="346"/>
      <c r="D310" s="346"/>
      <c r="E310" s="346"/>
      <c r="F310" s="419" t="s">
        <v>581</v>
      </c>
      <c r="G310" s="416" t="s">
        <v>2</v>
      </c>
      <c r="H310" s="426">
        <f>H308/H309</f>
        <v>3.35958095204583</v>
      </c>
      <c r="I310" s="420" t="str">
        <f>IF(ROUND(H310,2)&lt;=1,"OK","No Cumple")</f>
        <v>No Cumple</v>
      </c>
      <c r="J310" s="147" t="s">
        <v>337</v>
      </c>
      <c r="K310" s="53">
        <f>K309+1</f>
        <v>7</v>
      </c>
      <c r="L310" s="187">
        <v>3.4</v>
      </c>
      <c r="M310" s="202">
        <v>5.2</v>
      </c>
      <c r="N310" s="202">
        <f>1.33*0.17*M310</f>
        <v>1.1757200000000001</v>
      </c>
      <c r="O310" s="203">
        <f>0.33*M310*1.33</f>
        <v>2.2822800000000005</v>
      </c>
      <c r="P310" s="204">
        <f>MAX(MIN(0.57*M310-1.4*H308,O310),0)</f>
        <v>0</v>
      </c>
    </row>
    <row r="311" spans="1:21" ht="13.5" customHeight="1" thickBot="1" x14ac:dyDescent="0.25">
      <c r="A311" s="1"/>
      <c r="B311" s="346"/>
      <c r="C311" s="346"/>
      <c r="D311" s="346"/>
      <c r="E311" s="346"/>
      <c r="F311" s="346"/>
      <c r="G311" s="346"/>
      <c r="H311" s="346"/>
      <c r="I311" s="346"/>
      <c r="J311" s="461">
        <v>1</v>
      </c>
      <c r="M311" s="153"/>
      <c r="N311" s="212">
        <f>LOOKUP($J$311,$K$304:$K$310,N304:N310)</f>
        <v>0.92248800000000009</v>
      </c>
      <c r="P311" s="212">
        <f>LOOKUP($J$311,$K$304:$K$310,P304:P310)</f>
        <v>0</v>
      </c>
    </row>
    <row r="312" spans="1:21" ht="13.5" customHeight="1" x14ac:dyDescent="0.25">
      <c r="A312" s="117" t="s">
        <v>533</v>
      </c>
      <c r="B312" s="1"/>
      <c r="C312" s="1"/>
      <c r="D312" s="1"/>
      <c r="E312" s="1"/>
      <c r="F312" s="1"/>
      <c r="G312" s="1"/>
      <c r="H312" s="1"/>
      <c r="I312" s="1"/>
      <c r="J312" s="216" t="s">
        <v>436</v>
      </c>
      <c r="K312" s="217"/>
    </row>
    <row r="313" spans="1:21" ht="21" customHeight="1" thickBot="1" x14ac:dyDescent="0.25">
      <c r="B313" s="1"/>
      <c r="C313" s="1"/>
      <c r="D313" s="1"/>
      <c r="E313" s="1"/>
      <c r="F313" s="1"/>
      <c r="G313" s="1"/>
      <c r="H313" s="1"/>
      <c r="I313" s="1"/>
      <c r="J313" s="462" t="b">
        <v>0</v>
      </c>
      <c r="K313" s="220"/>
    </row>
    <row r="314" spans="1:21" ht="21" customHeight="1" x14ac:dyDescent="0.25">
      <c r="A314" s="117"/>
      <c r="B314" s="1"/>
      <c r="C314" s="1"/>
      <c r="D314" s="1"/>
      <c r="E314" s="1"/>
      <c r="F314" s="1"/>
      <c r="G314" s="1"/>
      <c r="H314" s="1"/>
      <c r="I314" s="1"/>
    </row>
    <row r="315" spans="1:21" ht="21" customHeight="1" thickBot="1" x14ac:dyDescent="0.3">
      <c r="A315" s="117"/>
      <c r="B315" s="1"/>
      <c r="C315" s="1"/>
      <c r="D315" s="1"/>
      <c r="E315" s="1"/>
      <c r="F315" s="1"/>
      <c r="G315" s="1"/>
      <c r="H315" s="1"/>
      <c r="I315" s="1"/>
      <c r="J315" s="12" t="s">
        <v>414</v>
      </c>
    </row>
    <row r="316" spans="1:21" ht="21" customHeight="1" x14ac:dyDescent="0.25">
      <c r="A316" s="117"/>
      <c r="B316" s="1"/>
      <c r="C316" s="1"/>
      <c r="D316" s="1"/>
      <c r="E316" s="1"/>
      <c r="F316" s="1"/>
      <c r="G316" s="1"/>
      <c r="H316" s="1"/>
      <c r="I316" s="1"/>
      <c r="J316" s="216" t="s">
        <v>157</v>
      </c>
      <c r="K316" s="458">
        <v>1</v>
      </c>
    </row>
    <row r="317" spans="1:21" ht="21" customHeight="1" thickBot="1" x14ac:dyDescent="0.3">
      <c r="A317" s="117"/>
      <c r="B317" s="1"/>
      <c r="C317" s="1"/>
      <c r="D317" s="1"/>
      <c r="E317" s="1"/>
      <c r="F317" s="1"/>
      <c r="G317" s="1"/>
      <c r="H317" s="1"/>
      <c r="I317" s="1"/>
      <c r="J317" s="59" t="s">
        <v>357</v>
      </c>
      <c r="K317" s="459">
        <v>15</v>
      </c>
    </row>
    <row r="318" spans="1:21" ht="21" customHeight="1" thickBot="1" x14ac:dyDescent="0.3">
      <c r="A318" s="117"/>
      <c r="B318" s="1"/>
      <c r="C318" s="1"/>
      <c r="D318" s="1"/>
      <c r="E318" s="1"/>
      <c r="F318" s="1"/>
      <c r="G318" s="1"/>
      <c r="H318" s="1"/>
      <c r="I318" s="1"/>
      <c r="N318" s="5"/>
      <c r="O318" s="1"/>
      <c r="P318" s="1"/>
      <c r="Q318" s="1"/>
      <c r="R318" s="46"/>
      <c r="S318" s="47"/>
      <c r="T318" s="347"/>
      <c r="U318" s="5"/>
    </row>
    <row r="319" spans="1:21" ht="21" customHeight="1" x14ac:dyDescent="0.25">
      <c r="A319" s="117"/>
      <c r="B319" s="1"/>
      <c r="C319" s="1"/>
      <c r="D319" s="1"/>
      <c r="E319" s="1"/>
      <c r="F319" s="1"/>
      <c r="G319" s="1"/>
      <c r="H319" s="1"/>
      <c r="I319" s="1"/>
      <c r="J319" s="216" t="s">
        <v>416</v>
      </c>
      <c r="K319" s="463"/>
      <c r="L319" s="217"/>
      <c r="N319" s="5"/>
      <c r="O319" s="1"/>
      <c r="P319" s="1"/>
      <c r="Q319" s="1"/>
      <c r="R319" s="169"/>
      <c r="S319" s="47"/>
      <c r="T319" s="347"/>
      <c r="U319" s="5"/>
    </row>
    <row r="320" spans="1:21" ht="21" customHeight="1" thickBot="1" x14ac:dyDescent="0.25">
      <c r="A320" s="38"/>
      <c r="B320" s="1"/>
      <c r="C320" s="1"/>
      <c r="D320" s="1"/>
      <c r="E320" s="1"/>
      <c r="F320" s="1"/>
      <c r="G320" s="1"/>
      <c r="H320" s="1"/>
      <c r="I320" s="1"/>
      <c r="J320" s="485" t="b">
        <v>0</v>
      </c>
      <c r="K320" s="466"/>
      <c r="L320" s="220"/>
      <c r="N320" s="5"/>
      <c r="O320" s="1"/>
      <c r="P320" s="1"/>
      <c r="Q320" s="1"/>
      <c r="R320" s="46"/>
      <c r="S320" s="47"/>
      <c r="T320" s="347"/>
      <c r="U320" s="5"/>
    </row>
    <row r="321" spans="1:13" ht="21" customHeight="1" thickBot="1" x14ac:dyDescent="0.25">
      <c r="A321" s="38"/>
      <c r="B321" s="1"/>
      <c r="C321" s="1"/>
      <c r="D321" s="1"/>
      <c r="E321" s="1"/>
      <c r="F321" s="1"/>
      <c r="G321" s="1"/>
      <c r="H321" s="1"/>
      <c r="I321" s="1"/>
    </row>
    <row r="322" spans="1:13" ht="30.75" customHeight="1" x14ac:dyDescent="0.2">
      <c r="A322" s="75" t="s">
        <v>571</v>
      </c>
      <c r="B322" s="1"/>
      <c r="C322" s="1"/>
      <c r="D322" s="1"/>
      <c r="E322" s="1"/>
      <c r="F322" s="1"/>
      <c r="G322" s="1"/>
      <c r="H322" s="1"/>
      <c r="I322" s="1"/>
      <c r="J322" s="30" t="s">
        <v>258</v>
      </c>
      <c r="K322" s="31" t="s">
        <v>158</v>
      </c>
      <c r="L322" s="31" t="s">
        <v>259</v>
      </c>
      <c r="M322" s="32" t="s">
        <v>264</v>
      </c>
    </row>
    <row r="323" spans="1:13" ht="15" customHeight="1" x14ac:dyDescent="0.2">
      <c r="A323" s="38"/>
      <c r="B323" s="1"/>
      <c r="C323" s="1"/>
      <c r="D323" s="1"/>
      <c r="E323" s="1"/>
      <c r="F323" s="1"/>
      <c r="G323" s="1"/>
      <c r="H323" s="1"/>
      <c r="I323" s="1"/>
      <c r="J323" s="139" t="s">
        <v>160</v>
      </c>
      <c r="K323" s="140"/>
      <c r="L323" s="140" t="s">
        <v>260</v>
      </c>
      <c r="M323" s="206" t="s">
        <v>161</v>
      </c>
    </row>
    <row r="324" spans="1:13" ht="14.25" customHeight="1" x14ac:dyDescent="0.2">
      <c r="A324" s="1"/>
      <c r="B324" s="19"/>
      <c r="C324" s="19"/>
      <c r="D324" s="19"/>
      <c r="E324" s="19"/>
      <c r="F324" s="19"/>
      <c r="G324" s="19"/>
      <c r="H324" s="19"/>
      <c r="I324" s="19"/>
      <c r="J324" s="39" t="s">
        <v>261</v>
      </c>
      <c r="K324" s="40">
        <v>1</v>
      </c>
      <c r="L324" s="40">
        <v>160</v>
      </c>
      <c r="M324" s="207">
        <f>47*SQRT(L324/10)</f>
        <v>188</v>
      </c>
    </row>
    <row r="325" spans="1:13" ht="15" customHeight="1" x14ac:dyDescent="0.2">
      <c r="A325" s="1"/>
      <c r="B325" s="5" t="s">
        <v>421</v>
      </c>
      <c r="F325" s="46" t="s">
        <v>302</v>
      </c>
      <c r="G325" s="47" t="s">
        <v>2</v>
      </c>
      <c r="H325" s="476">
        <v>80</v>
      </c>
      <c r="I325" s="5" t="s">
        <v>11</v>
      </c>
      <c r="J325" s="39" t="s">
        <v>262</v>
      </c>
      <c r="K325" s="40">
        <f>K324+1</f>
        <v>2</v>
      </c>
      <c r="L325" s="40">
        <v>200</v>
      </c>
      <c r="M325" s="207">
        <f>47*SQRT(L325/10)</f>
        <v>210.19038988498025</v>
      </c>
    </row>
    <row r="326" spans="1:13" ht="15" customHeight="1" thickBot="1" x14ac:dyDescent="0.25">
      <c r="A326" s="1"/>
      <c r="B326" s="5" t="s">
        <v>422</v>
      </c>
      <c r="C326" s="1"/>
      <c r="D326" s="1"/>
      <c r="E326" s="1"/>
      <c r="F326" s="46" t="s">
        <v>68</v>
      </c>
      <c r="G326" s="47" t="s">
        <v>2</v>
      </c>
      <c r="H326" s="476">
        <v>160</v>
      </c>
      <c r="I326" s="5" t="s">
        <v>11</v>
      </c>
      <c r="J326" s="147" t="s">
        <v>263</v>
      </c>
      <c r="K326" s="53">
        <f>K325+1</f>
        <v>3</v>
      </c>
      <c r="L326" s="53">
        <v>250</v>
      </c>
      <c r="M326" s="208">
        <f>47*SQRT(L326/10)</f>
        <v>235</v>
      </c>
    </row>
    <row r="327" spans="1:13" ht="15" customHeight="1" thickBot="1" x14ac:dyDescent="0.25">
      <c r="B327" s="5" t="s">
        <v>423</v>
      </c>
      <c r="C327" s="1"/>
      <c r="D327" s="1"/>
      <c r="E327" s="1"/>
      <c r="F327" s="46" t="s">
        <v>424</v>
      </c>
      <c r="G327" s="47" t="s">
        <v>2</v>
      </c>
      <c r="H327" s="476">
        <v>160</v>
      </c>
      <c r="I327" s="5" t="s">
        <v>11</v>
      </c>
      <c r="J327" s="457">
        <v>3</v>
      </c>
    </row>
    <row r="328" spans="1:13" ht="15" customHeight="1" x14ac:dyDescent="0.2">
      <c r="A328" s="1"/>
      <c r="B328" s="76" t="s">
        <v>614</v>
      </c>
      <c r="C328" s="68"/>
      <c r="D328" s="68"/>
      <c r="E328" s="68"/>
      <c r="F328" s="236" t="s">
        <v>283</v>
      </c>
      <c r="G328" s="69" t="s">
        <v>2</v>
      </c>
      <c r="H328" s="476">
        <v>400</v>
      </c>
      <c r="I328" s="5" t="str">
        <f>"mm" &amp; IF(H328&lt;H357*10,", AUMENTAR","")</f>
        <v>mm</v>
      </c>
      <c r="J328" s="65"/>
    </row>
    <row r="329" spans="1:13" ht="15" customHeight="1" thickBot="1" x14ac:dyDescent="0.25">
      <c r="A329" s="1"/>
      <c r="B329" s="5" t="s">
        <v>425</v>
      </c>
      <c r="C329" s="1"/>
      <c r="D329" s="1"/>
      <c r="E329" s="1"/>
      <c r="F329" s="46" t="s">
        <v>55</v>
      </c>
      <c r="G329" s="47" t="s">
        <v>2</v>
      </c>
      <c r="H329" s="184">
        <f>H326-H325</f>
        <v>80</v>
      </c>
      <c r="I329" s="5" t="s">
        <v>11</v>
      </c>
    </row>
    <row r="330" spans="1:13" ht="15" customHeight="1" thickBot="1" x14ac:dyDescent="0.35">
      <c r="A330" s="1"/>
      <c r="B330" s="5" t="s">
        <v>427</v>
      </c>
      <c r="C330" s="47"/>
      <c r="D330" s="47"/>
      <c r="E330" s="47"/>
      <c r="F330" s="47" t="s">
        <v>426</v>
      </c>
      <c r="G330" s="47" t="s">
        <v>2</v>
      </c>
      <c r="H330" s="48">
        <f>(LOOKUP(J300,K293:K299,L293:L299)+1/16)*25.4</f>
        <v>39.6875</v>
      </c>
      <c r="I330" s="5" t="s">
        <v>11</v>
      </c>
      <c r="J330" s="110" t="s">
        <v>348</v>
      </c>
      <c r="K330" s="456" t="b">
        <v>0</v>
      </c>
      <c r="L330" s="13"/>
      <c r="M330" s="13"/>
    </row>
    <row r="331" spans="1:13" ht="15" customHeight="1" thickBot="1" x14ac:dyDescent="0.25">
      <c r="A331" s="1"/>
      <c r="B331" s="5" t="s">
        <v>550</v>
      </c>
      <c r="C331" s="1"/>
      <c r="D331" s="1"/>
      <c r="E331" s="1"/>
      <c r="F331" s="102" t="s">
        <v>429</v>
      </c>
      <c r="G331" s="47" t="s">
        <v>2</v>
      </c>
      <c r="H331" s="47">
        <f>IF(J320=TRUE,0.75,1.25)</f>
        <v>1.25</v>
      </c>
      <c r="I331" s="1"/>
      <c r="J331" s="13"/>
      <c r="K331" s="13"/>
      <c r="L331" s="13"/>
      <c r="M331" s="13"/>
    </row>
    <row r="332" spans="1:13" ht="15" customHeight="1" x14ac:dyDescent="0.2">
      <c r="A332" s="1"/>
      <c r="B332" s="5" t="str">
        <f>IF(J320=TRUE,"Acero anillo","Acero placa")</f>
        <v>Acero placa</v>
      </c>
      <c r="C332" s="1"/>
      <c r="D332" s="1"/>
      <c r="E332" s="1"/>
      <c r="F332" s="46" t="s">
        <v>420</v>
      </c>
      <c r="G332" s="47" t="s">
        <v>2</v>
      </c>
      <c r="H332" s="226">
        <f>LOOKUP(K316,K79:K92,L79:L92)</f>
        <v>2.5280326197757392</v>
      </c>
      <c r="I332" s="5" t="s">
        <v>96</v>
      </c>
      <c r="J332" s="216" t="s">
        <v>349</v>
      </c>
      <c r="K332" s="217"/>
      <c r="M332" s="13"/>
    </row>
    <row r="333" spans="1:13" ht="15" customHeight="1" x14ac:dyDescent="0.2">
      <c r="A333" s="1"/>
      <c r="B333" s="5" t="str">
        <f>IF(J320=TRUE,"Espesor anillo","Espesor placa")</f>
        <v>Espesor placa</v>
      </c>
      <c r="C333" s="1"/>
      <c r="D333" s="1"/>
      <c r="E333" s="1"/>
      <c r="F333" s="46" t="str">
        <f>IF(J320=TRUE,"ta","tg")</f>
        <v>tg</v>
      </c>
      <c r="G333" s="47" t="s">
        <v>2</v>
      </c>
      <c r="H333" s="47">
        <f>LOOKUP(K317,L157:L173,M157:M173)</f>
        <v>35</v>
      </c>
      <c r="I333" s="5" t="str">
        <f>"mm "&amp;IF(H332&gt;40,"Usar doble placa","")</f>
        <v xml:space="preserve">mm </v>
      </c>
      <c r="J333" s="218" t="s">
        <v>350</v>
      </c>
      <c r="K333" s="219"/>
      <c r="M333" s="13"/>
    </row>
    <row r="334" spans="1:13" ht="15" customHeight="1" thickBot="1" x14ac:dyDescent="0.25">
      <c r="A334" s="1"/>
      <c r="B334" s="5" t="s">
        <v>352</v>
      </c>
      <c r="C334" s="1"/>
      <c r="D334" s="1"/>
      <c r="E334" s="1"/>
      <c r="F334" s="46" t="s">
        <v>353</v>
      </c>
      <c r="G334" s="47" t="s">
        <v>2</v>
      </c>
      <c r="H334" s="178">
        <f>IF(J335=1,H298,IF(J335=2,0.8*H300*H302,H300*H301))</f>
        <v>18.411834144</v>
      </c>
      <c r="I334" s="5" t="s">
        <v>50</v>
      </c>
      <c r="J334" s="59" t="s">
        <v>351</v>
      </c>
      <c r="K334" s="220"/>
    </row>
    <row r="335" spans="1:13" ht="15" customHeight="1" thickBot="1" x14ac:dyDescent="0.35">
      <c r="A335" s="1"/>
      <c r="B335" s="5" t="s">
        <v>430</v>
      </c>
      <c r="C335" s="1"/>
      <c r="D335" s="1"/>
      <c r="E335" s="1"/>
      <c r="F335" s="368" t="s">
        <v>431</v>
      </c>
      <c r="G335" s="47" t="s">
        <v>2</v>
      </c>
      <c r="H335" s="51">
        <f>(H331*H334*H327)/(((H333/10)^2)*(2*MIN(H325,H329)-H330))</f>
        <v>2.4985049249212827</v>
      </c>
      <c r="I335" s="5" t="s">
        <v>96</v>
      </c>
      <c r="J335" s="460">
        <v>2</v>
      </c>
    </row>
    <row r="336" spans="1:13" ht="15" customHeight="1" x14ac:dyDescent="0.2">
      <c r="A336" s="1"/>
      <c r="B336" s="1"/>
      <c r="C336" s="1"/>
      <c r="D336" s="1"/>
      <c r="E336" s="38"/>
      <c r="F336" s="258" t="s">
        <v>432</v>
      </c>
      <c r="G336" s="365" t="s">
        <v>2</v>
      </c>
      <c r="H336" s="366">
        <f>H335/H332</f>
        <v>0.98831989167249124</v>
      </c>
      <c r="I336" s="171" t="str">
        <f>IF(ROUND(H336,2)&lt;=1,"OK","No Cumple")</f>
        <v>OK</v>
      </c>
      <c r="J336" s="153"/>
      <c r="K336" s="153"/>
      <c r="L336" s="153"/>
    </row>
    <row r="337" spans="1:17" ht="15" customHeight="1" x14ac:dyDescent="0.2">
      <c r="A337" s="22"/>
      <c r="B337" s="345" t="s">
        <v>433</v>
      </c>
      <c r="C337" s="346"/>
      <c r="D337" s="346"/>
      <c r="E337" s="591" t="s">
        <v>652</v>
      </c>
      <c r="F337" s="591"/>
      <c r="G337" s="427" t="s">
        <v>2</v>
      </c>
      <c r="H337" s="513">
        <f>H336+H392</f>
        <v>1.8692512197500408</v>
      </c>
      <c r="I337" s="420" t="str">
        <f>IF(H337&lt;1,"OK","No Cumple")</f>
        <v>No Cumple</v>
      </c>
      <c r="J337" s="421"/>
      <c r="K337" s="422"/>
      <c r="L337" s="422"/>
    </row>
    <row r="338" spans="1:17" ht="15" customHeight="1" x14ac:dyDescent="0.2">
      <c r="A338" s="1"/>
      <c r="B338" s="1"/>
      <c r="C338" s="1"/>
      <c r="D338" s="1"/>
      <c r="E338" s="1"/>
      <c r="F338" s="1"/>
      <c r="G338" s="1"/>
      <c r="H338" s="1"/>
      <c r="I338" s="1"/>
      <c r="J338" s="423"/>
      <c r="K338" s="225"/>
      <c r="L338" s="225"/>
    </row>
    <row r="339" spans="1:17" ht="15" customHeight="1" x14ac:dyDescent="0.2">
      <c r="A339" s="68"/>
      <c r="B339" s="1"/>
      <c r="C339" s="1"/>
      <c r="D339" s="1"/>
      <c r="E339" s="1"/>
      <c r="F339" s="1"/>
      <c r="G339" s="1"/>
      <c r="H339" s="1"/>
      <c r="I339" s="1"/>
      <c r="J339" s="423"/>
      <c r="K339" s="225"/>
      <c r="L339" s="225"/>
    </row>
    <row r="340" spans="1:17" x14ac:dyDescent="0.2">
      <c r="A340" s="38" t="s">
        <v>572</v>
      </c>
      <c r="B340" s="68"/>
      <c r="C340" s="68"/>
      <c r="D340" s="68"/>
      <c r="E340" s="68"/>
      <c r="F340" s="68"/>
      <c r="G340" s="68"/>
      <c r="H340" s="68"/>
      <c r="I340" s="68"/>
      <c r="J340" s="423"/>
      <c r="K340" s="225"/>
      <c r="L340" s="225"/>
    </row>
    <row r="341" spans="1:17" x14ac:dyDescent="0.2">
      <c r="A341" s="128"/>
      <c r="B341" s="1"/>
      <c r="C341" s="1"/>
      <c r="D341" s="1"/>
      <c r="E341" s="166"/>
      <c r="F341" s="1"/>
      <c r="G341" s="22"/>
      <c r="H341" s="1"/>
      <c r="I341" s="1"/>
      <c r="J341" s="423"/>
      <c r="K341" s="225"/>
      <c r="L341" s="225"/>
    </row>
    <row r="342" spans="1:17" x14ac:dyDescent="0.2">
      <c r="A342" s="1"/>
      <c r="B342" s="5" t="s">
        <v>355</v>
      </c>
      <c r="C342" s="1"/>
      <c r="D342" s="1"/>
      <c r="E342" s="1"/>
      <c r="F342" s="46" t="s">
        <v>106</v>
      </c>
      <c r="G342" s="47" t="s">
        <v>2</v>
      </c>
      <c r="H342" s="184">
        <f>LOOKUP(K363,L157:L173,M157:M173)</f>
        <v>8</v>
      </c>
      <c r="I342" s="5" t="str">
        <f>"mm "&amp;IF(OR(H342&lt;2/3*H181,H342&lt;H180),"Aumentar","")</f>
        <v xml:space="preserve">mm </v>
      </c>
      <c r="J342" s="423"/>
      <c r="K342" s="225"/>
      <c r="L342" s="225"/>
    </row>
    <row r="343" spans="1:17" x14ac:dyDescent="0.2">
      <c r="A343" s="1"/>
      <c r="B343" s="5" t="s">
        <v>375</v>
      </c>
      <c r="C343" s="1"/>
      <c r="D343" s="1"/>
      <c r="E343" s="1"/>
      <c r="F343" s="169" t="s">
        <v>650</v>
      </c>
      <c r="G343" s="47" t="s">
        <v>2</v>
      </c>
      <c r="H343" s="184">
        <f>H181+3*H342-1.5*H100-H99</f>
        <v>25</v>
      </c>
      <c r="I343" s="5" t="s">
        <v>376</v>
      </c>
      <c r="J343" s="423"/>
      <c r="K343" s="225"/>
      <c r="L343" s="225"/>
      <c r="O343" s="209"/>
      <c r="P343" s="212"/>
      <c r="Q343" s="213"/>
    </row>
    <row r="344" spans="1:17" x14ac:dyDescent="0.2">
      <c r="A344" s="1"/>
      <c r="B344" s="5" t="s">
        <v>379</v>
      </c>
      <c r="C344" s="1"/>
      <c r="D344" s="1"/>
      <c r="E344" s="1"/>
      <c r="F344" s="102" t="s">
        <v>377</v>
      </c>
      <c r="G344" s="47" t="s">
        <v>2</v>
      </c>
      <c r="H344" s="205">
        <f>IF(H270="-","-",H271*H181/H343)</f>
        <v>5.8040158791977776E-2</v>
      </c>
      <c r="I344" s="5" t="s">
        <v>96</v>
      </c>
      <c r="J344" s="224"/>
      <c r="K344" s="153"/>
      <c r="L344" s="153"/>
      <c r="O344" s="209"/>
      <c r="P344" s="212"/>
      <c r="Q344" s="213"/>
    </row>
    <row r="345" spans="1:17" x14ac:dyDescent="0.2">
      <c r="A345" s="128"/>
      <c r="B345" s="5" t="s">
        <v>378</v>
      </c>
      <c r="C345" s="1"/>
      <c r="D345" s="1"/>
      <c r="E345" s="1"/>
      <c r="F345" s="46" t="s">
        <v>380</v>
      </c>
      <c r="G345" s="47" t="s">
        <v>2</v>
      </c>
      <c r="H345" s="351">
        <f>0.65*LOOKUP(J327,K324:K326,L324:L326)/1000</f>
        <v>0.16250000000000001</v>
      </c>
      <c r="I345" s="5" t="s">
        <v>96</v>
      </c>
      <c r="O345" s="209"/>
      <c r="P345" s="212"/>
      <c r="Q345" s="213"/>
    </row>
    <row r="346" spans="1:17" x14ac:dyDescent="0.2">
      <c r="A346" s="1"/>
      <c r="B346" s="5" t="s">
        <v>354</v>
      </c>
      <c r="C346" s="1"/>
      <c r="D346" s="1"/>
      <c r="E346" s="1"/>
      <c r="F346" s="258" t="s">
        <v>494</v>
      </c>
      <c r="G346" s="365" t="s">
        <v>2</v>
      </c>
      <c r="H346" s="366">
        <f>IF(H344="-","-",H344/H345)</f>
        <v>0.35717020795063248</v>
      </c>
      <c r="I346" s="171" t="str">
        <f>IF(H346="-","ANCLAR",IF(ROUND(H346,2)&lt;=1,"OK","No Cumple"))</f>
        <v>OK</v>
      </c>
      <c r="O346" s="209"/>
      <c r="P346" s="212"/>
      <c r="Q346" s="213"/>
    </row>
    <row r="347" spans="1:17" x14ac:dyDescent="0.2">
      <c r="A347" s="38" t="s">
        <v>573</v>
      </c>
      <c r="B347" s="1"/>
      <c r="C347" s="1"/>
      <c r="D347" s="1"/>
      <c r="E347" s="1"/>
      <c r="F347" s="1"/>
      <c r="G347" s="1"/>
      <c r="H347" s="1"/>
      <c r="I347" s="1"/>
      <c r="O347" s="209"/>
      <c r="P347" s="212"/>
      <c r="Q347" s="213"/>
    </row>
    <row r="348" spans="1:17" x14ac:dyDescent="0.2">
      <c r="A348" s="1"/>
      <c r="B348" s="1"/>
      <c r="C348" s="1"/>
      <c r="D348" s="1"/>
      <c r="E348" s="1"/>
      <c r="F348" s="345"/>
      <c r="G348" s="346"/>
      <c r="H348" s="346"/>
      <c r="I348" s="346"/>
      <c r="O348" s="209"/>
      <c r="P348" s="212"/>
      <c r="Q348" s="213"/>
    </row>
    <row r="349" spans="1:17" x14ac:dyDescent="0.2">
      <c r="A349" s="1"/>
      <c r="B349" s="5" t="s">
        <v>234</v>
      </c>
      <c r="C349" s="1"/>
      <c r="D349" s="28"/>
      <c r="E349" s="1"/>
      <c r="F349" s="169" t="s">
        <v>238</v>
      </c>
      <c r="G349" s="47" t="s">
        <v>2</v>
      </c>
      <c r="H349" s="184">
        <f>MAX(215*H342/(H87*H91)^0.5,600)</f>
        <v>600</v>
      </c>
      <c r="I349" s="5" t="s">
        <v>11</v>
      </c>
      <c r="O349" s="209"/>
      <c r="P349" s="212"/>
      <c r="Q349" s="213"/>
    </row>
    <row r="350" spans="1:17" x14ac:dyDescent="0.2">
      <c r="A350" s="1"/>
      <c r="B350" s="5" t="s">
        <v>237</v>
      </c>
      <c r="C350" s="1"/>
      <c r="D350" s="1"/>
      <c r="E350" s="1"/>
      <c r="F350" s="169" t="s">
        <v>239</v>
      </c>
      <c r="G350" s="47" t="s">
        <v>2</v>
      </c>
      <c r="H350" s="184">
        <f>0.1745*H261/(H87*H91)*10000</f>
        <v>342.02</v>
      </c>
      <c r="I350" s="5" t="s">
        <v>11</v>
      </c>
      <c r="O350" s="209"/>
      <c r="P350" s="212"/>
      <c r="Q350" s="213"/>
    </row>
    <row r="351" spans="1:17" x14ac:dyDescent="0.2">
      <c r="A351" s="1"/>
      <c r="B351" s="5" t="s">
        <v>235</v>
      </c>
      <c r="C351" s="1"/>
      <c r="D351" s="1"/>
      <c r="E351" s="1"/>
      <c r="F351" s="169" t="s">
        <v>566</v>
      </c>
      <c r="G351" s="47" t="s">
        <v>2</v>
      </c>
      <c r="H351" s="184">
        <v>50</v>
      </c>
      <c r="I351" s="5" t="s">
        <v>11</v>
      </c>
      <c r="O351" s="209"/>
      <c r="P351" s="212"/>
      <c r="Q351" s="213"/>
    </row>
    <row r="352" spans="1:17" x14ac:dyDescent="0.2">
      <c r="A352" s="1"/>
      <c r="B352" s="5" t="s">
        <v>240</v>
      </c>
      <c r="C352" s="1"/>
      <c r="D352" s="1"/>
      <c r="E352" s="169" t="s">
        <v>565</v>
      </c>
      <c r="F352" s="47" t="s">
        <v>2</v>
      </c>
      <c r="G352" s="477">
        <f>H349+H326</f>
        <v>760</v>
      </c>
      <c r="H352" s="5" t="s">
        <v>11</v>
      </c>
      <c r="I352" s="171" t="str">
        <f>IF(G352-G353&gt;=MAX(H349,H350),"OK","No Cumple")</f>
        <v>OK</v>
      </c>
      <c r="O352" s="209"/>
      <c r="P352" s="212"/>
      <c r="Q352" s="213"/>
    </row>
    <row r="353" spans="1:23" x14ac:dyDescent="0.2">
      <c r="A353" s="1"/>
      <c r="B353" s="5" t="s">
        <v>236</v>
      </c>
      <c r="C353" s="1"/>
      <c r="D353" s="1"/>
      <c r="E353" s="169" t="s">
        <v>68</v>
      </c>
      <c r="F353" s="47" t="s">
        <v>2</v>
      </c>
      <c r="G353" s="184">
        <f>H326</f>
        <v>160</v>
      </c>
      <c r="H353" s="5" t="s">
        <v>11</v>
      </c>
      <c r="I353" s="171" t="str">
        <f>IF(G353&gt;=H351,"OK","No Cumple")</f>
        <v>OK</v>
      </c>
      <c r="O353" s="209"/>
      <c r="P353" s="212"/>
      <c r="Q353" s="213"/>
    </row>
    <row r="354" spans="1:23" x14ac:dyDescent="0.2">
      <c r="A354" s="75" t="s">
        <v>574</v>
      </c>
      <c r="B354" s="1"/>
      <c r="C354" s="1"/>
      <c r="D354" s="1"/>
      <c r="E354" s="1"/>
      <c r="F354" s="1"/>
      <c r="G354" s="1"/>
      <c r="H354" s="1"/>
      <c r="I354" s="1"/>
    </row>
    <row r="355" spans="1:23" x14ac:dyDescent="0.2">
      <c r="A355" s="68"/>
      <c r="B355" s="68"/>
      <c r="C355" s="68"/>
      <c r="D355" s="68"/>
      <c r="E355" s="235"/>
      <c r="F355" s="68"/>
      <c r="G355" s="68"/>
      <c r="H355" s="68"/>
      <c r="I355" s="68"/>
      <c r="P355" s="212"/>
    </row>
    <row r="356" spans="1:23" x14ac:dyDescent="0.2">
      <c r="A356" s="68"/>
      <c r="B356" s="76" t="s">
        <v>244</v>
      </c>
      <c r="C356" s="68"/>
      <c r="D356" s="68"/>
      <c r="E356" s="68"/>
      <c r="F356" s="236" t="s">
        <v>67</v>
      </c>
      <c r="G356" s="69" t="s">
        <v>2</v>
      </c>
      <c r="H356" s="237">
        <f>H326/10</f>
        <v>16</v>
      </c>
      <c r="I356" s="76" t="s">
        <v>63</v>
      </c>
      <c r="P356" s="212"/>
    </row>
    <row r="357" spans="1:23" x14ac:dyDescent="0.2">
      <c r="A357" s="68"/>
      <c r="B357" s="76" t="s">
        <v>245</v>
      </c>
      <c r="C357" s="68"/>
      <c r="D357" s="68"/>
      <c r="E357" s="68"/>
      <c r="F357" s="236" t="s">
        <v>247</v>
      </c>
      <c r="G357" s="69" t="s">
        <v>2</v>
      </c>
      <c r="H357" s="237">
        <f>MAX(25,8*LOOKUP(J300,K293:K299,L293:L299)*2.54)</f>
        <v>30.48</v>
      </c>
      <c r="I357" s="76" t="s">
        <v>63</v>
      </c>
      <c r="P357" s="212"/>
    </row>
    <row r="358" spans="1:23" ht="13.5" thickBot="1" x14ac:dyDescent="0.25">
      <c r="A358" s="68"/>
      <c r="B358" s="76" t="s">
        <v>639</v>
      </c>
      <c r="C358" s="68"/>
      <c r="D358" s="68"/>
      <c r="E358" s="68"/>
      <c r="F358" s="236" t="s">
        <v>640</v>
      </c>
      <c r="G358" s="69" t="s">
        <v>2</v>
      </c>
      <c r="H358" s="237">
        <f>(H328-H342-H383-IF(J320=FALSE,H333,0))/10</f>
        <v>35.1</v>
      </c>
      <c r="I358" s="76" t="s">
        <v>63</v>
      </c>
      <c r="P358" s="212"/>
    </row>
    <row r="359" spans="1:23" ht="13.5" thickBot="1" x14ac:dyDescent="0.25">
      <c r="A359" s="68"/>
      <c r="B359" s="76" t="s">
        <v>65</v>
      </c>
      <c r="C359" s="68"/>
      <c r="D359" s="68"/>
      <c r="E359" s="68"/>
      <c r="F359" s="236" t="str">
        <f>IF(T318&gt;=H297*100,"P","P/2")</f>
        <v>P/2</v>
      </c>
      <c r="G359" s="69" t="s">
        <v>2</v>
      </c>
      <c r="H359" s="238">
        <f>IF(T318&gt;=H297*100,H334,H334/2)</f>
        <v>9.2059170720000001</v>
      </c>
      <c r="I359" s="76" t="s">
        <v>50</v>
      </c>
      <c r="J359" s="110" t="s">
        <v>370</v>
      </c>
      <c r="K359" s="456" t="b">
        <v>1</v>
      </c>
      <c r="P359" s="212"/>
      <c r="U359" s="214"/>
      <c r="V359" s="214"/>
      <c r="W359" s="214"/>
    </row>
    <row r="360" spans="1:23" x14ac:dyDescent="0.2">
      <c r="A360" s="68"/>
      <c r="B360" s="5" t="s">
        <v>354</v>
      </c>
      <c r="C360" s="1"/>
      <c r="D360" s="1"/>
      <c r="E360" s="1"/>
      <c r="F360" s="236"/>
      <c r="G360" s="69"/>
      <c r="H360" s="238"/>
      <c r="I360" s="76"/>
      <c r="J360" s="15"/>
      <c r="K360" s="15"/>
      <c r="L360" s="15"/>
      <c r="M360" s="15"/>
      <c r="N360" s="215"/>
      <c r="O360" s="215"/>
    </row>
    <row r="361" spans="1:23" ht="13.5" thickBot="1" x14ac:dyDescent="0.25">
      <c r="A361" s="68"/>
      <c r="B361" s="5" t="s">
        <v>355</v>
      </c>
      <c r="C361" s="1"/>
      <c r="D361" s="1"/>
      <c r="E361" s="1"/>
      <c r="F361" s="236" t="s">
        <v>246</v>
      </c>
      <c r="G361" s="69" t="s">
        <v>2</v>
      </c>
      <c r="H361" s="69">
        <f>LOOKUP(K367,L157:L173,M157:M173)</f>
        <v>14</v>
      </c>
      <c r="I361" s="76" t="s">
        <v>11</v>
      </c>
      <c r="J361" s="15"/>
      <c r="K361" s="15"/>
      <c r="L361" s="15"/>
      <c r="M361" s="15"/>
      <c r="N361" s="66"/>
      <c r="O361" s="66"/>
    </row>
    <row r="362" spans="1:23" ht="12.75" customHeight="1" x14ac:dyDescent="0.2">
      <c r="A362" s="245"/>
      <c r="B362" s="76" t="s">
        <v>64</v>
      </c>
      <c r="C362" s="68"/>
      <c r="D362" s="68"/>
      <c r="E362" s="68"/>
      <c r="F362" s="241" t="s">
        <v>104</v>
      </c>
      <c r="G362" s="69" t="s">
        <v>2</v>
      </c>
      <c r="H362" s="242">
        <f>H359/H356/H361*10</f>
        <v>0.41097844071428574</v>
      </c>
      <c r="I362" s="243" t="s">
        <v>102</v>
      </c>
      <c r="J362" s="216" t="s">
        <v>157</v>
      </c>
      <c r="K362" s="458">
        <v>6</v>
      </c>
      <c r="L362" s="15"/>
      <c r="M362" s="15"/>
      <c r="N362" s="66"/>
      <c r="O362" s="66"/>
    </row>
    <row r="363" spans="1:23" ht="13.5" thickBot="1" x14ac:dyDescent="0.25">
      <c r="A363" s="245"/>
      <c r="B363" s="68"/>
      <c r="C363" s="241" t="s">
        <v>267</v>
      </c>
      <c r="D363" s="246">
        <f>H361/SQRT(12)/10</f>
        <v>0.40414518843273806</v>
      </c>
      <c r="E363" s="247" t="s">
        <v>63</v>
      </c>
      <c r="F363" s="241" t="s">
        <v>358</v>
      </c>
      <c r="G363" s="69" t="s">
        <v>2</v>
      </c>
      <c r="H363" s="242">
        <f>MAX(0,1.33*LOOKUP(K366,K79:K92,L79:L92)*(1-0.5*(D364/K370)^2)/(5/3+3/8*D364/K370-1/8*(D364/K370)^3))</f>
        <v>1.5900710875754038</v>
      </c>
      <c r="I363" s="243" t="s">
        <v>102</v>
      </c>
      <c r="J363" s="59" t="s">
        <v>357</v>
      </c>
      <c r="K363" s="459">
        <v>4</v>
      </c>
    </row>
    <row r="364" spans="1:23" x14ac:dyDescent="0.2">
      <c r="A364" s="245"/>
      <c r="B364" s="68"/>
      <c r="C364" s="248" t="s">
        <v>268</v>
      </c>
      <c r="D364" s="249">
        <f>0.75*H358/D363</f>
        <v>65.137482156072423</v>
      </c>
      <c r="E364" s="247" t="str">
        <f>IF(D364&gt;K370,"Muy Esbelto","")</f>
        <v/>
      </c>
      <c r="F364" s="352" t="s">
        <v>495</v>
      </c>
      <c r="G364" s="389" t="s">
        <v>2</v>
      </c>
      <c r="H364" s="390">
        <f>IF(H363=0,"-",H362/H363)</f>
        <v>0.25846545096355417</v>
      </c>
      <c r="I364" s="171" t="str">
        <f>IF(H364="-","Subir Espesor",IF(ROUND(H364,2)&lt;=1,"OK","No Cumple"))</f>
        <v>OK</v>
      </c>
      <c r="Q364" s="221"/>
    </row>
    <row r="365" spans="1:23" ht="13.5" thickBot="1" x14ac:dyDescent="0.25">
      <c r="A365" s="245"/>
      <c r="B365" s="68"/>
      <c r="C365" s="68"/>
      <c r="D365" s="68"/>
      <c r="E365" s="245"/>
      <c r="F365" s="1"/>
      <c r="G365" s="1"/>
      <c r="H365" s="1"/>
      <c r="I365" s="1"/>
      <c r="Q365" s="221"/>
    </row>
    <row r="366" spans="1:23" x14ac:dyDescent="0.2">
      <c r="A366" s="128"/>
      <c r="B366" s="68"/>
      <c r="C366" s="68"/>
      <c r="D366" s="68"/>
      <c r="E366" s="245"/>
      <c r="F366" s="241"/>
      <c r="G366" s="69"/>
      <c r="H366" s="252"/>
      <c r="I366" s="253"/>
      <c r="J366" s="216" t="s">
        <v>157</v>
      </c>
      <c r="K366" s="458">
        <v>1</v>
      </c>
    </row>
    <row r="367" spans="1:23" ht="13.5" thickBot="1" x14ac:dyDescent="0.25">
      <c r="A367" s="1"/>
      <c r="B367" s="162"/>
      <c r="C367" s="1"/>
      <c r="D367" s="1"/>
      <c r="E367" s="1"/>
      <c r="F367" s="1"/>
      <c r="G367" s="1"/>
      <c r="H367" s="1"/>
      <c r="I367" s="1"/>
      <c r="J367" s="59" t="s">
        <v>357</v>
      </c>
      <c r="K367" s="459">
        <v>7</v>
      </c>
      <c r="M367" s="222"/>
    </row>
    <row r="368" spans="1:23" x14ac:dyDescent="0.2">
      <c r="A368" s="255"/>
      <c r="B368" s="254"/>
      <c r="C368" s="260">
        <f>H326</f>
        <v>160</v>
      </c>
      <c r="D368" s="256">
        <f>+H181</f>
        <v>6</v>
      </c>
      <c r="E368" s="258" t="str">
        <f>H296 &amp; " Pernos"</f>
        <v>16 Pernos</v>
      </c>
      <c r="F368" s="1"/>
      <c r="G368" s="1"/>
      <c r="H368" s="1"/>
      <c r="I368" s="1"/>
      <c r="J368" s="244"/>
      <c r="K368" s="70"/>
    </row>
    <row r="369" spans="1:18" ht="13.5" thickBot="1" x14ac:dyDescent="0.25">
      <c r="A369" s="1"/>
      <c r="B369" s="257"/>
      <c r="C369" s="254"/>
      <c r="D369" s="254"/>
      <c r="E369" s="258" t="str">
        <f>LOOKUP(J300,K293:K299,J293:J299)</f>
        <v>1 1/2"</v>
      </c>
      <c r="F369" s="1"/>
      <c r="G369" s="1"/>
      <c r="H369" s="1"/>
      <c r="I369" s="1"/>
      <c r="J369" s="244"/>
      <c r="K369" s="70"/>
      <c r="R369" s="223"/>
    </row>
    <row r="370" spans="1:18" ht="13.5" thickBot="1" x14ac:dyDescent="0.25">
      <c r="A370" s="1"/>
      <c r="B370" s="450" t="str">
        <f>IF(J320=FALSE,"Placa          "&amp; H333 &amp; " +","")</f>
        <v>Placa          35 +</v>
      </c>
      <c r="C370" s="254"/>
      <c r="D370" s="254"/>
      <c r="E370" s="254"/>
      <c r="F370" s="1"/>
      <c r="G370" s="1"/>
      <c r="H370" s="1"/>
      <c r="I370" s="1"/>
      <c r="J370" s="250" t="s">
        <v>316</v>
      </c>
      <c r="K370" s="251">
        <f>SQRT(2*PI()^2*2100/H93)</f>
        <v>128.05106096814617</v>
      </c>
      <c r="R370" s="223"/>
    </row>
    <row r="371" spans="1:18" x14ac:dyDescent="0.2">
      <c r="A371" s="1"/>
      <c r="B371" s="450" t="str">
        <f>"Anillo         " &amp; H383</f>
        <v>Anillo         6</v>
      </c>
      <c r="C371" s="254"/>
      <c r="D371" s="254"/>
      <c r="E371" s="258">
        <f>H361</f>
        <v>14</v>
      </c>
      <c r="F371" s="1"/>
      <c r="G371" s="1"/>
      <c r="H371" s="1"/>
      <c r="I371" s="1"/>
    </row>
    <row r="372" spans="1:18" x14ac:dyDescent="0.2">
      <c r="A372" s="1"/>
      <c r="B372" s="258"/>
      <c r="C372" s="254"/>
      <c r="D372" s="254"/>
      <c r="E372" s="254"/>
      <c r="F372" s="1"/>
      <c r="G372" s="1"/>
      <c r="H372" s="1"/>
      <c r="I372" s="1"/>
      <c r="R372" s="223"/>
    </row>
    <row r="373" spans="1:18" x14ac:dyDescent="0.2">
      <c r="A373" s="1"/>
      <c r="B373" s="259">
        <f>H328-H342-H383-IF(J320=FALSE,H333,0)</f>
        <v>351</v>
      </c>
      <c r="C373" s="254"/>
      <c r="D373" s="254"/>
      <c r="E373" s="254"/>
      <c r="F373" s="1"/>
      <c r="G373" s="1"/>
      <c r="H373" s="1"/>
      <c r="I373" s="1"/>
      <c r="M373" s="225"/>
    </row>
    <row r="374" spans="1:18" x14ac:dyDescent="0.2">
      <c r="A374" s="1"/>
      <c r="B374" s="254"/>
      <c r="C374" s="254"/>
      <c r="D374" s="254"/>
      <c r="E374" s="254"/>
      <c r="F374" s="256">
        <f>H180</f>
        <v>8</v>
      </c>
      <c r="G374" s="1"/>
      <c r="H374" s="1"/>
      <c r="I374" s="1"/>
    </row>
    <row r="375" spans="1:18" x14ac:dyDescent="0.2">
      <c r="A375" s="1"/>
      <c r="B375" s="259">
        <f>H342</f>
        <v>8</v>
      </c>
      <c r="C375" s="254"/>
      <c r="D375" s="254"/>
      <c r="E375" s="254"/>
      <c r="F375" s="1"/>
      <c r="G375" s="1"/>
      <c r="H375" s="166"/>
      <c r="I375" s="1"/>
    </row>
    <row r="376" spans="1:18" x14ac:dyDescent="0.2">
      <c r="A376" s="1"/>
      <c r="B376" s="254"/>
      <c r="C376" s="254"/>
      <c r="D376" s="254"/>
      <c r="E376" s="254"/>
      <c r="F376" s="1"/>
      <c r="G376" s="1"/>
      <c r="H376" s="1"/>
      <c r="I376" s="1"/>
      <c r="J376" s="15"/>
    </row>
    <row r="377" spans="1:18" x14ac:dyDescent="0.2">
      <c r="A377" s="1"/>
      <c r="B377" s="254"/>
      <c r="C377" s="254"/>
      <c r="D377" s="260">
        <f>G352-G353</f>
        <v>600</v>
      </c>
      <c r="E377" s="254"/>
      <c r="F377" s="1"/>
      <c r="G377" s="1"/>
      <c r="H377" s="1"/>
      <c r="I377" s="1"/>
    </row>
    <row r="378" spans="1:18" x14ac:dyDescent="0.2">
      <c r="A378" s="1"/>
      <c r="B378" s="254"/>
      <c r="C378" s="254"/>
      <c r="D378" s="254"/>
      <c r="E378" s="254"/>
      <c r="F378" s="1"/>
      <c r="G378" s="1"/>
      <c r="H378" s="1"/>
      <c r="I378" s="1"/>
      <c r="J378" s="350" t="s">
        <v>385</v>
      </c>
      <c r="K378" s="350" t="s">
        <v>302</v>
      </c>
    </row>
    <row r="379" spans="1:18" ht="39.75" customHeight="1" x14ac:dyDescent="0.2">
      <c r="A379" s="408" t="s">
        <v>534</v>
      </c>
      <c r="B379" s="254"/>
      <c r="C379" s="254"/>
      <c r="D379" s="254"/>
      <c r="E379" s="254"/>
      <c r="F379" s="1"/>
      <c r="G379" s="1"/>
      <c r="H379" s="1"/>
      <c r="I379" s="1"/>
      <c r="J379" s="349">
        <v>4.2859999999999996</v>
      </c>
      <c r="K379" s="349">
        <v>1</v>
      </c>
    </row>
    <row r="380" spans="1:18" x14ac:dyDescent="0.2">
      <c r="A380" s="75" t="s">
        <v>667</v>
      </c>
      <c r="B380" s="254"/>
      <c r="C380" s="254"/>
      <c r="D380" s="254"/>
      <c r="E380" s="254"/>
      <c r="F380" s="1"/>
      <c r="G380" s="1"/>
      <c r="H380" s="1"/>
      <c r="I380" s="1"/>
      <c r="J380" s="349">
        <v>7.5</v>
      </c>
      <c r="K380" s="349">
        <v>1.6</v>
      </c>
    </row>
    <row r="381" spans="1:18" x14ac:dyDescent="0.2">
      <c r="A381" s="1"/>
      <c r="B381" s="254"/>
      <c r="C381" s="254"/>
      <c r="D381" s="254"/>
      <c r="E381" s="254"/>
      <c r="F381" s="1"/>
      <c r="G381" s="1"/>
      <c r="H381" s="1"/>
      <c r="I381" s="1"/>
    </row>
    <row r="382" spans="1:18" ht="13.5" thickBot="1" x14ac:dyDescent="0.25">
      <c r="A382" s="1"/>
      <c r="B382" s="5" t="s">
        <v>391</v>
      </c>
      <c r="C382" s="254"/>
      <c r="D382" s="254"/>
      <c r="E382" s="254"/>
      <c r="F382" s="46" t="s">
        <v>75</v>
      </c>
      <c r="G382" s="348" t="s">
        <v>2</v>
      </c>
      <c r="H382" s="51">
        <f>LOOKUP(K383,K79:K92,L79:L92)</f>
        <v>2.5280326197757392</v>
      </c>
      <c r="I382" s="243" t="s">
        <v>102</v>
      </c>
      <c r="J382" s="12" t="s">
        <v>415</v>
      </c>
    </row>
    <row r="383" spans="1:18" x14ac:dyDescent="0.2">
      <c r="A383" s="1"/>
      <c r="B383" s="5" t="s">
        <v>383</v>
      </c>
      <c r="C383" s="254"/>
      <c r="D383" s="254"/>
      <c r="E383" s="254"/>
      <c r="F383" s="46" t="s">
        <v>397</v>
      </c>
      <c r="G383" s="348" t="s">
        <v>2</v>
      </c>
      <c r="H383" s="47">
        <f>LOOKUP(K384,L157:L173,M157:M173)</f>
        <v>6</v>
      </c>
      <c r="I383" s="5" t="s">
        <v>11</v>
      </c>
      <c r="J383" s="216" t="s">
        <v>157</v>
      </c>
      <c r="K383" s="458">
        <v>1</v>
      </c>
    </row>
    <row r="384" spans="1:18" ht="13.5" thickBot="1" x14ac:dyDescent="0.25">
      <c r="A384" s="1"/>
      <c r="B384" s="5" t="s">
        <v>390</v>
      </c>
      <c r="C384" s="254"/>
      <c r="D384" s="254"/>
      <c r="E384" s="254"/>
      <c r="F384" s="46" t="s">
        <v>68</v>
      </c>
      <c r="G384" s="47" t="s">
        <v>2</v>
      </c>
      <c r="H384" s="184">
        <f>H326</f>
        <v>160</v>
      </c>
      <c r="I384" s="5" t="s">
        <v>11</v>
      </c>
      <c r="J384" s="59" t="s">
        <v>357</v>
      </c>
      <c r="K384" s="459">
        <v>3</v>
      </c>
    </row>
    <row r="385" spans="1:9" x14ac:dyDescent="0.2">
      <c r="A385" s="1"/>
      <c r="B385" s="5" t="s">
        <v>384</v>
      </c>
      <c r="C385" s="254"/>
      <c r="D385" s="254"/>
      <c r="E385" s="254"/>
      <c r="F385" s="102" t="s">
        <v>385</v>
      </c>
      <c r="G385" s="348" t="s">
        <v>2</v>
      </c>
      <c r="H385" s="48">
        <f>180/H296</f>
        <v>11.25</v>
      </c>
      <c r="I385" s="1" t="s">
        <v>386</v>
      </c>
    </row>
    <row r="386" spans="1:9" x14ac:dyDescent="0.2">
      <c r="A386" s="1"/>
      <c r="B386" s="5" t="s">
        <v>381</v>
      </c>
      <c r="C386" s="254"/>
      <c r="D386" s="254"/>
      <c r="E386" s="254"/>
      <c r="F386" s="46" t="s">
        <v>398</v>
      </c>
      <c r="G386" s="348" t="s">
        <v>2</v>
      </c>
      <c r="H386" s="178">
        <f>H298*(H325/10)/(2*(H328/10-IF(J320=FALSE,H333,0)/10-1/2*(H383/10+H342/10)))*1/SIN(RADIANS(H385))</f>
        <v>9.5256811997979387</v>
      </c>
      <c r="I386" s="76" t="s">
        <v>50</v>
      </c>
    </row>
    <row r="387" spans="1:9" x14ac:dyDescent="0.2">
      <c r="A387" s="1"/>
      <c r="B387" s="5" t="s">
        <v>388</v>
      </c>
      <c r="C387" s="254"/>
      <c r="D387" s="254"/>
      <c r="E387" s="254"/>
      <c r="F387" s="46" t="s">
        <v>399</v>
      </c>
      <c r="G387" s="348" t="s">
        <v>2</v>
      </c>
      <c r="H387" s="51">
        <f>100*H386/(H326*H383)</f>
        <v>0.99225845831228532</v>
      </c>
      <c r="I387" s="243" t="s">
        <v>102</v>
      </c>
    </row>
    <row r="388" spans="1:9" x14ac:dyDescent="0.2">
      <c r="A388" s="1"/>
      <c r="B388" s="5" t="s">
        <v>389</v>
      </c>
      <c r="C388" s="254"/>
      <c r="D388" s="254"/>
      <c r="E388" s="254"/>
      <c r="F388" s="102" t="s">
        <v>302</v>
      </c>
      <c r="G388" s="348" t="s">
        <v>2</v>
      </c>
      <c r="H388" s="51">
        <f>lininterp(J379:J380,K379:K380,H385)</f>
        <v>1.6</v>
      </c>
      <c r="I388" s="1"/>
    </row>
    <row r="389" spans="1:9" x14ac:dyDescent="0.2">
      <c r="A389" s="1"/>
      <c r="B389" s="5" t="s">
        <v>389</v>
      </c>
      <c r="C389" s="254"/>
      <c r="D389" s="254"/>
      <c r="E389" s="254"/>
      <c r="F389" s="102" t="s">
        <v>55</v>
      </c>
      <c r="G389" s="348" t="s">
        <v>2</v>
      </c>
      <c r="H389" s="351">
        <f>1.6*(H383*H384)/(H384*H383+1.1*(H181-H99)*SQRT(1000*H86*(H181-H99)))</f>
        <v>0.83478260869565213</v>
      </c>
      <c r="I389" s="1"/>
    </row>
    <row r="390" spans="1:9" x14ac:dyDescent="0.2">
      <c r="A390" s="1"/>
      <c r="B390" s="5" t="s">
        <v>387</v>
      </c>
      <c r="C390" s="254"/>
      <c r="D390" s="254"/>
      <c r="E390" s="254"/>
      <c r="F390" s="102" t="s">
        <v>400</v>
      </c>
      <c r="G390" s="348" t="s">
        <v>2</v>
      </c>
      <c r="H390" s="51">
        <f>H387*(H389+500*H388*H86/H384*(1-COS(RADIANS(H385))))</f>
        <v>1.781618506529927</v>
      </c>
      <c r="I390" s="243" t="s">
        <v>102</v>
      </c>
    </row>
    <row r="391" spans="1:9" x14ac:dyDescent="0.2">
      <c r="A391" s="1"/>
      <c r="B391" s="5" t="s">
        <v>392</v>
      </c>
      <c r="C391" s="254"/>
      <c r="D391" s="254"/>
      <c r="E391" s="254"/>
      <c r="F391" s="102" t="s">
        <v>401</v>
      </c>
      <c r="G391" s="47" t="s">
        <v>2</v>
      </c>
      <c r="H391" s="51">
        <f>0.8*H382</f>
        <v>2.0224260958205913</v>
      </c>
      <c r="I391" s="243" t="s">
        <v>102</v>
      </c>
    </row>
    <row r="392" spans="1:9" x14ac:dyDescent="0.2">
      <c r="A392" s="1"/>
      <c r="B392" s="254"/>
      <c r="C392" s="254"/>
      <c r="D392" s="254"/>
      <c r="E392" s="254"/>
      <c r="F392" s="352" t="s">
        <v>405</v>
      </c>
      <c r="G392" s="389" t="s">
        <v>2</v>
      </c>
      <c r="H392" s="390">
        <f>H390/H391</f>
        <v>0.88093132807754959</v>
      </c>
      <c r="I392" s="171" t="str">
        <f>IF(ROUND(H392,2)&lt;=1,"OK","No Cumple")</f>
        <v>OK</v>
      </c>
    </row>
    <row r="393" spans="1:9" x14ac:dyDescent="0.2">
      <c r="A393" s="75" t="s">
        <v>668</v>
      </c>
      <c r="B393" s="254"/>
      <c r="C393" s="254"/>
      <c r="D393" s="254"/>
      <c r="E393" s="254"/>
      <c r="F393" s="1"/>
      <c r="G393" s="1"/>
      <c r="H393" s="1"/>
      <c r="I393" s="1"/>
    </row>
    <row r="394" spans="1:9" x14ac:dyDescent="0.2">
      <c r="A394" s="1"/>
      <c r="B394" s="254"/>
      <c r="C394" s="254"/>
      <c r="D394" s="254"/>
      <c r="E394" s="254"/>
      <c r="F394" s="1"/>
      <c r="G394" s="1"/>
      <c r="H394" s="1"/>
      <c r="I394" s="1"/>
    </row>
    <row r="395" spans="1:9" x14ac:dyDescent="0.2">
      <c r="A395" s="1"/>
      <c r="B395" s="5"/>
      <c r="C395" s="5"/>
      <c r="D395" s="5"/>
      <c r="E395" s="5"/>
      <c r="F395" s="1"/>
      <c r="G395" s="1"/>
      <c r="H395" s="1"/>
      <c r="I395" s="1"/>
    </row>
    <row r="396" spans="1:9" x14ac:dyDescent="0.2">
      <c r="A396" s="1"/>
      <c r="B396" s="5" t="s">
        <v>395</v>
      </c>
      <c r="C396" s="5"/>
      <c r="D396" s="5"/>
      <c r="E396" s="5"/>
      <c r="F396" s="102" t="s">
        <v>402</v>
      </c>
      <c r="G396" s="47" t="s">
        <v>2</v>
      </c>
      <c r="H396" s="51">
        <f>H86*(H87-0.3)*H91/(20*(H181-H99))</f>
        <v>1.0874999999999999</v>
      </c>
      <c r="I396" s="243" t="s">
        <v>102</v>
      </c>
    </row>
    <row r="397" spans="1:9" x14ac:dyDescent="0.2">
      <c r="A397" s="1"/>
      <c r="B397" s="5" t="s">
        <v>394</v>
      </c>
      <c r="C397" s="5"/>
      <c r="D397" s="5"/>
      <c r="E397" s="5"/>
      <c r="F397" s="46" t="s">
        <v>611</v>
      </c>
      <c r="G397" s="47" t="s">
        <v>2</v>
      </c>
      <c r="H397" s="51">
        <f>IF(H270="-","-",1.33*H396+H271)</f>
        <v>1.688208994966574</v>
      </c>
      <c r="I397" s="243" t="s">
        <v>102</v>
      </c>
    </row>
    <row r="398" spans="1:9" x14ac:dyDescent="0.2">
      <c r="A398" s="1"/>
      <c r="B398" s="5" t="s">
        <v>396</v>
      </c>
      <c r="C398" s="5"/>
      <c r="D398" s="5"/>
      <c r="E398" s="5"/>
      <c r="F398" s="46" t="s">
        <v>403</v>
      </c>
      <c r="G398" s="47" t="s">
        <v>2</v>
      </c>
      <c r="H398" s="51">
        <f>1.2*E149</f>
        <v>1.957186544342508</v>
      </c>
      <c r="I398" s="243" t="s">
        <v>102</v>
      </c>
    </row>
    <row r="399" spans="1:9" x14ac:dyDescent="0.2">
      <c r="A399" s="1"/>
      <c r="B399" s="5"/>
      <c r="C399" s="5"/>
      <c r="D399" s="5"/>
      <c r="E399" s="5"/>
      <c r="F399" s="352" t="s">
        <v>404</v>
      </c>
      <c r="G399" s="365" t="s">
        <v>2</v>
      </c>
      <c r="H399" s="390">
        <f>IF(H397="-","-",H397/H398)</f>
        <v>0.86256928336573369</v>
      </c>
      <c r="I399" s="171" t="str">
        <f>IF(H399="-","ANCLAR",IF(ROUND(H399,2)&lt;=1,"OK","No Cumple"))</f>
        <v>OK</v>
      </c>
    </row>
    <row r="400" spans="1:9" x14ac:dyDescent="0.2">
      <c r="A400" s="1"/>
      <c r="B400" s="5"/>
      <c r="C400" s="5"/>
      <c r="D400" s="5"/>
      <c r="E400" s="5"/>
      <c r="F400" s="352"/>
      <c r="G400" s="47"/>
      <c r="H400" s="252"/>
      <c r="I400" s="253"/>
    </row>
    <row r="401" spans="1:19" x14ac:dyDescent="0.2">
      <c r="A401" s="1"/>
      <c r="B401" s="5" t="s">
        <v>393</v>
      </c>
      <c r="C401" s="5"/>
      <c r="D401" s="5"/>
      <c r="E401" s="5"/>
      <c r="F401" s="46" t="s">
        <v>612</v>
      </c>
      <c r="G401" s="47" t="s">
        <v>2</v>
      </c>
      <c r="H401" s="51">
        <f>IF(H397="-","-",1.2*H271)</f>
        <v>0.29020079395988885</v>
      </c>
      <c r="I401" s="1"/>
    </row>
    <row r="402" spans="1:19" x14ac:dyDescent="0.2">
      <c r="A402" s="1"/>
      <c r="B402" s="5"/>
      <c r="C402" s="5"/>
      <c r="D402" s="5"/>
      <c r="E402" s="5"/>
      <c r="F402" s="46" t="s">
        <v>98</v>
      </c>
      <c r="G402" s="47" t="s">
        <v>2</v>
      </c>
      <c r="H402" s="178">
        <f>H273</f>
        <v>0.33200000000000002</v>
      </c>
      <c r="I402" s="1"/>
    </row>
    <row r="403" spans="1:19" x14ac:dyDescent="0.2">
      <c r="A403" s="1"/>
      <c r="B403" s="5"/>
      <c r="C403" s="5"/>
      <c r="D403" s="5"/>
      <c r="E403" s="5"/>
      <c r="F403" s="352" t="s">
        <v>406</v>
      </c>
      <c r="G403" s="365" t="s">
        <v>2</v>
      </c>
      <c r="H403" s="390">
        <f>IF(H397="-","-",H401/H402)</f>
        <v>0.87409877698761695</v>
      </c>
      <c r="I403" s="171" t="str">
        <f>IF(H403="-","ANCLAR",IF(ROUND(H403,2)&lt;=1,"OK","No Cumple"))</f>
        <v>OK</v>
      </c>
    </row>
    <row r="404" spans="1:19" x14ac:dyDescent="0.2">
      <c r="A404" s="1"/>
      <c r="B404" s="5"/>
      <c r="C404" s="5"/>
      <c r="D404" s="5"/>
      <c r="E404" s="5"/>
      <c r="F404" s="5"/>
      <c r="G404" s="1"/>
      <c r="H404" s="1"/>
      <c r="I404" s="1"/>
    </row>
    <row r="405" spans="1:19" x14ac:dyDescent="0.2">
      <c r="A405" s="1"/>
      <c r="B405" s="5" t="s">
        <v>408</v>
      </c>
      <c r="C405" s="5"/>
      <c r="D405" s="5"/>
      <c r="E405" s="5"/>
      <c r="F405" s="102" t="s">
        <v>409</v>
      </c>
      <c r="G405" s="47" t="s">
        <v>2</v>
      </c>
      <c r="H405" s="51">
        <f>H293/(10*(H181-H99))</f>
        <v>0.21177023678845397</v>
      </c>
      <c r="I405" s="243" t="s">
        <v>102</v>
      </c>
    </row>
    <row r="406" spans="1:19" x14ac:dyDescent="0.2">
      <c r="A406" s="1"/>
      <c r="B406" s="5" t="s">
        <v>389</v>
      </c>
      <c r="C406" s="5"/>
      <c r="D406" s="5"/>
      <c r="E406" s="5"/>
      <c r="F406" s="46" t="s">
        <v>407</v>
      </c>
      <c r="G406" s="47" t="s">
        <v>2</v>
      </c>
      <c r="H406" s="51">
        <f>0.8*SQRT(H385)</f>
        <v>2.6832815729997481</v>
      </c>
      <c r="I406" s="1"/>
    </row>
    <row r="407" spans="1:19" x14ac:dyDescent="0.2">
      <c r="A407" s="1"/>
      <c r="B407" s="5" t="s">
        <v>410</v>
      </c>
      <c r="C407" s="5"/>
      <c r="D407" s="5"/>
      <c r="E407" s="5"/>
      <c r="F407" s="46" t="s">
        <v>411</v>
      </c>
      <c r="G407" s="47" t="s">
        <v>2</v>
      </c>
      <c r="H407" s="51">
        <f>H406*H405</f>
        <v>0.56823917408425184</v>
      </c>
      <c r="I407" s="243" t="s">
        <v>102</v>
      </c>
    </row>
    <row r="408" spans="1:19" x14ac:dyDescent="0.2">
      <c r="A408" s="1"/>
      <c r="B408" s="5" t="s">
        <v>412</v>
      </c>
      <c r="C408" s="254"/>
      <c r="D408" s="254"/>
      <c r="E408" s="254"/>
      <c r="F408" s="46" t="s">
        <v>403</v>
      </c>
      <c r="G408" s="47" t="s">
        <v>2</v>
      </c>
      <c r="H408" s="51">
        <f>1.2*E149</f>
        <v>1.957186544342508</v>
      </c>
      <c r="I408" s="243" t="s">
        <v>102</v>
      </c>
    </row>
    <row r="409" spans="1:19" x14ac:dyDescent="0.2">
      <c r="A409" s="1"/>
      <c r="B409" s="254"/>
      <c r="C409" s="254"/>
      <c r="D409" s="254"/>
      <c r="E409" s="254"/>
      <c r="F409" s="352" t="s">
        <v>413</v>
      </c>
      <c r="G409" s="365" t="s">
        <v>2</v>
      </c>
      <c r="H409" s="390">
        <f>H407/H408</f>
        <v>0.29033470300867237</v>
      </c>
      <c r="I409" s="171" t="str">
        <f>IF(ROUND(H409,2)&lt;=1,"OK","No Cumple")</f>
        <v>OK</v>
      </c>
    </row>
    <row r="410" spans="1:19" x14ac:dyDescent="0.2">
      <c r="A410" s="1"/>
      <c r="B410" s="254"/>
      <c r="C410" s="254"/>
      <c r="D410" s="254"/>
      <c r="E410" s="254"/>
      <c r="F410" s="1"/>
      <c r="G410" s="1"/>
      <c r="H410" s="1"/>
      <c r="I410" s="1"/>
    </row>
    <row r="411" spans="1:19" x14ac:dyDescent="0.2">
      <c r="A411" s="3"/>
      <c r="B411" s="254"/>
      <c r="C411" s="254"/>
      <c r="D411" s="254"/>
      <c r="E411" s="254"/>
      <c r="F411" s="1"/>
      <c r="G411" s="1"/>
      <c r="H411" s="1"/>
      <c r="I411" s="1"/>
      <c r="L411" s="153"/>
    </row>
    <row r="412" spans="1:19" x14ac:dyDescent="0.2">
      <c r="A412" s="1"/>
      <c r="B412" s="4"/>
      <c r="C412" s="4"/>
      <c r="D412" s="4"/>
      <c r="E412" s="3"/>
      <c r="F412" s="1"/>
      <c r="G412" s="1"/>
      <c r="H412" s="1"/>
      <c r="I412" s="1"/>
      <c r="J412" s="153"/>
      <c r="K412" s="153"/>
      <c r="L412" s="153"/>
    </row>
    <row r="413" spans="1:19" s="74" customFormat="1" x14ac:dyDescent="0.2">
      <c r="A413" s="1"/>
      <c r="B413" s="3"/>
      <c r="C413" s="4"/>
      <c r="D413" s="4"/>
      <c r="E413" s="1"/>
      <c r="F413" s="1"/>
      <c r="G413" s="1"/>
      <c r="H413" s="1"/>
      <c r="I413" s="1"/>
      <c r="J413" s="70"/>
      <c r="K413" s="70"/>
      <c r="L413" s="70"/>
      <c r="M413" s="70"/>
      <c r="N413" s="72"/>
      <c r="O413" s="72"/>
      <c r="P413" s="72"/>
      <c r="Q413" s="72"/>
      <c r="R413" s="72"/>
      <c r="S413" s="227"/>
    </row>
    <row r="414" spans="1:19" x14ac:dyDescent="0.2">
      <c r="A414" s="1"/>
      <c r="B414" s="3"/>
      <c r="C414" s="4"/>
      <c r="D414" s="4"/>
      <c r="E414" s="1"/>
      <c r="F414" s="4"/>
      <c r="G414" s="3"/>
      <c r="H414" s="1"/>
      <c r="I414" s="1"/>
    </row>
    <row r="415" spans="1:19" x14ac:dyDescent="0.2">
      <c r="A415" s="1"/>
      <c r="B415" s="3"/>
      <c r="C415" s="4"/>
      <c r="D415" s="4"/>
      <c r="E415" s="1"/>
      <c r="F415" s="4"/>
      <c r="G415" s="4"/>
      <c r="H415" s="1"/>
      <c r="I415" s="1"/>
    </row>
    <row r="416" spans="1:19" x14ac:dyDescent="0.2">
      <c r="A416" s="1"/>
      <c r="B416" s="3"/>
      <c r="C416" s="4"/>
      <c r="D416" s="4"/>
      <c r="E416" s="1"/>
      <c r="F416" s="4"/>
      <c r="G416" s="4"/>
      <c r="H416" s="1"/>
      <c r="J416" s="65"/>
      <c r="K416" s="65"/>
      <c r="L416" s="65"/>
    </row>
    <row r="417" spans="1:27" x14ac:dyDescent="0.2">
      <c r="A417" s="1"/>
      <c r="B417" s="3"/>
      <c r="C417" s="3"/>
      <c r="D417" s="3"/>
      <c r="E417" s="1"/>
      <c r="F417" s="1"/>
      <c r="G417" s="4"/>
      <c r="H417" s="4"/>
      <c r="I417" s="262">
        <f>H432*1000</f>
        <v>0</v>
      </c>
      <c r="J417" s="228"/>
      <c r="K417" s="225"/>
      <c r="L417" s="228"/>
    </row>
    <row r="418" spans="1:27" x14ac:dyDescent="0.2">
      <c r="A418" s="1"/>
      <c r="B418" s="3"/>
      <c r="C418" s="3"/>
      <c r="D418" s="3"/>
      <c r="E418" s="1"/>
      <c r="F418" s="1"/>
      <c r="G418" s="1"/>
      <c r="H418" s="1"/>
      <c r="I418" s="1"/>
      <c r="J418" s="228"/>
      <c r="K418" s="228"/>
      <c r="L418" s="228"/>
    </row>
    <row r="419" spans="1:27" x14ac:dyDescent="0.2">
      <c r="A419" s="1"/>
      <c r="B419" s="3"/>
      <c r="C419" s="263">
        <f>+H438*2*1000</f>
        <v>7832.0000000000009</v>
      </c>
      <c r="D419" s="3"/>
      <c r="E419" s="1"/>
      <c r="F419" s="1"/>
      <c r="G419" s="1"/>
      <c r="H419" s="1"/>
      <c r="I419" s="262">
        <f>(H431-H434)*1000</f>
        <v>1000</v>
      </c>
      <c r="J419" s="228"/>
      <c r="K419" s="228"/>
      <c r="L419" s="228"/>
    </row>
    <row r="420" spans="1:27" x14ac:dyDescent="0.2">
      <c r="A420" s="1"/>
      <c r="B420" s="3"/>
      <c r="C420" s="3"/>
      <c r="D420" s="3"/>
      <c r="E420" s="1"/>
      <c r="F420" s="1"/>
      <c r="G420" s="1"/>
      <c r="H420" s="1"/>
      <c r="J420" s="228"/>
      <c r="K420" s="228"/>
      <c r="L420" s="228"/>
    </row>
    <row r="421" spans="1:27" x14ac:dyDescent="0.2">
      <c r="A421" s="1"/>
      <c r="B421" s="3"/>
      <c r="C421" s="263">
        <f>H86/2*1000+H181+G353</f>
        <v>5166</v>
      </c>
      <c r="D421" s="3"/>
      <c r="E421" s="1"/>
      <c r="F421" s="1"/>
      <c r="G421" s="1"/>
      <c r="H421" s="1"/>
      <c r="I421" s="1"/>
      <c r="J421" s="228"/>
      <c r="K421" s="228"/>
      <c r="L421" s="228"/>
    </row>
    <row r="422" spans="1:27" x14ac:dyDescent="0.2">
      <c r="A422" s="1"/>
      <c r="B422" s="3"/>
      <c r="C422" s="3"/>
      <c r="D422" s="3"/>
      <c r="E422" s="1"/>
      <c r="F422" s="1"/>
      <c r="G422" s="1"/>
      <c r="H422" s="1"/>
      <c r="I422" s="1"/>
      <c r="J422" s="228"/>
      <c r="K422" s="228"/>
      <c r="L422" s="228"/>
    </row>
    <row r="423" spans="1:27" x14ac:dyDescent="0.2">
      <c r="A423" s="1"/>
      <c r="B423" s="3"/>
      <c r="C423" s="3"/>
      <c r="D423" s="3"/>
      <c r="E423" s="1"/>
      <c r="F423" s="1"/>
      <c r="G423" s="1"/>
      <c r="H423" s="3"/>
      <c r="I423" s="262">
        <f>+H434*1000</f>
        <v>500</v>
      </c>
      <c r="J423" s="228"/>
      <c r="K423" s="228"/>
      <c r="L423" s="228"/>
    </row>
    <row r="424" spans="1:27" x14ac:dyDescent="0.2">
      <c r="A424" s="1"/>
      <c r="B424" s="3"/>
      <c r="C424" s="3"/>
      <c r="D424" s="3"/>
      <c r="E424" s="1"/>
      <c r="F424" s="1"/>
      <c r="G424" s="1"/>
      <c r="H424" s="3"/>
      <c r="I424" s="3"/>
      <c r="J424" s="228"/>
      <c r="K424" s="228"/>
      <c r="L424" s="228"/>
    </row>
    <row r="425" spans="1:27" x14ac:dyDescent="0.2">
      <c r="A425" s="1"/>
      <c r="B425" s="3"/>
      <c r="C425" s="3"/>
      <c r="D425" s="3"/>
      <c r="E425" s="1"/>
      <c r="F425" s="1"/>
      <c r="G425" s="1"/>
      <c r="H425" s="3"/>
      <c r="I425" s="1"/>
      <c r="J425" s="228"/>
      <c r="K425" s="228"/>
      <c r="L425" s="228"/>
    </row>
    <row r="426" spans="1:27" x14ac:dyDescent="0.2">
      <c r="A426" s="1"/>
      <c r="B426" s="3"/>
      <c r="C426" s="3"/>
      <c r="D426" s="3"/>
      <c r="E426" s="1"/>
      <c r="F426" s="1"/>
      <c r="G426" s="263">
        <f>+H433*1000</f>
        <v>500</v>
      </c>
      <c r="H426" s="262">
        <f>+H436*1000</f>
        <v>750</v>
      </c>
      <c r="I426" s="265"/>
      <c r="Q426" s="229"/>
      <c r="R426" s="229"/>
      <c r="S426" s="230"/>
    </row>
    <row r="427" spans="1:27" x14ac:dyDescent="0.2">
      <c r="A427" s="1"/>
      <c r="B427" s="3"/>
      <c r="C427" s="263">
        <f>+H437*2*1000</f>
        <v>11832</v>
      </c>
      <c r="D427" s="3"/>
      <c r="E427" s="1"/>
      <c r="F427" s="3"/>
      <c r="G427" s="263">
        <f>+H435*1000</f>
        <v>2000</v>
      </c>
      <c r="H427" s="3"/>
      <c r="I427" s="1"/>
      <c r="Q427" s="229"/>
      <c r="R427" s="229"/>
      <c r="S427" s="230"/>
    </row>
    <row r="428" spans="1:27" ht="15.75" x14ac:dyDescent="0.25">
      <c r="A428" s="2" t="s">
        <v>551</v>
      </c>
      <c r="B428" s="1"/>
      <c r="C428" s="3"/>
      <c r="E428" s="1"/>
      <c r="F428" s="3"/>
      <c r="G428" s="3"/>
      <c r="H428" s="1"/>
      <c r="I428" s="1"/>
      <c r="R428" s="229"/>
      <c r="S428" s="231"/>
      <c r="T428" s="232"/>
      <c r="U428" s="232"/>
    </row>
    <row r="429" spans="1:27" x14ac:dyDescent="0.2">
      <c r="A429" s="3"/>
      <c r="B429" s="3"/>
      <c r="C429" s="3"/>
      <c r="D429" s="3"/>
      <c r="E429" s="3"/>
      <c r="F429" s="4"/>
      <c r="G429" s="3"/>
      <c r="H429" s="3"/>
      <c r="I429" s="3"/>
      <c r="Q429" s="229"/>
      <c r="R429" s="229"/>
      <c r="S429" s="231"/>
      <c r="T429" s="232"/>
      <c r="U429" s="232"/>
    </row>
    <row r="430" spans="1:27" s="74" customFormat="1" ht="28.5" customHeight="1" x14ac:dyDescent="0.2">
      <c r="A430" s="306" t="s">
        <v>552</v>
      </c>
      <c r="B430" s="295"/>
      <c r="C430" s="295"/>
      <c r="D430" s="295"/>
      <c r="E430" s="295"/>
      <c r="F430" s="288"/>
      <c r="G430" s="295"/>
      <c r="H430" s="295"/>
      <c r="I430" s="295"/>
      <c r="J430" s="70"/>
      <c r="K430" s="70"/>
      <c r="L430" s="70"/>
      <c r="M430" s="70"/>
      <c r="N430" s="72"/>
      <c r="O430" s="72"/>
      <c r="P430" s="72"/>
      <c r="Q430" s="409"/>
      <c r="R430" s="409"/>
      <c r="S430" s="410"/>
      <c r="T430" s="411"/>
      <c r="U430" s="411"/>
    </row>
    <row r="431" spans="1:27" x14ac:dyDescent="0.2">
      <c r="A431" s="3"/>
      <c r="B431" s="4" t="s">
        <v>298</v>
      </c>
      <c r="C431" s="4"/>
      <c r="D431" s="4"/>
      <c r="E431" s="4"/>
      <c r="F431" s="271" t="s">
        <v>299</v>
      </c>
      <c r="G431" s="272" t="s">
        <v>2</v>
      </c>
      <c r="H431" s="342">
        <v>1.5</v>
      </c>
      <c r="I431" s="4" t="s">
        <v>3</v>
      </c>
      <c r="Q431" s="229"/>
      <c r="R431" s="229"/>
      <c r="S431" s="231"/>
      <c r="T431" s="232"/>
      <c r="U431" s="232"/>
    </row>
    <row r="432" spans="1:27" x14ac:dyDescent="0.2">
      <c r="A432" s="3"/>
      <c r="B432" s="4" t="s">
        <v>269</v>
      </c>
      <c r="C432" s="4"/>
      <c r="D432" s="4"/>
      <c r="E432" s="4"/>
      <c r="F432" s="271" t="s">
        <v>283</v>
      </c>
      <c r="G432" s="272" t="s">
        <v>2</v>
      </c>
      <c r="H432" s="342">
        <v>0</v>
      </c>
      <c r="I432" s="4" t="s">
        <v>3</v>
      </c>
      <c r="L432" s="225"/>
      <c r="M432" s="233"/>
      <c r="Q432" s="229"/>
      <c r="R432" s="229"/>
      <c r="S432" s="231"/>
      <c r="T432" s="232"/>
      <c r="U432" s="232"/>
      <c r="V432" s="232"/>
      <c r="W432" s="234"/>
      <c r="X432" s="234"/>
      <c r="Y432" s="234"/>
      <c r="Z432" s="234"/>
      <c r="AA432" s="234"/>
    </row>
    <row r="433" spans="1:27" x14ac:dyDescent="0.2">
      <c r="A433" s="3"/>
      <c r="B433" s="4" t="s">
        <v>270</v>
      </c>
      <c r="C433" s="4"/>
      <c r="D433" s="4"/>
      <c r="E433" s="4"/>
      <c r="F433" s="271" t="s">
        <v>284</v>
      </c>
      <c r="G433" s="272" t="s">
        <v>2</v>
      </c>
      <c r="H433" s="342">
        <v>0.5</v>
      </c>
      <c r="I433" s="4" t="s">
        <v>3</v>
      </c>
      <c r="L433" s="153"/>
      <c r="M433" s="82"/>
      <c r="Q433" s="229"/>
      <c r="R433" s="229"/>
      <c r="S433" s="231"/>
      <c r="T433" s="232"/>
      <c r="U433" s="232"/>
      <c r="V433" s="232"/>
      <c r="W433" s="234"/>
      <c r="X433" s="234"/>
      <c r="Y433" s="234"/>
      <c r="Z433" s="234"/>
      <c r="AA433" s="234"/>
    </row>
    <row r="434" spans="1:27" x14ac:dyDescent="0.2">
      <c r="A434" s="3"/>
      <c r="B434" s="4" t="s">
        <v>271</v>
      </c>
      <c r="C434" s="4"/>
      <c r="D434" s="4"/>
      <c r="E434" s="4"/>
      <c r="F434" s="271" t="s">
        <v>285</v>
      </c>
      <c r="G434" s="272" t="s">
        <v>2</v>
      </c>
      <c r="H434" s="342">
        <v>0.5</v>
      </c>
      <c r="I434" s="4" t="s">
        <v>3</v>
      </c>
      <c r="Q434" s="229"/>
      <c r="R434" s="229"/>
      <c r="S434" s="231"/>
      <c r="T434" s="232"/>
      <c r="U434" s="232"/>
      <c r="V434" s="232"/>
      <c r="W434" s="234"/>
      <c r="X434" s="234"/>
      <c r="Y434" s="234"/>
      <c r="Z434" s="234"/>
      <c r="AA434" s="234"/>
    </row>
    <row r="435" spans="1:27" x14ac:dyDescent="0.2">
      <c r="A435" s="3"/>
      <c r="B435" s="4" t="s">
        <v>272</v>
      </c>
      <c r="C435" s="4"/>
      <c r="D435" s="4"/>
      <c r="E435" s="4"/>
      <c r="F435" s="271" t="s">
        <v>286</v>
      </c>
      <c r="G435" s="272" t="s">
        <v>2</v>
      </c>
      <c r="H435" s="342">
        <v>2</v>
      </c>
      <c r="I435" s="4" t="str">
        <f>"m  "&amp;IF(H435&lt;H436+H433,"Aumentar","")</f>
        <v xml:space="preserve">m  </v>
      </c>
      <c r="Q435" s="229"/>
      <c r="R435" s="229"/>
      <c r="S435" s="231"/>
      <c r="T435" s="232"/>
      <c r="U435" s="232"/>
      <c r="V435" s="232"/>
      <c r="W435" s="234"/>
      <c r="X435" s="234"/>
      <c r="Y435" s="234"/>
      <c r="Z435" s="234"/>
      <c r="AA435" s="234"/>
    </row>
    <row r="436" spans="1:27" x14ac:dyDescent="0.2">
      <c r="A436" s="3"/>
      <c r="B436" s="4"/>
      <c r="C436" s="4"/>
      <c r="D436" s="4"/>
      <c r="E436" s="4"/>
      <c r="F436" s="274" t="s">
        <v>300</v>
      </c>
      <c r="G436" s="272" t="s">
        <v>2</v>
      </c>
      <c r="H436" s="342">
        <v>0.75</v>
      </c>
      <c r="I436" s="4" t="s">
        <v>3</v>
      </c>
      <c r="Q436" s="229"/>
      <c r="R436" s="229"/>
      <c r="S436" s="231"/>
      <c r="T436" s="232"/>
      <c r="U436" s="232"/>
      <c r="V436" s="232"/>
      <c r="W436" s="234"/>
      <c r="X436" s="234"/>
      <c r="Y436" s="234"/>
      <c r="Z436" s="234"/>
      <c r="AA436" s="234"/>
    </row>
    <row r="437" spans="1:27" s="74" customFormat="1" x14ac:dyDescent="0.2">
      <c r="A437" s="3"/>
      <c r="B437" s="4" t="s">
        <v>277</v>
      </c>
      <c r="C437" s="3"/>
      <c r="D437" s="3"/>
      <c r="E437" s="3"/>
      <c r="F437" s="275" t="s">
        <v>7</v>
      </c>
      <c r="G437" s="276" t="s">
        <v>2</v>
      </c>
      <c r="H437" s="273">
        <f>H86/2+H181/1000+G353/1000+H436</f>
        <v>5.9160000000000004</v>
      </c>
      <c r="I437" s="4" t="s">
        <v>3</v>
      </c>
      <c r="J437" s="70"/>
      <c r="K437" s="70"/>
      <c r="L437" s="70"/>
      <c r="M437" s="70"/>
      <c r="N437" s="72"/>
      <c r="O437" s="72"/>
      <c r="P437" s="72"/>
      <c r="Q437" s="72"/>
      <c r="R437" s="72"/>
      <c r="S437" s="227"/>
    </row>
    <row r="438" spans="1:27" s="74" customFormat="1" x14ac:dyDescent="0.2">
      <c r="A438" s="3"/>
      <c r="B438" s="4" t="s">
        <v>278</v>
      </c>
      <c r="C438" s="3"/>
      <c r="D438" s="3"/>
      <c r="E438" s="3"/>
      <c r="F438" s="275" t="s">
        <v>294</v>
      </c>
      <c r="G438" s="276" t="s">
        <v>2</v>
      </c>
      <c r="H438" s="273">
        <f>H437-H435</f>
        <v>3.9160000000000004</v>
      </c>
      <c r="I438" s="4" t="s">
        <v>3</v>
      </c>
      <c r="J438" s="70"/>
      <c r="K438" s="70"/>
      <c r="L438" s="70"/>
      <c r="M438" s="70"/>
      <c r="N438" s="72"/>
      <c r="O438" s="72"/>
      <c r="P438" s="72"/>
      <c r="Q438" s="72"/>
      <c r="R438" s="72"/>
      <c r="S438" s="227"/>
    </row>
    <row r="439" spans="1:27" s="74" customFormat="1" x14ac:dyDescent="0.2">
      <c r="A439" s="3"/>
      <c r="B439" s="4"/>
      <c r="C439" s="3"/>
      <c r="D439" s="3"/>
      <c r="E439" s="3"/>
      <c r="F439" s="275" t="s">
        <v>295</v>
      </c>
      <c r="G439" s="276" t="s">
        <v>2</v>
      </c>
      <c r="H439" s="278">
        <f>+H438/H437</f>
        <v>0.66193373901284658</v>
      </c>
      <c r="I439" s="3"/>
      <c r="J439" s="70"/>
      <c r="K439" s="70"/>
      <c r="L439" s="70"/>
      <c r="M439" s="70"/>
      <c r="N439" s="72"/>
      <c r="O439" s="72"/>
      <c r="P439" s="72"/>
      <c r="Q439" s="72"/>
      <c r="R439" s="72"/>
      <c r="S439" s="227"/>
    </row>
    <row r="440" spans="1:27" s="74" customFormat="1" x14ac:dyDescent="0.2">
      <c r="A440" s="3"/>
      <c r="B440" s="3"/>
      <c r="C440" s="3"/>
      <c r="D440" s="3"/>
      <c r="E440" s="3"/>
      <c r="F440" s="113" t="s">
        <v>303</v>
      </c>
      <c r="G440" s="276" t="s">
        <v>2</v>
      </c>
      <c r="H440" s="279">
        <f>PI()*(H437^2-H438^2)</f>
        <v>61.776277940189694</v>
      </c>
      <c r="I440" s="86" t="s">
        <v>304</v>
      </c>
      <c r="J440" s="70"/>
      <c r="K440" s="70"/>
      <c r="L440" s="70"/>
      <c r="M440" s="70"/>
      <c r="N440" s="72"/>
      <c r="O440" s="72"/>
      <c r="P440" s="72"/>
      <c r="Q440" s="72"/>
      <c r="R440" s="72"/>
      <c r="S440" s="227"/>
    </row>
    <row r="441" spans="1:27" s="74" customFormat="1" ht="12.75" customHeight="1" x14ac:dyDescent="0.2">
      <c r="A441" s="3"/>
      <c r="B441" s="3"/>
      <c r="C441" s="3"/>
      <c r="D441" s="3"/>
      <c r="E441" s="3"/>
      <c r="F441" s="113" t="s">
        <v>293</v>
      </c>
      <c r="G441" s="276" t="s">
        <v>2</v>
      </c>
      <c r="H441" s="279">
        <f>PI()*(H437^4-H438^4)/4/H437</f>
        <v>131.40018985736299</v>
      </c>
      <c r="I441" s="86" t="s">
        <v>305</v>
      </c>
      <c r="J441" s="239"/>
      <c r="K441" s="70"/>
      <c r="L441" s="70"/>
      <c r="M441" s="70"/>
      <c r="N441" s="72"/>
      <c r="O441" s="240"/>
      <c r="P441" s="72"/>
      <c r="Q441" s="72"/>
      <c r="R441" s="72"/>
      <c r="S441" s="227"/>
    </row>
    <row r="442" spans="1:27" s="74" customFormat="1" ht="12.75" customHeight="1" x14ac:dyDescent="0.2">
      <c r="A442" s="3"/>
      <c r="B442" s="4" t="s">
        <v>273</v>
      </c>
      <c r="C442" s="4"/>
      <c r="D442" s="4"/>
      <c r="E442" s="4"/>
      <c r="F442" s="280" t="s">
        <v>140</v>
      </c>
      <c r="G442" s="272" t="s">
        <v>2</v>
      </c>
      <c r="H442" s="342">
        <v>2.5</v>
      </c>
      <c r="I442" s="4" t="s">
        <v>287</v>
      </c>
      <c r="L442" s="70"/>
      <c r="M442" s="70"/>
      <c r="N442" s="72"/>
      <c r="O442" s="240"/>
      <c r="P442" s="72"/>
      <c r="Q442" s="72"/>
      <c r="R442" s="72"/>
      <c r="S442" s="227"/>
    </row>
    <row r="443" spans="1:27" s="74" customFormat="1" ht="12.75" customHeight="1" x14ac:dyDescent="0.2">
      <c r="A443" s="3"/>
      <c r="B443" s="4" t="s">
        <v>274</v>
      </c>
      <c r="C443" s="4"/>
      <c r="D443" s="4"/>
      <c r="E443" s="4"/>
      <c r="F443" s="280" t="s">
        <v>140</v>
      </c>
      <c r="G443" s="272" t="s">
        <v>2</v>
      </c>
      <c r="H443" s="342">
        <v>1.8</v>
      </c>
      <c r="I443" s="4" t="s">
        <v>287</v>
      </c>
      <c r="L443" s="70"/>
      <c r="M443" s="70"/>
      <c r="N443" s="72"/>
      <c r="O443" s="240"/>
      <c r="P443" s="72"/>
      <c r="Q443" s="72"/>
      <c r="R443" s="72"/>
      <c r="S443" s="227"/>
    </row>
    <row r="444" spans="1:27" s="74" customFormat="1" ht="12.75" customHeight="1" x14ac:dyDescent="0.2">
      <c r="A444" s="284"/>
      <c r="B444" s="3"/>
      <c r="C444" s="3"/>
      <c r="D444" s="3"/>
      <c r="E444" s="3"/>
      <c r="F444" s="4"/>
      <c r="G444" s="3"/>
      <c r="H444" s="3"/>
      <c r="I444" s="4"/>
      <c r="L444" s="70"/>
      <c r="M444" s="70"/>
      <c r="N444" s="72"/>
      <c r="O444" s="240"/>
      <c r="P444" s="72"/>
      <c r="Q444" s="72"/>
      <c r="R444" s="72"/>
      <c r="S444" s="227"/>
    </row>
    <row r="445" spans="1:27" s="74" customFormat="1" ht="12.75" customHeight="1" x14ac:dyDescent="0.2">
      <c r="A445" s="3"/>
      <c r="B445" s="4" t="s">
        <v>359</v>
      </c>
      <c r="C445" s="4"/>
      <c r="D445" s="4"/>
      <c r="E445" s="4"/>
      <c r="F445" s="271" t="s">
        <v>290</v>
      </c>
      <c r="G445" s="272" t="s">
        <v>2</v>
      </c>
      <c r="H445" s="285">
        <f>H253+C241+H446*(H431+H432)</f>
        <v>995.18721625344244</v>
      </c>
      <c r="I445" s="4" t="s">
        <v>49</v>
      </c>
      <c r="L445" s="70"/>
      <c r="M445" s="70"/>
      <c r="N445" s="72"/>
      <c r="O445" s="240"/>
      <c r="P445" s="72"/>
      <c r="Q445" s="72"/>
      <c r="R445" s="72"/>
      <c r="S445" s="227"/>
    </row>
    <row r="446" spans="1:27" s="74" customFormat="1" ht="12.75" customHeight="1" x14ac:dyDescent="0.2">
      <c r="A446" s="3"/>
      <c r="B446" s="4" t="s">
        <v>360</v>
      </c>
      <c r="C446" s="4"/>
      <c r="D446" s="4"/>
      <c r="E446" s="4"/>
      <c r="F446" s="271" t="s">
        <v>291</v>
      </c>
      <c r="G446" s="272" t="s">
        <v>2</v>
      </c>
      <c r="H446" s="285">
        <f>H254+C244</f>
        <v>188.44490346268225</v>
      </c>
      <c r="I446" s="4" t="s">
        <v>50</v>
      </c>
      <c r="L446" s="70"/>
      <c r="M446" s="70"/>
      <c r="N446" s="72"/>
      <c r="O446" s="240"/>
      <c r="P446" s="72"/>
      <c r="Q446" s="72"/>
      <c r="R446" s="72"/>
      <c r="S446" s="227"/>
    </row>
    <row r="447" spans="1:27" s="74" customFormat="1" ht="12.75" customHeight="1" thickBot="1" x14ac:dyDescent="0.25">
      <c r="A447" s="3"/>
      <c r="B447" s="4" t="s">
        <v>361</v>
      </c>
      <c r="C447" s="4"/>
      <c r="D447" s="4"/>
      <c r="E447" s="4"/>
      <c r="F447" s="271" t="s">
        <v>292</v>
      </c>
      <c r="G447" s="272" t="s">
        <v>2</v>
      </c>
      <c r="H447" s="285">
        <f>H188+H189+H91*H87*PI()*((H86/2)^2-H438^2)+C247</f>
        <v>292.15946997614708</v>
      </c>
      <c r="I447" s="4" t="s">
        <v>50</v>
      </c>
      <c r="J447" s="244"/>
      <c r="K447" s="70"/>
      <c r="L447" s="70"/>
      <c r="M447" s="70"/>
      <c r="N447" s="72"/>
      <c r="O447" s="240"/>
      <c r="P447" s="72"/>
      <c r="Q447" s="72"/>
      <c r="R447" s="72"/>
      <c r="S447" s="227"/>
    </row>
    <row r="448" spans="1:27" s="74" customFormat="1" ht="12.75" customHeight="1" thickBot="1" x14ac:dyDescent="0.25">
      <c r="A448" s="3"/>
      <c r="B448" s="4" t="s">
        <v>362</v>
      </c>
      <c r="C448" s="4"/>
      <c r="D448" s="4"/>
      <c r="E448" s="4"/>
      <c r="F448" s="271" t="s">
        <v>293</v>
      </c>
      <c r="G448" s="272" t="s">
        <v>2</v>
      </c>
      <c r="H448" s="286">
        <f>H442*(H434*PI()*(H437^2-H438^2)+(H431+H432-H434)*PI()*((H437-H436)^2-(H437-H436-H433)^2))+H443*((H431+H432-H434)*PI()*((H437-H436-H433)^2-H438^2)+(H431-H434)*PI()*(H437^2-(H437-H436)^2))</f>
        <v>199.22849635711177</v>
      </c>
      <c r="I448" s="4" t="s">
        <v>50</v>
      </c>
      <c r="J448" s="264" t="s">
        <v>301</v>
      </c>
      <c r="K448" s="81"/>
      <c r="L448" s="81"/>
      <c r="M448" s="81"/>
      <c r="N448" s="81"/>
      <c r="O448" s="81"/>
      <c r="P448" s="81"/>
      <c r="Q448" s="81"/>
      <c r="R448" s="81"/>
      <c r="S448" s="14"/>
      <c r="T448" s="15"/>
      <c r="U448" s="15"/>
      <c r="V448" s="15"/>
      <c r="W448" s="15"/>
      <c r="X448" s="15"/>
      <c r="Y448" s="15"/>
      <c r="Z448" s="15"/>
      <c r="AA448" s="261"/>
    </row>
    <row r="449" spans="1:27" x14ac:dyDescent="0.2">
      <c r="A449" s="3"/>
      <c r="B449" s="4" t="s">
        <v>363</v>
      </c>
      <c r="C449" s="4"/>
      <c r="D449" s="4"/>
      <c r="E449" s="4"/>
      <c r="F449" s="271" t="s">
        <v>81</v>
      </c>
      <c r="G449" s="272" t="s">
        <v>2</v>
      </c>
      <c r="H449" s="285">
        <f>SUM(H447:H448)</f>
        <v>491.38796633325887</v>
      </c>
      <c r="I449" s="4" t="s">
        <v>50</v>
      </c>
      <c r="J449" s="266" t="s">
        <v>306</v>
      </c>
      <c r="K449" s="78"/>
      <c r="L449" s="79"/>
      <c r="M449" s="79"/>
      <c r="N449" s="79" t="s">
        <v>307</v>
      </c>
      <c r="O449" s="79"/>
      <c r="P449" s="79"/>
      <c r="Q449" s="80"/>
      <c r="R449" s="266" t="str">
        <f>N449</f>
        <v>r1/r</v>
      </c>
      <c r="AA449" s="261"/>
    </row>
    <row r="450" spans="1:27" ht="13.5" thickBot="1" x14ac:dyDescent="0.25">
      <c r="A450" s="261"/>
      <c r="B450" s="3"/>
      <c r="C450" s="3"/>
      <c r="D450" s="3"/>
      <c r="E450" s="3"/>
      <c r="F450" s="3"/>
      <c r="G450" s="262" t="s">
        <v>275</v>
      </c>
      <c r="H450" s="273"/>
      <c r="I450" s="3"/>
      <c r="J450" s="98"/>
      <c r="K450" s="88">
        <v>0</v>
      </c>
      <c r="L450" s="89">
        <v>0.5</v>
      </c>
      <c r="M450" s="89">
        <v>0.6</v>
      </c>
      <c r="N450" s="89">
        <v>0.7</v>
      </c>
      <c r="O450" s="89">
        <v>0.8</v>
      </c>
      <c r="P450" s="89">
        <v>0.9</v>
      </c>
      <c r="Q450" s="97">
        <v>1</v>
      </c>
      <c r="R450" s="267">
        <f>H439</f>
        <v>0.66193373901284658</v>
      </c>
      <c r="AA450" s="261"/>
    </row>
    <row r="451" spans="1:27" x14ac:dyDescent="0.2">
      <c r="A451" s="284" t="s">
        <v>553</v>
      </c>
      <c r="B451" s="3"/>
      <c r="C451" s="3"/>
      <c r="D451" s="3"/>
      <c r="E451" s="3"/>
      <c r="F451" s="3"/>
      <c r="G451" s="3"/>
      <c r="H451" s="273"/>
      <c r="I451" s="3"/>
      <c r="J451" s="267">
        <v>0.25</v>
      </c>
      <c r="K451" s="268">
        <v>2</v>
      </c>
      <c r="L451" s="103">
        <v>2</v>
      </c>
      <c r="M451" s="103">
        <v>2</v>
      </c>
      <c r="N451" s="103">
        <v>2</v>
      </c>
      <c r="O451" s="103">
        <v>2</v>
      </c>
      <c r="P451" s="103">
        <v>2</v>
      </c>
      <c r="Q451" s="104">
        <v>2</v>
      </c>
      <c r="R451" s="267">
        <f t="shared" ref="R451:R465" si="33">lininterp($K$450:$Q$450,K451:Q451,$R$450)</f>
        <v>2</v>
      </c>
      <c r="AA451" s="261"/>
    </row>
    <row r="452" spans="1:27" x14ac:dyDescent="0.2">
      <c r="A452" s="3"/>
      <c r="B452" s="3"/>
      <c r="C452" s="3"/>
      <c r="D452" s="3"/>
      <c r="E452" s="3"/>
      <c r="F452" s="3"/>
      <c r="G452" s="3"/>
      <c r="H452" s="3"/>
      <c r="I452" s="3"/>
      <c r="J452" s="267">
        <v>0.3</v>
      </c>
      <c r="K452" s="268">
        <v>1.82</v>
      </c>
      <c r="L452" s="103">
        <v>2</v>
      </c>
      <c r="M452" s="103">
        <v>2</v>
      </c>
      <c r="N452" s="103">
        <v>2</v>
      </c>
      <c r="O452" s="103">
        <v>2</v>
      </c>
      <c r="P452" s="103">
        <v>2</v>
      </c>
      <c r="Q452" s="104">
        <v>2</v>
      </c>
      <c r="R452" s="267">
        <f t="shared" si="33"/>
        <v>2</v>
      </c>
      <c r="S452" s="269"/>
      <c r="T452" s="270"/>
      <c r="U452" s="270"/>
      <c r="V452" s="270"/>
      <c r="W452" s="270"/>
      <c r="X452" s="270"/>
      <c r="Y452" s="270"/>
      <c r="Z452" s="270"/>
      <c r="AA452" s="261"/>
    </row>
    <row r="453" spans="1:27" x14ac:dyDescent="0.2">
      <c r="A453" s="3"/>
      <c r="B453" s="4" t="s">
        <v>364</v>
      </c>
      <c r="C453" s="3"/>
      <c r="D453" s="3"/>
      <c r="E453" s="3"/>
      <c r="F453" s="3"/>
      <c r="G453" s="3"/>
      <c r="H453" s="3"/>
      <c r="I453" s="3"/>
      <c r="J453" s="267">
        <v>0.35</v>
      </c>
      <c r="K453" s="268">
        <v>1.66</v>
      </c>
      <c r="L453" s="103">
        <v>1.89</v>
      </c>
      <c r="M453" s="103">
        <v>1.95</v>
      </c>
      <c r="N453" s="103">
        <v>2</v>
      </c>
      <c r="O453" s="103">
        <v>2</v>
      </c>
      <c r="P453" s="103">
        <v>2</v>
      </c>
      <c r="Q453" s="104">
        <v>2</v>
      </c>
      <c r="R453" s="267">
        <f t="shared" si="33"/>
        <v>1.9809668695064233</v>
      </c>
      <c r="S453" s="269"/>
      <c r="T453" s="270"/>
      <c r="U453" s="270"/>
      <c r="V453" s="270"/>
      <c r="W453" s="270"/>
      <c r="X453" s="270"/>
      <c r="Y453" s="270"/>
      <c r="Z453" s="270"/>
      <c r="AA453" s="261"/>
    </row>
    <row r="454" spans="1:27" x14ac:dyDescent="0.2">
      <c r="A454" s="3"/>
      <c r="B454" s="287" t="s">
        <v>289</v>
      </c>
      <c r="C454" s="272" t="s">
        <v>2</v>
      </c>
      <c r="D454" s="343">
        <v>20</v>
      </c>
      <c r="E454" s="288" t="s">
        <v>105</v>
      </c>
      <c r="F454" s="3"/>
      <c r="G454" s="3"/>
      <c r="H454" s="3"/>
      <c r="I454" s="3"/>
      <c r="J454" s="267">
        <v>0.4</v>
      </c>
      <c r="K454" s="268">
        <v>1.51</v>
      </c>
      <c r="L454" s="103">
        <v>1.75</v>
      </c>
      <c r="M454" s="103">
        <v>1.84</v>
      </c>
      <c r="N454" s="103">
        <v>1.93</v>
      </c>
      <c r="O454" s="103">
        <v>2</v>
      </c>
      <c r="P454" s="103">
        <v>2</v>
      </c>
      <c r="Q454" s="104">
        <v>2</v>
      </c>
      <c r="R454" s="267">
        <f t="shared" si="33"/>
        <v>1.8957403651115619</v>
      </c>
      <c r="S454" s="269"/>
      <c r="T454" s="270"/>
      <c r="U454" s="270"/>
      <c r="V454" s="270"/>
      <c r="W454" s="270"/>
      <c r="X454" s="270"/>
      <c r="Y454" s="270"/>
      <c r="Z454" s="270"/>
      <c r="AA454" s="261"/>
    </row>
    <row r="455" spans="1:27" x14ac:dyDescent="0.2">
      <c r="A455" s="3"/>
      <c r="B455" s="248" t="s">
        <v>312</v>
      </c>
      <c r="C455" s="272" t="s">
        <v>2</v>
      </c>
      <c r="D455" s="289">
        <f>H449/H440</f>
        <v>7.9543148716244909</v>
      </c>
      <c r="E455" s="288" t="s">
        <v>105</v>
      </c>
      <c r="F455" s="290" t="str">
        <f>IF(D455&lt;=D454,"OK","No Cumple")</f>
        <v>OK</v>
      </c>
      <c r="G455" s="265" t="s">
        <v>279</v>
      </c>
      <c r="H455" s="291" t="s">
        <v>280</v>
      </c>
      <c r="I455" s="3"/>
      <c r="J455" s="267">
        <v>0.45</v>
      </c>
      <c r="K455" s="268">
        <v>1.37</v>
      </c>
      <c r="L455" s="103">
        <v>1.61</v>
      </c>
      <c r="M455" s="103">
        <v>1.71</v>
      </c>
      <c r="N455" s="103">
        <v>1.81</v>
      </c>
      <c r="O455" s="103">
        <v>1.9</v>
      </c>
      <c r="P455" s="103">
        <v>2</v>
      </c>
      <c r="Q455" s="104">
        <v>2</v>
      </c>
      <c r="R455" s="267">
        <f t="shared" si="33"/>
        <v>1.7719337390128467</v>
      </c>
      <c r="S455" s="269"/>
      <c r="T455" s="270"/>
      <c r="U455" s="270"/>
      <c r="V455" s="270"/>
      <c r="W455" s="270"/>
      <c r="X455" s="270"/>
      <c r="Y455" s="270"/>
      <c r="Z455" s="270"/>
      <c r="AA455" s="261"/>
    </row>
    <row r="456" spans="1:27" x14ac:dyDescent="0.2">
      <c r="A456" s="3"/>
      <c r="B456" s="3"/>
      <c r="C456" s="3"/>
      <c r="D456" s="3"/>
      <c r="E456" s="3"/>
      <c r="F456" s="3"/>
      <c r="G456" s="3"/>
      <c r="H456" s="3"/>
      <c r="I456" s="3"/>
      <c r="J456" s="267">
        <v>0.5</v>
      </c>
      <c r="K456" s="268">
        <v>1.23</v>
      </c>
      <c r="L456" s="103">
        <v>1.46</v>
      </c>
      <c r="M456" s="103">
        <v>1.56</v>
      </c>
      <c r="N456" s="103">
        <v>1.66</v>
      </c>
      <c r="O456" s="103">
        <v>1.78</v>
      </c>
      <c r="P456" s="103">
        <v>1.89</v>
      </c>
      <c r="Q456" s="104">
        <v>2</v>
      </c>
      <c r="R456" s="267">
        <f t="shared" si="33"/>
        <v>1.6219337390128465</v>
      </c>
      <c r="S456" s="269"/>
      <c r="T456" s="270"/>
      <c r="U456" s="270"/>
      <c r="V456" s="270"/>
      <c r="W456" s="270"/>
      <c r="X456" s="270"/>
      <c r="Y456" s="270"/>
      <c r="Z456" s="270"/>
      <c r="AA456" s="261"/>
    </row>
    <row r="457" spans="1:27" x14ac:dyDescent="0.2">
      <c r="A457" s="3"/>
      <c r="B457" s="3"/>
      <c r="C457" s="3"/>
      <c r="D457" s="3"/>
      <c r="E457" s="3"/>
      <c r="F457" s="3"/>
      <c r="G457" s="3"/>
      <c r="H457" s="3"/>
      <c r="I457" s="3"/>
      <c r="J457" s="267">
        <v>0.55000000000000004</v>
      </c>
      <c r="K457" s="268">
        <v>1.1000000000000001</v>
      </c>
      <c r="L457" s="103">
        <v>1.29</v>
      </c>
      <c r="M457" s="103">
        <v>1.39</v>
      </c>
      <c r="N457" s="103">
        <v>1.5</v>
      </c>
      <c r="O457" s="103">
        <v>1.62</v>
      </c>
      <c r="P457" s="103">
        <v>1.74</v>
      </c>
      <c r="Q457" s="104">
        <v>1.87</v>
      </c>
      <c r="R457" s="267">
        <f t="shared" si="33"/>
        <v>1.4581271129141313</v>
      </c>
      <c r="S457" s="269"/>
      <c r="T457" s="270"/>
      <c r="U457" s="270"/>
      <c r="V457" s="270"/>
      <c r="W457" s="270"/>
      <c r="X457" s="270"/>
      <c r="Y457" s="270"/>
      <c r="Z457" s="270"/>
      <c r="AA457" s="261"/>
    </row>
    <row r="458" spans="1:27" x14ac:dyDescent="0.2">
      <c r="A458" s="3"/>
      <c r="B458" s="4" t="s">
        <v>365</v>
      </c>
      <c r="C458" s="3"/>
      <c r="D458" s="3"/>
      <c r="E458" s="3"/>
      <c r="F458" s="3"/>
      <c r="G458" s="3"/>
      <c r="H458" s="3"/>
      <c r="I458" s="3"/>
      <c r="J458" s="267">
        <v>0.6</v>
      </c>
      <c r="K458" s="268">
        <v>0.97</v>
      </c>
      <c r="L458" s="103">
        <v>1.1200000000000001</v>
      </c>
      <c r="M458" s="103">
        <v>1.21</v>
      </c>
      <c r="N458" s="103">
        <v>1.32</v>
      </c>
      <c r="O458" s="103">
        <v>1.45</v>
      </c>
      <c r="P458" s="103">
        <v>1.58</v>
      </c>
      <c r="Q458" s="104">
        <v>1.71</v>
      </c>
      <c r="R458" s="267">
        <f t="shared" si="33"/>
        <v>1.2781271129141314</v>
      </c>
      <c r="S458" s="269"/>
      <c r="T458" s="270"/>
      <c r="U458" s="270"/>
      <c r="V458" s="270"/>
      <c r="W458" s="270"/>
      <c r="X458" s="270"/>
      <c r="Y458" s="270"/>
      <c r="Z458" s="270"/>
      <c r="AA458" s="261"/>
    </row>
    <row r="459" spans="1:27" x14ac:dyDescent="0.2">
      <c r="A459" s="292"/>
      <c r="B459" s="287" t="s">
        <v>288</v>
      </c>
      <c r="C459" s="272" t="s">
        <v>2</v>
      </c>
      <c r="D459" s="343">
        <f>1.5*D454</f>
        <v>30</v>
      </c>
      <c r="E459" s="288" t="s">
        <v>105</v>
      </c>
      <c r="F459" s="3"/>
      <c r="G459" s="291" t="s">
        <v>296</v>
      </c>
      <c r="H459" s="291" t="s">
        <v>282</v>
      </c>
      <c r="I459" s="3"/>
      <c r="J459" s="267">
        <v>0.65</v>
      </c>
      <c r="K459" s="268">
        <v>0.84</v>
      </c>
      <c r="L459" s="103">
        <v>0.94</v>
      </c>
      <c r="M459" s="103">
        <v>1.02</v>
      </c>
      <c r="N459" s="103">
        <v>1.1299999999999999</v>
      </c>
      <c r="O459" s="103">
        <v>1.25</v>
      </c>
      <c r="P459" s="103">
        <v>1.4</v>
      </c>
      <c r="Q459" s="104">
        <v>1.54</v>
      </c>
      <c r="R459" s="267">
        <f t="shared" si="33"/>
        <v>1.0881271129141312</v>
      </c>
      <c r="S459" s="269"/>
      <c r="T459" s="270"/>
      <c r="U459" s="270"/>
      <c r="V459" s="270"/>
      <c r="W459" s="270"/>
      <c r="X459" s="270"/>
      <c r="Y459" s="270"/>
      <c r="Z459" s="270"/>
      <c r="AA459" s="261"/>
    </row>
    <row r="460" spans="1:27" x14ac:dyDescent="0.2">
      <c r="A460" s="3"/>
      <c r="B460" s="3"/>
      <c r="C460" s="3"/>
      <c r="D460" s="3"/>
      <c r="E460" s="3"/>
      <c r="F460" s="3"/>
      <c r="G460" s="272"/>
      <c r="H460" s="293"/>
      <c r="I460" s="3"/>
      <c r="J460" s="267">
        <v>0.7</v>
      </c>
      <c r="K460" s="268">
        <v>0.72</v>
      </c>
      <c r="L460" s="103">
        <v>0.75</v>
      </c>
      <c r="M460" s="103">
        <v>0.82</v>
      </c>
      <c r="N460" s="103">
        <v>0.93</v>
      </c>
      <c r="O460" s="103">
        <v>1.05</v>
      </c>
      <c r="P460" s="103">
        <v>1.2</v>
      </c>
      <c r="Q460" s="104">
        <v>1.35</v>
      </c>
      <c r="R460" s="267">
        <f t="shared" si="33"/>
        <v>0.88812711291413127</v>
      </c>
      <c r="S460" s="269"/>
      <c r="T460" s="270"/>
      <c r="U460" s="270"/>
      <c r="V460" s="270"/>
      <c r="W460" s="270"/>
      <c r="X460" s="270"/>
      <c r="Y460" s="270"/>
      <c r="Z460" s="270"/>
      <c r="AA460" s="277"/>
    </row>
    <row r="461" spans="1:27" x14ac:dyDescent="0.2">
      <c r="A461" s="3"/>
      <c r="B461" s="3"/>
      <c r="C461" s="3"/>
      <c r="D461" s="3"/>
      <c r="E461" s="3"/>
      <c r="F461" s="3"/>
      <c r="G461" s="3"/>
      <c r="H461" s="3"/>
      <c r="I461" s="294" t="s">
        <v>297</v>
      </c>
      <c r="J461" s="267">
        <v>0.75</v>
      </c>
      <c r="K461" s="268">
        <v>0.59</v>
      </c>
      <c r="L461" s="103">
        <v>0.6</v>
      </c>
      <c r="M461" s="103">
        <v>0.64</v>
      </c>
      <c r="N461" s="103">
        <v>0.72</v>
      </c>
      <c r="O461" s="103">
        <v>0.85</v>
      </c>
      <c r="P461" s="103">
        <v>0.98</v>
      </c>
      <c r="Q461" s="104">
        <v>1.1499999999999999</v>
      </c>
      <c r="R461" s="267">
        <f t="shared" si="33"/>
        <v>0.68954699121027729</v>
      </c>
      <c r="S461" s="269"/>
      <c r="T461" s="270"/>
      <c r="U461" s="270"/>
      <c r="V461" s="270"/>
      <c r="W461" s="270"/>
      <c r="X461" s="270"/>
      <c r="Y461" s="270"/>
      <c r="Z461" s="270"/>
      <c r="AA461" s="277"/>
    </row>
    <row r="462" spans="1:27" x14ac:dyDescent="0.2">
      <c r="A462" s="3"/>
      <c r="B462" s="4"/>
      <c r="C462" s="295"/>
      <c r="D462" s="295"/>
      <c r="E462" s="295"/>
      <c r="F462" s="3"/>
      <c r="G462" s="295"/>
      <c r="H462" s="295"/>
      <c r="I462" s="295"/>
      <c r="J462" s="267">
        <v>0.8</v>
      </c>
      <c r="K462" s="268">
        <v>0.47</v>
      </c>
      <c r="L462" s="103">
        <v>0.47</v>
      </c>
      <c r="M462" s="103">
        <v>0.48</v>
      </c>
      <c r="N462" s="103">
        <v>0.52</v>
      </c>
      <c r="O462" s="103">
        <v>0.61</v>
      </c>
      <c r="P462" s="103">
        <v>0.77</v>
      </c>
      <c r="Q462" s="104">
        <v>0.94</v>
      </c>
      <c r="R462" s="267">
        <f t="shared" si="33"/>
        <v>0.50477349560513862</v>
      </c>
      <c r="S462" s="269"/>
      <c r="T462" s="270"/>
      <c r="U462" s="270"/>
      <c r="V462" s="270"/>
      <c r="W462" s="270"/>
      <c r="X462" s="270"/>
      <c r="Y462" s="270"/>
      <c r="Z462" s="270"/>
      <c r="AA462" s="277"/>
    </row>
    <row r="463" spans="1:27" x14ac:dyDescent="0.2">
      <c r="A463" s="3"/>
      <c r="B463" s="3"/>
      <c r="C463" s="295"/>
      <c r="D463" s="295"/>
      <c r="E463" s="295"/>
      <c r="F463" s="295"/>
      <c r="G463" s="302" t="s">
        <v>275</v>
      </c>
      <c r="H463" s="303" t="s">
        <v>70</v>
      </c>
      <c r="I463" s="295"/>
      <c r="J463" s="267">
        <v>0.85</v>
      </c>
      <c r="K463" s="268">
        <v>0.35</v>
      </c>
      <c r="L463" s="103">
        <f t="shared" ref="L463:M465" si="34">K463</f>
        <v>0.35</v>
      </c>
      <c r="M463" s="103">
        <f t="shared" si="34"/>
        <v>0.35</v>
      </c>
      <c r="N463" s="103">
        <v>0.36</v>
      </c>
      <c r="O463" s="103">
        <v>0.42</v>
      </c>
      <c r="P463" s="103">
        <v>0.55000000000000004</v>
      </c>
      <c r="Q463" s="104">
        <v>0.72</v>
      </c>
      <c r="R463" s="267">
        <f t="shared" si="33"/>
        <v>0.35619337390128464</v>
      </c>
      <c r="S463" s="269"/>
      <c r="T463" s="270"/>
      <c r="U463" s="270"/>
      <c r="V463" s="270"/>
      <c r="W463" s="270"/>
      <c r="X463" s="270"/>
      <c r="Y463" s="270"/>
      <c r="Z463" s="270"/>
      <c r="AA463" s="277"/>
    </row>
    <row r="464" spans="1:27" x14ac:dyDescent="0.2">
      <c r="A464" s="295"/>
      <c r="B464" s="4"/>
      <c r="C464" s="295"/>
      <c r="D464" s="295"/>
      <c r="E464" s="295"/>
      <c r="F464" s="295"/>
      <c r="G464" s="304"/>
      <c r="H464" s="304"/>
      <c r="I464" s="304"/>
      <c r="J464" s="267">
        <v>0.9</v>
      </c>
      <c r="K464" s="268">
        <v>0.24</v>
      </c>
      <c r="L464" s="103">
        <f t="shared" si="34"/>
        <v>0.24</v>
      </c>
      <c r="M464" s="103">
        <f t="shared" si="34"/>
        <v>0.24</v>
      </c>
      <c r="N464" s="103">
        <f>M464</f>
        <v>0.24</v>
      </c>
      <c r="O464" s="103">
        <f>N464</f>
        <v>0.24</v>
      </c>
      <c r="P464" s="103">
        <v>0.32</v>
      </c>
      <c r="Q464" s="104">
        <v>0.49</v>
      </c>
      <c r="R464" s="267">
        <f t="shared" si="33"/>
        <v>0.24</v>
      </c>
      <c r="S464" s="269"/>
      <c r="T464" s="270"/>
      <c r="U464" s="270"/>
      <c r="V464" s="270"/>
      <c r="W464" s="270"/>
      <c r="X464" s="270"/>
      <c r="Y464" s="270"/>
      <c r="Z464" s="270"/>
      <c r="AA464" s="277"/>
    </row>
    <row r="465" spans="1:29" ht="13.5" thickBot="1" x14ac:dyDescent="0.25">
      <c r="A465" s="306" t="s">
        <v>554</v>
      </c>
      <c r="B465" s="295"/>
      <c r="C465" s="295"/>
      <c r="D465" s="295"/>
      <c r="E465" s="295"/>
      <c r="F465" s="295"/>
      <c r="G465" s="295"/>
      <c r="H465" s="295"/>
      <c r="I465" s="295"/>
      <c r="J465" s="281">
        <v>0.95</v>
      </c>
      <c r="K465" s="282">
        <v>0.12</v>
      </c>
      <c r="L465" s="107">
        <f t="shared" si="34"/>
        <v>0.12</v>
      </c>
      <c r="M465" s="107">
        <f t="shared" si="34"/>
        <v>0.12</v>
      </c>
      <c r="N465" s="107">
        <f>M465</f>
        <v>0.12</v>
      </c>
      <c r="O465" s="107">
        <f>N465</f>
        <v>0.12</v>
      </c>
      <c r="P465" s="107">
        <f>O465</f>
        <v>0.12</v>
      </c>
      <c r="Q465" s="108">
        <v>0.25</v>
      </c>
      <c r="R465" s="281">
        <f t="shared" si="33"/>
        <v>0.12</v>
      </c>
      <c r="S465" s="269"/>
      <c r="T465" s="270"/>
      <c r="U465" s="270"/>
      <c r="V465" s="270"/>
      <c r="W465" s="270"/>
      <c r="X465" s="270"/>
      <c r="Y465" s="270"/>
      <c r="Z465" s="270"/>
      <c r="AA465" s="277"/>
    </row>
    <row r="466" spans="1:29" ht="13.5" thickBot="1" x14ac:dyDescent="0.25">
      <c r="A466" s="295"/>
      <c r="B466" s="295"/>
      <c r="C466" s="295"/>
      <c r="D466" s="295"/>
      <c r="E466" s="295"/>
      <c r="F466" s="295"/>
      <c r="G466" s="295"/>
      <c r="H466" s="295"/>
      <c r="I466" s="295"/>
      <c r="J466" s="81"/>
      <c r="K466" s="81"/>
      <c r="L466" s="81"/>
      <c r="M466" s="81"/>
      <c r="N466" s="81"/>
      <c r="O466" s="81"/>
      <c r="P466" s="81"/>
      <c r="Q466" s="81"/>
      <c r="R466" s="84"/>
      <c r="S466" s="269"/>
      <c r="T466" s="270"/>
      <c r="U466" s="270"/>
      <c r="V466" s="270"/>
      <c r="W466" s="270"/>
      <c r="X466" s="270"/>
      <c r="Y466" s="270"/>
      <c r="Z466" s="270"/>
      <c r="AA466" s="277"/>
    </row>
    <row r="467" spans="1:29" ht="13.5" thickBot="1" x14ac:dyDescent="0.25">
      <c r="A467" s="295"/>
      <c r="B467" s="4" t="s">
        <v>368</v>
      </c>
      <c r="C467" s="295"/>
      <c r="D467" s="295"/>
      <c r="E467" s="295"/>
      <c r="F467" s="274" t="s">
        <v>648</v>
      </c>
      <c r="G467" s="272" t="s">
        <v>2</v>
      </c>
      <c r="H467" s="285">
        <f>H447*(1-2/3*H104*H106)+H448</f>
        <v>413.47877433961963</v>
      </c>
      <c r="I467" s="4" t="s">
        <v>50</v>
      </c>
      <c r="J467" s="283" t="s">
        <v>317</v>
      </c>
      <c r="K467" s="81"/>
      <c r="L467" s="81"/>
      <c r="M467" s="81"/>
      <c r="N467" s="81"/>
      <c r="O467" s="81"/>
      <c r="P467" s="81"/>
      <c r="Q467" s="81"/>
      <c r="R467" s="84"/>
      <c r="S467" s="269"/>
      <c r="T467" s="270"/>
      <c r="U467" s="270"/>
      <c r="V467" s="270"/>
      <c r="W467" s="270"/>
      <c r="X467" s="270"/>
      <c r="Y467" s="270"/>
      <c r="Z467" s="270"/>
      <c r="AA467" s="277"/>
      <c r="AB467" s="261"/>
      <c r="AC467" s="261"/>
    </row>
    <row r="468" spans="1:29" x14ac:dyDescent="0.2">
      <c r="A468" s="288"/>
      <c r="B468" s="4" t="s">
        <v>276</v>
      </c>
      <c r="C468" s="288"/>
      <c r="D468" s="288"/>
      <c r="E468" s="288"/>
      <c r="F468" s="275" t="s">
        <v>649</v>
      </c>
      <c r="G468" s="276" t="s">
        <v>2</v>
      </c>
      <c r="H468" s="273">
        <f>+$H$445/H467</f>
        <v>2.4068640956065721</v>
      </c>
      <c r="I468" s="4" t="s">
        <v>3</v>
      </c>
      <c r="J468" s="266" t="s">
        <v>306</v>
      </c>
      <c r="K468" s="78"/>
      <c r="L468" s="79"/>
      <c r="M468" s="79"/>
      <c r="N468" s="79" t="s">
        <v>307</v>
      </c>
      <c r="O468" s="79"/>
      <c r="P468" s="79"/>
      <c r="Q468" s="80"/>
      <c r="R468" s="266" t="str">
        <f>N468</f>
        <v>r1/r</v>
      </c>
      <c r="S468" s="269"/>
      <c r="T468" s="270"/>
      <c r="U468" s="270"/>
      <c r="V468" s="270"/>
      <c r="W468" s="270"/>
      <c r="X468" s="270"/>
      <c r="Y468" s="270"/>
      <c r="Z468" s="270"/>
      <c r="AA468" s="277"/>
      <c r="AB468" s="261"/>
      <c r="AC468" s="261"/>
    </row>
    <row r="469" spans="1:29" ht="13.5" thickBot="1" x14ac:dyDescent="0.25">
      <c r="A469" s="3"/>
      <c r="B469" s="3"/>
      <c r="C469" s="3"/>
      <c r="D469" s="3"/>
      <c r="E469" s="3"/>
      <c r="F469" s="275" t="s">
        <v>281</v>
      </c>
      <c r="G469" s="276" t="s">
        <v>2</v>
      </c>
      <c r="H469" s="278">
        <f>+H468/$H$437</f>
        <v>0.40683977275297023</v>
      </c>
      <c r="I469" s="288"/>
      <c r="J469" s="98"/>
      <c r="K469" s="89">
        <v>0</v>
      </c>
      <c r="L469" s="89">
        <v>0.5</v>
      </c>
      <c r="M469" s="89">
        <v>0.6</v>
      </c>
      <c r="N469" s="89">
        <v>0.7</v>
      </c>
      <c r="O469" s="89">
        <v>0.8</v>
      </c>
      <c r="P469" s="89">
        <v>0.9</v>
      </c>
      <c r="Q469" s="97">
        <v>1</v>
      </c>
      <c r="R469" s="267">
        <f>H439</f>
        <v>0.66193373901284658</v>
      </c>
      <c r="S469" s="269"/>
      <c r="T469" s="270"/>
      <c r="U469" s="270"/>
      <c r="V469" s="270"/>
      <c r="W469" s="270"/>
      <c r="X469" s="270"/>
      <c r="Y469" s="270"/>
      <c r="Z469" s="270"/>
      <c r="AA469" s="277"/>
      <c r="AB469" s="261"/>
      <c r="AC469" s="261"/>
    </row>
    <row r="470" spans="1:29" x14ac:dyDescent="0.2">
      <c r="A470" s="3"/>
      <c r="B470" s="584" t="s">
        <v>653</v>
      </c>
      <c r="C470" s="585"/>
      <c r="D470" s="586"/>
      <c r="E470" s="1"/>
      <c r="F470" s="1"/>
      <c r="G470" s="1"/>
      <c r="H470" s="1"/>
      <c r="I470" s="1"/>
      <c r="J470" s="267">
        <v>0</v>
      </c>
      <c r="K470" s="103">
        <v>1</v>
      </c>
      <c r="L470" s="103">
        <v>1</v>
      </c>
      <c r="M470" s="103">
        <v>1</v>
      </c>
      <c r="N470" s="103">
        <v>1</v>
      </c>
      <c r="O470" s="103">
        <v>1</v>
      </c>
      <c r="P470" s="103">
        <v>1</v>
      </c>
      <c r="Q470" s="104">
        <v>1</v>
      </c>
      <c r="R470" s="267">
        <f t="shared" ref="R470:R489" si="35">lininterp($K$469:$Q$469,K470:Q470,$R$469)</f>
        <v>1</v>
      </c>
      <c r="S470" s="269"/>
      <c r="T470" s="270"/>
      <c r="U470" s="270"/>
      <c r="V470" s="270"/>
      <c r="W470" s="270"/>
      <c r="X470" s="270"/>
      <c r="Y470" s="270"/>
      <c r="Z470" s="270"/>
      <c r="AA470" s="277"/>
      <c r="AB470" s="261"/>
      <c r="AC470" s="261"/>
    </row>
    <row r="471" spans="1:29" x14ac:dyDescent="0.2">
      <c r="A471" s="3"/>
      <c r="B471" s="325" t="s">
        <v>367</v>
      </c>
      <c r="C471" s="326">
        <f>lininterp($J$451:$J$465,$R$451:$R$465,H469)</f>
        <v>1.8788041813550187</v>
      </c>
      <c r="D471" s="327"/>
      <c r="E471" s="1"/>
      <c r="F471" s="3"/>
      <c r="G471" s="295"/>
      <c r="H471" s="295"/>
      <c r="I471" s="288"/>
      <c r="J471" s="267">
        <v>0.05</v>
      </c>
      <c r="K471" s="103">
        <v>1.2</v>
      </c>
      <c r="L471" s="103">
        <f t="shared" ref="L471:L477" si="36">L470+0.16</f>
        <v>1.1599999999999999</v>
      </c>
      <c r="M471" s="103">
        <f>M470+0.15</f>
        <v>1.1499999999999999</v>
      </c>
      <c r="N471" s="103">
        <f>N470+0.13</f>
        <v>1.1299999999999999</v>
      </c>
      <c r="O471" s="103">
        <f>O470+0.12</f>
        <v>1.1200000000000001</v>
      </c>
      <c r="P471" s="103">
        <f t="shared" ref="P471:P480" si="37">P470+0.11</f>
        <v>1.1100000000000001</v>
      </c>
      <c r="Q471" s="104">
        <f t="shared" ref="Q471:Q480" si="38">Q470+0.1</f>
        <v>1.1000000000000001</v>
      </c>
      <c r="R471" s="267">
        <f t="shared" si="35"/>
        <v>1.1376132521974305</v>
      </c>
      <c r="S471" s="269"/>
      <c r="T471" s="270"/>
      <c r="U471" s="270"/>
      <c r="V471" s="270"/>
      <c r="W471" s="270"/>
      <c r="X471" s="270"/>
      <c r="Y471" s="270"/>
      <c r="Z471" s="270"/>
      <c r="AA471" s="277"/>
      <c r="AB471" s="261"/>
      <c r="AC471" s="261"/>
    </row>
    <row r="472" spans="1:29" x14ac:dyDescent="0.2">
      <c r="A472" s="3"/>
      <c r="B472" s="328" t="s">
        <v>309</v>
      </c>
      <c r="C472" s="326">
        <f>lininterp($J$470:$J$489,$R$470:$R$489,H469)</f>
        <v>2.1429355995410484</v>
      </c>
      <c r="D472" s="327"/>
      <c r="E472" s="1"/>
      <c r="F472" s="241" t="s">
        <v>313</v>
      </c>
      <c r="G472" s="336">
        <f>C476</f>
        <v>0.95575514341366541</v>
      </c>
      <c r="H472" s="288"/>
      <c r="I472" s="290" t="str">
        <f>IF(G472&gt;=0.8,"OK","No Cumple")</f>
        <v>OK</v>
      </c>
      <c r="J472" s="267">
        <v>0.1</v>
      </c>
      <c r="K472" s="103">
        <v>1.4</v>
      </c>
      <c r="L472" s="103">
        <f t="shared" si="36"/>
        <v>1.3199999999999998</v>
      </c>
      <c r="M472" s="103">
        <f>M471+0.15</f>
        <v>1.2999999999999998</v>
      </c>
      <c r="N472" s="103">
        <v>1.27</v>
      </c>
      <c r="O472" s="103">
        <f>O471+0.12</f>
        <v>1.2400000000000002</v>
      </c>
      <c r="P472" s="103">
        <f t="shared" si="37"/>
        <v>1.2200000000000002</v>
      </c>
      <c r="Q472" s="104">
        <f t="shared" si="38"/>
        <v>1.2000000000000002</v>
      </c>
      <c r="R472" s="267">
        <f t="shared" si="35"/>
        <v>1.2814198782961459</v>
      </c>
      <c r="S472" s="269"/>
      <c r="T472" s="270"/>
      <c r="U472" s="270"/>
      <c r="V472" s="270"/>
      <c r="W472" s="270"/>
      <c r="X472" s="270"/>
      <c r="Y472" s="270"/>
      <c r="Z472" s="270"/>
      <c r="AA472" s="277"/>
      <c r="AB472" s="261"/>
      <c r="AC472" s="261"/>
    </row>
    <row r="473" spans="1:29" x14ac:dyDescent="0.2">
      <c r="A473" s="295"/>
      <c r="B473" s="325" t="s">
        <v>70</v>
      </c>
      <c r="C473" s="326">
        <f>C471*$H$437</f>
        <v>11.115005536896291</v>
      </c>
      <c r="D473" s="327" t="s">
        <v>3</v>
      </c>
      <c r="E473" s="1"/>
      <c r="F473" s="248" t="s">
        <v>311</v>
      </c>
      <c r="G473" s="337">
        <f>C474</f>
        <v>14.343019921738101</v>
      </c>
      <c r="H473" s="288" t="s">
        <v>105</v>
      </c>
      <c r="I473" s="290" t="str">
        <f>IF(G473&lt;=D459,"OK","No Cumple")</f>
        <v>OK</v>
      </c>
      <c r="J473" s="267">
        <v>0.15</v>
      </c>
      <c r="K473" s="103">
        <v>1.6</v>
      </c>
      <c r="L473" s="103">
        <f t="shared" si="36"/>
        <v>1.4799999999999998</v>
      </c>
      <c r="M473" s="103">
        <f>M472+0.15</f>
        <v>1.4499999999999997</v>
      </c>
      <c r="N473" s="103">
        <f>N472+0.13</f>
        <v>1.4</v>
      </c>
      <c r="O473" s="103">
        <v>1.37</v>
      </c>
      <c r="P473" s="103">
        <f t="shared" si="37"/>
        <v>1.3300000000000003</v>
      </c>
      <c r="Q473" s="104">
        <f t="shared" si="38"/>
        <v>1.3000000000000003</v>
      </c>
      <c r="R473" s="267">
        <f t="shared" si="35"/>
        <v>1.4190331304935766</v>
      </c>
      <c r="S473" s="269"/>
      <c r="T473" s="270"/>
      <c r="U473" s="270"/>
      <c r="V473" s="270"/>
      <c r="W473" s="270"/>
      <c r="X473" s="270"/>
      <c r="Y473" s="270"/>
      <c r="Z473" s="270"/>
      <c r="AA473" s="277"/>
      <c r="AB473" s="261"/>
      <c r="AC473" s="261"/>
    </row>
    <row r="474" spans="1:29" x14ac:dyDescent="0.2">
      <c r="A474" s="288"/>
      <c r="B474" s="328" t="s">
        <v>308</v>
      </c>
      <c r="C474" s="326">
        <f>C472*K492</f>
        <v>14.343019921738101</v>
      </c>
      <c r="D474" s="324" t="s">
        <v>105</v>
      </c>
      <c r="E474" s="1"/>
      <c r="F474" s="321"/>
      <c r="G474" s="321"/>
      <c r="H474" s="288"/>
      <c r="I474" s="323"/>
      <c r="J474" s="267">
        <v>0.2</v>
      </c>
      <c r="K474" s="103">
        <v>1.8</v>
      </c>
      <c r="L474" s="103">
        <f t="shared" si="36"/>
        <v>1.6399999999999997</v>
      </c>
      <c r="M474" s="103">
        <v>1.59</v>
      </c>
      <c r="N474" s="103">
        <v>1.54</v>
      </c>
      <c r="O474" s="103">
        <f>O473+0.12</f>
        <v>1.4900000000000002</v>
      </c>
      <c r="P474" s="103">
        <f t="shared" si="37"/>
        <v>1.4400000000000004</v>
      </c>
      <c r="Q474" s="104">
        <f t="shared" si="38"/>
        <v>1.4000000000000004</v>
      </c>
      <c r="R474" s="267">
        <f t="shared" si="35"/>
        <v>1.5590331304935767</v>
      </c>
      <c r="S474" s="269"/>
      <c r="T474" s="270"/>
      <c r="U474" s="270"/>
      <c r="V474" s="270"/>
      <c r="W474" s="270"/>
      <c r="X474" s="270"/>
      <c r="Y474" s="270"/>
      <c r="Z474" s="270"/>
      <c r="AA474" s="277"/>
      <c r="AB474" s="261"/>
      <c r="AC474" s="261"/>
    </row>
    <row r="475" spans="1:29" x14ac:dyDescent="0.2">
      <c r="A475" s="288"/>
      <c r="B475" s="325" t="s">
        <v>310</v>
      </c>
      <c r="C475" s="329">
        <f>MIN(K498,H440)</f>
        <v>59.042995382288453</v>
      </c>
      <c r="D475" s="331" t="s">
        <v>304</v>
      </c>
      <c r="E475" s="1"/>
      <c r="F475" s="321"/>
      <c r="G475" s="321"/>
      <c r="H475" s="288"/>
      <c r="I475" s="247"/>
      <c r="J475" s="267">
        <v>0.25</v>
      </c>
      <c r="K475" s="103">
        <v>2</v>
      </c>
      <c r="L475" s="103">
        <f t="shared" si="36"/>
        <v>1.7999999999999996</v>
      </c>
      <c r="M475" s="103">
        <v>1.73</v>
      </c>
      <c r="N475" s="103">
        <f>N474+0.13</f>
        <v>1.67</v>
      </c>
      <c r="O475" s="103">
        <f>O474+0.12</f>
        <v>1.6100000000000003</v>
      </c>
      <c r="P475" s="103">
        <f t="shared" si="37"/>
        <v>1.5500000000000005</v>
      </c>
      <c r="Q475" s="104">
        <f t="shared" si="38"/>
        <v>1.5000000000000004</v>
      </c>
      <c r="R475" s="267">
        <f t="shared" si="35"/>
        <v>1.6928397565922919</v>
      </c>
      <c r="S475" s="269"/>
      <c r="T475" s="270"/>
      <c r="U475" s="270"/>
      <c r="V475" s="270"/>
      <c r="W475" s="270"/>
      <c r="X475" s="270"/>
      <c r="Y475" s="270"/>
      <c r="Z475" s="270"/>
      <c r="AA475" s="277"/>
      <c r="AB475" s="261"/>
      <c r="AC475" s="261"/>
    </row>
    <row r="476" spans="1:29" x14ac:dyDescent="0.2">
      <c r="A476" s="288"/>
      <c r="B476" s="333" t="str">
        <f>IF(C476&gt;=0.8,"OK","No Cumple")</f>
        <v>OK</v>
      </c>
      <c r="C476" s="334">
        <f>C475/$H$440</f>
        <v>0.95575514341366541</v>
      </c>
      <c r="D476" s="335"/>
      <c r="E476" s="1"/>
      <c r="F476" s="321"/>
      <c r="G476" s="321"/>
      <c r="H476" s="288"/>
      <c r="I476" s="321"/>
      <c r="J476" s="267">
        <v>0.3</v>
      </c>
      <c r="K476" s="103">
        <v>2.23</v>
      </c>
      <c r="L476" s="103">
        <f t="shared" si="36"/>
        <v>1.9599999999999995</v>
      </c>
      <c r="M476" s="103">
        <f>M475+0.15</f>
        <v>1.88</v>
      </c>
      <c r="N476" s="103">
        <v>1.81</v>
      </c>
      <c r="O476" s="103">
        <f>O475+0.12</f>
        <v>1.7300000000000004</v>
      </c>
      <c r="P476" s="103">
        <f t="shared" si="37"/>
        <v>1.6600000000000006</v>
      </c>
      <c r="Q476" s="104">
        <f t="shared" si="38"/>
        <v>1.6000000000000005</v>
      </c>
      <c r="R476" s="267">
        <f t="shared" si="35"/>
        <v>1.8366463826910073</v>
      </c>
      <c r="S476" s="269"/>
      <c r="T476" s="270"/>
      <c r="U476" s="270"/>
      <c r="V476" s="270"/>
      <c r="W476" s="270"/>
      <c r="X476" s="270"/>
      <c r="Y476" s="270"/>
      <c r="Z476" s="270"/>
      <c r="AA476" s="277"/>
      <c r="AB476" s="261"/>
      <c r="AC476" s="261"/>
    </row>
    <row r="477" spans="1:29" x14ac:dyDescent="0.2">
      <c r="A477" s="288"/>
      <c r="B477" s="323"/>
      <c r="C477" s="1"/>
      <c r="D477" s="1"/>
      <c r="E477" s="1"/>
      <c r="F477" s="321"/>
      <c r="G477" s="321"/>
      <c r="H477" s="288"/>
      <c r="I477" s="247"/>
      <c r="J477" s="267">
        <v>0.35</v>
      </c>
      <c r="K477" s="103">
        <v>2.4300000000000002</v>
      </c>
      <c r="L477" s="103">
        <f t="shared" si="36"/>
        <v>2.1199999999999997</v>
      </c>
      <c r="M477" s="103">
        <v>2.04</v>
      </c>
      <c r="N477" s="103">
        <f>N476+0.13</f>
        <v>1.94</v>
      </c>
      <c r="O477" s="103">
        <f>O476+0.12</f>
        <v>1.8500000000000005</v>
      </c>
      <c r="P477" s="103">
        <f t="shared" si="37"/>
        <v>1.7700000000000007</v>
      </c>
      <c r="Q477" s="104">
        <f t="shared" si="38"/>
        <v>1.7000000000000006</v>
      </c>
      <c r="R477" s="267">
        <f t="shared" si="35"/>
        <v>1.9780662609871533</v>
      </c>
      <c r="S477" s="269"/>
      <c r="T477" s="270"/>
      <c r="U477" s="270"/>
      <c r="V477" s="270"/>
      <c r="W477" s="270"/>
      <c r="X477" s="270"/>
      <c r="Y477" s="270"/>
      <c r="Z477" s="270"/>
      <c r="AA477" s="277"/>
      <c r="AB477" s="261"/>
      <c r="AC477" s="261"/>
    </row>
    <row r="478" spans="1:29" x14ac:dyDescent="0.2">
      <c r="A478" s="288"/>
      <c r="B478" s="5"/>
      <c r="C478" s="1"/>
      <c r="D478" s="1"/>
      <c r="E478" s="1"/>
      <c r="F478" s="102"/>
      <c r="G478" s="47"/>
      <c r="H478" s="475"/>
      <c r="I478" s="1"/>
      <c r="J478" s="267">
        <v>0.4</v>
      </c>
      <c r="K478" s="103">
        <v>2.76</v>
      </c>
      <c r="L478" s="103">
        <v>2.29</v>
      </c>
      <c r="M478" s="103">
        <v>2.2000000000000002</v>
      </c>
      <c r="N478" s="103">
        <f>N477+0.13</f>
        <v>2.0699999999999998</v>
      </c>
      <c r="O478" s="103">
        <v>1.98</v>
      </c>
      <c r="P478" s="103">
        <f t="shared" si="37"/>
        <v>1.8800000000000008</v>
      </c>
      <c r="Q478" s="104">
        <f t="shared" si="38"/>
        <v>1.8000000000000007</v>
      </c>
      <c r="R478" s="267">
        <f t="shared" si="35"/>
        <v>2.1194861392832993</v>
      </c>
      <c r="S478" s="269"/>
      <c r="T478" s="270"/>
      <c r="U478" s="270"/>
      <c r="V478" s="270"/>
      <c r="W478" s="270"/>
      <c r="X478" s="270"/>
      <c r="Y478" s="270"/>
      <c r="Z478" s="270"/>
      <c r="AA478" s="261"/>
      <c r="AB478" s="261"/>
      <c r="AC478" s="261"/>
    </row>
    <row r="479" spans="1:29" x14ac:dyDescent="0.2">
      <c r="A479" s="288"/>
      <c r="B479" s="5"/>
      <c r="C479" s="5"/>
      <c r="D479" s="5"/>
      <c r="E479" s="5"/>
      <c r="F479" s="169"/>
      <c r="G479" s="47"/>
      <c r="H479" s="167"/>
      <c r="I479" s="171"/>
      <c r="J479" s="267">
        <v>0.45</v>
      </c>
      <c r="K479" s="103">
        <v>3.11</v>
      </c>
      <c r="L479" s="103">
        <v>2.5099999999999998</v>
      </c>
      <c r="M479" s="103">
        <v>2.39</v>
      </c>
      <c r="N479" s="103">
        <v>2.23</v>
      </c>
      <c r="O479" s="103">
        <f>O478+0.12</f>
        <v>2.1</v>
      </c>
      <c r="P479" s="103">
        <f t="shared" si="37"/>
        <v>1.9900000000000009</v>
      </c>
      <c r="Q479" s="104">
        <f t="shared" si="38"/>
        <v>1.9000000000000008</v>
      </c>
      <c r="R479" s="267">
        <f t="shared" si="35"/>
        <v>2.2909060175794456</v>
      </c>
      <c r="S479" s="269"/>
      <c r="T479" s="270"/>
      <c r="U479" s="270"/>
      <c r="V479" s="270"/>
      <c r="W479" s="270"/>
      <c r="X479" s="270"/>
      <c r="Y479" s="270"/>
      <c r="Z479" s="270"/>
      <c r="AA479" s="261"/>
      <c r="AB479" s="261"/>
      <c r="AC479" s="261"/>
    </row>
    <row r="480" spans="1:29" ht="15" x14ac:dyDescent="0.25">
      <c r="A480" s="288"/>
      <c r="B480" s="5"/>
      <c r="C480" s="5"/>
      <c r="D480" s="5"/>
      <c r="E480" s="5"/>
      <c r="F480" s="169"/>
      <c r="G480" s="47"/>
      <c r="H480" s="589"/>
      <c r="I480" s="589"/>
      <c r="J480" s="267">
        <v>0.5</v>
      </c>
      <c r="K480" s="103">
        <v>3.55</v>
      </c>
      <c r="L480" s="103">
        <v>2.8</v>
      </c>
      <c r="M480" s="103">
        <v>2.61</v>
      </c>
      <c r="N480" s="103">
        <v>2.42</v>
      </c>
      <c r="O480" s="103">
        <v>2.2599999999999998</v>
      </c>
      <c r="P480" s="103">
        <f t="shared" si="37"/>
        <v>2.100000000000001</v>
      </c>
      <c r="Q480" s="104">
        <f t="shared" si="38"/>
        <v>2.0000000000000009</v>
      </c>
      <c r="R480" s="267">
        <f t="shared" si="35"/>
        <v>2.4923258958755912</v>
      </c>
      <c r="S480" s="269"/>
      <c r="T480" s="270"/>
      <c r="U480" s="270"/>
      <c r="V480" s="270"/>
      <c r="W480" s="270"/>
      <c r="X480" s="270"/>
      <c r="Y480" s="270"/>
      <c r="Z480" s="270"/>
      <c r="AA480" s="261"/>
      <c r="AB480" s="261"/>
      <c r="AC480" s="261"/>
    </row>
    <row r="481" spans="1:29" x14ac:dyDescent="0.2">
      <c r="A481" s="306" t="s">
        <v>555</v>
      </c>
      <c r="B481" s="295"/>
      <c r="C481" s="248"/>
      <c r="D481" s="337"/>
      <c r="E481" s="288"/>
      <c r="F481" s="290"/>
      <c r="G481" s="295"/>
      <c r="H481" s="288"/>
      <c r="I481" s="4"/>
      <c r="J481" s="267">
        <v>0.55000000000000004</v>
      </c>
      <c r="K481" s="103">
        <v>4.1500000000000004</v>
      </c>
      <c r="L481" s="103">
        <v>3.14</v>
      </c>
      <c r="M481" s="103">
        <v>2.89</v>
      </c>
      <c r="N481" s="103">
        <v>2.67</v>
      </c>
      <c r="O481" s="103">
        <v>2.42</v>
      </c>
      <c r="P481" s="103">
        <v>2.25</v>
      </c>
      <c r="Q481" s="104">
        <v>2.17</v>
      </c>
      <c r="R481" s="267">
        <f t="shared" si="35"/>
        <v>2.7537457741717373</v>
      </c>
      <c r="S481" s="269"/>
      <c r="T481" s="270"/>
      <c r="U481" s="270"/>
      <c r="V481" s="270"/>
      <c r="W481" s="270"/>
      <c r="X481" s="270"/>
      <c r="Y481" s="270"/>
      <c r="Z481" s="270"/>
      <c r="AA481" s="261"/>
      <c r="AB481" s="261"/>
      <c r="AC481" s="261"/>
    </row>
    <row r="482" spans="1:29" x14ac:dyDescent="0.2">
      <c r="A482" s="295"/>
      <c r="B482" s="3"/>
      <c r="C482" s="3"/>
      <c r="D482" s="3"/>
      <c r="E482" s="3"/>
      <c r="F482" s="3"/>
      <c r="G482" s="3"/>
      <c r="H482" s="295"/>
      <c r="I482" s="4"/>
      <c r="J482" s="267">
        <v>0.6</v>
      </c>
      <c r="K482" s="103">
        <v>4.96</v>
      </c>
      <c r="L482" s="103">
        <v>3.58</v>
      </c>
      <c r="M482" s="103">
        <v>3.24</v>
      </c>
      <c r="N482" s="103">
        <v>2.92</v>
      </c>
      <c r="O482" s="103">
        <v>2.64</v>
      </c>
      <c r="P482" s="103">
        <v>2.42</v>
      </c>
      <c r="Q482" s="104">
        <v>2.2000000000000002</v>
      </c>
      <c r="R482" s="267">
        <f t="shared" si="35"/>
        <v>3.0418120351588911</v>
      </c>
      <c r="S482" s="269"/>
      <c r="T482" s="270"/>
      <c r="U482" s="270"/>
      <c r="V482" s="270"/>
      <c r="W482" s="270"/>
      <c r="X482" s="270"/>
      <c r="Y482" s="270"/>
      <c r="Z482" s="270"/>
      <c r="AA482" s="261"/>
      <c r="AB482" s="261"/>
      <c r="AC482" s="261"/>
    </row>
    <row r="483" spans="1:29" s="261" customFormat="1" x14ac:dyDescent="0.2">
      <c r="A483" s="295"/>
      <c r="B483" s="4" t="s">
        <v>368</v>
      </c>
      <c r="C483" s="295"/>
      <c r="D483" s="295"/>
      <c r="E483" s="295"/>
      <c r="F483" s="274" t="s">
        <v>647</v>
      </c>
      <c r="G483" s="272" t="s">
        <v>2</v>
      </c>
      <c r="H483" s="285">
        <f>H447*(1+2/3*H104*H106)+H448</f>
        <v>569.29715832689806</v>
      </c>
      <c r="I483" s="4" t="s">
        <v>50</v>
      </c>
      <c r="J483" s="267">
        <v>0.65</v>
      </c>
      <c r="K483" s="103">
        <v>6</v>
      </c>
      <c r="L483" s="103">
        <v>4.34</v>
      </c>
      <c r="M483" s="103">
        <v>3.8</v>
      </c>
      <c r="N483" s="103">
        <v>3.3</v>
      </c>
      <c r="O483" s="103">
        <v>2.95</v>
      </c>
      <c r="P483" s="103">
        <v>2.64</v>
      </c>
      <c r="Q483" s="104">
        <v>2.42</v>
      </c>
      <c r="R483" s="267">
        <f t="shared" si="35"/>
        <v>3.4903313049357667</v>
      </c>
      <c r="S483" s="269"/>
      <c r="T483" s="270"/>
      <c r="U483" s="270"/>
      <c r="V483" s="270"/>
      <c r="W483" s="270"/>
      <c r="X483" s="270"/>
      <c r="Y483" s="270"/>
      <c r="Z483" s="270"/>
    </row>
    <row r="484" spans="1:29" s="261" customFormat="1" x14ac:dyDescent="0.2">
      <c r="A484" s="3"/>
      <c r="B484" s="4" t="s">
        <v>276</v>
      </c>
      <c r="C484" s="288"/>
      <c r="D484" s="288"/>
      <c r="E484" s="288"/>
      <c r="F484" s="275" t="s">
        <v>649</v>
      </c>
      <c r="G484" s="276" t="s">
        <v>2</v>
      </c>
      <c r="H484" s="273">
        <f>+$H$445/H483</f>
        <v>1.7480979866089417</v>
      </c>
      <c r="I484" s="4" t="s">
        <v>3</v>
      </c>
      <c r="J484" s="267">
        <v>0.7</v>
      </c>
      <c r="K484" s="103">
        <v>7.43</v>
      </c>
      <c r="L484" s="103">
        <v>5.4</v>
      </c>
      <c r="M484" s="103">
        <v>4.25</v>
      </c>
      <c r="N484" s="103">
        <v>3.8</v>
      </c>
      <c r="O484" s="103">
        <v>3.33</v>
      </c>
      <c r="P484" s="103">
        <v>2.95</v>
      </c>
      <c r="Q484" s="104">
        <v>2.54</v>
      </c>
      <c r="R484" s="267">
        <f t="shared" si="35"/>
        <v>3.97129817444219</v>
      </c>
      <c r="S484" s="269"/>
      <c r="T484" s="270"/>
      <c r="U484" s="270"/>
      <c r="V484" s="270"/>
      <c r="W484" s="270"/>
      <c r="X484" s="270"/>
      <c r="Y484" s="270"/>
      <c r="Z484" s="270"/>
    </row>
    <row r="485" spans="1:29" s="261" customFormat="1" x14ac:dyDescent="0.2">
      <c r="A485" s="3"/>
      <c r="B485" s="3"/>
      <c r="C485" s="3"/>
      <c r="D485" s="3"/>
      <c r="E485" s="3"/>
      <c r="F485" s="275" t="s">
        <v>281</v>
      </c>
      <c r="G485" s="276" t="s">
        <v>2</v>
      </c>
      <c r="H485" s="278">
        <f>+H484/$H$437</f>
        <v>0.29548647508602799</v>
      </c>
      <c r="I485" s="288"/>
      <c r="J485" s="296">
        <v>0.75</v>
      </c>
      <c r="K485" s="297">
        <v>9.93</v>
      </c>
      <c r="L485" s="297">
        <v>7.23</v>
      </c>
      <c r="M485" s="297">
        <v>5.97</v>
      </c>
      <c r="N485" s="297">
        <v>4.8099999999999996</v>
      </c>
      <c r="O485" s="297">
        <v>3.93</v>
      </c>
      <c r="P485" s="297">
        <v>3.33</v>
      </c>
      <c r="Q485" s="298">
        <v>2.89</v>
      </c>
      <c r="R485" s="296">
        <f t="shared" si="35"/>
        <v>5.251568627450979</v>
      </c>
      <c r="S485" s="299"/>
      <c r="T485" s="300"/>
      <c r="U485" s="300"/>
      <c r="V485" s="300"/>
      <c r="W485" s="300"/>
      <c r="X485" s="300"/>
      <c r="Y485" s="300"/>
      <c r="Z485" s="300"/>
      <c r="AA485" s="301"/>
    </row>
    <row r="486" spans="1:29" s="261" customFormat="1" x14ac:dyDescent="0.2">
      <c r="A486" s="3"/>
      <c r="B486" s="584" t="s">
        <v>653</v>
      </c>
      <c r="C486" s="585"/>
      <c r="D486" s="586"/>
      <c r="E486" s="3"/>
      <c r="F486" s="3"/>
      <c r="G486" s="3"/>
      <c r="H486" s="3"/>
      <c r="I486" s="3"/>
      <c r="J486" s="296">
        <v>0.8</v>
      </c>
      <c r="K486" s="297">
        <v>13.87</v>
      </c>
      <c r="L486" s="297">
        <v>10.050000000000001</v>
      </c>
      <c r="M486" s="297">
        <v>8.82</v>
      </c>
      <c r="N486" s="297">
        <v>6.53</v>
      </c>
      <c r="O486" s="297">
        <v>4.93</v>
      </c>
      <c r="P486" s="297">
        <v>3.96</v>
      </c>
      <c r="Q486" s="298">
        <v>3.27</v>
      </c>
      <c r="R486" s="296">
        <f t="shared" si="35"/>
        <v>7.4017173766058129</v>
      </c>
      <c r="S486" s="299"/>
      <c r="T486" s="300"/>
      <c r="U486" s="300"/>
      <c r="V486" s="300"/>
      <c r="W486" s="300"/>
      <c r="X486" s="300"/>
      <c r="Y486" s="300"/>
      <c r="Z486" s="300"/>
      <c r="AA486" s="301"/>
    </row>
    <row r="487" spans="1:29" s="261" customFormat="1" x14ac:dyDescent="0.2">
      <c r="A487" s="3"/>
      <c r="B487" s="325" t="s">
        <v>367</v>
      </c>
      <c r="C487" s="326">
        <f>lininterp($J$451:$J$465,$R$451:$R$465,H485)</f>
        <v>2</v>
      </c>
      <c r="D487" s="327"/>
      <c r="E487" s="3"/>
      <c r="F487" s="3"/>
      <c r="G487" s="295"/>
      <c r="H487" s="295"/>
      <c r="I487" s="288"/>
      <c r="J487" s="296">
        <v>0.85</v>
      </c>
      <c r="K487" s="297">
        <v>21.08</v>
      </c>
      <c r="L487" s="297">
        <v>15.55</v>
      </c>
      <c r="M487" s="297">
        <v>13.32</v>
      </c>
      <c r="N487" s="297">
        <v>10.43</v>
      </c>
      <c r="O487" s="297">
        <v>7.16</v>
      </c>
      <c r="P487" s="297">
        <v>4.9000000000000004</v>
      </c>
      <c r="Q487" s="298">
        <v>3.77</v>
      </c>
      <c r="R487" s="296">
        <f t="shared" si="35"/>
        <v>11.530114942528733</v>
      </c>
      <c r="S487" s="299"/>
      <c r="T487" s="300"/>
      <c r="U487" s="300"/>
      <c r="V487" s="300"/>
      <c r="W487" s="300"/>
      <c r="X487" s="300"/>
      <c r="Y487" s="300"/>
      <c r="Z487" s="300"/>
      <c r="AA487" s="301"/>
    </row>
    <row r="488" spans="1:29" s="261" customFormat="1" x14ac:dyDescent="0.2">
      <c r="A488" s="3"/>
      <c r="B488" s="328" t="s">
        <v>309</v>
      </c>
      <c r="C488" s="326">
        <f>lininterp($J$470:$J$489,$R$470:$R$489,H485)</f>
        <v>1.8236648868971912</v>
      </c>
      <c r="D488" s="327"/>
      <c r="E488" s="3"/>
      <c r="F488" s="241" t="s">
        <v>313</v>
      </c>
      <c r="G488" s="336">
        <f>C492</f>
        <v>1</v>
      </c>
      <c r="H488" s="288"/>
      <c r="I488" s="290" t="str">
        <f>IF(G488&gt;=0.8,"OK","No Cumple")</f>
        <v>OK</v>
      </c>
      <c r="J488" s="298">
        <v>0.9</v>
      </c>
      <c r="K488" s="297">
        <v>38.25</v>
      </c>
      <c r="L488" s="297">
        <v>30.8</v>
      </c>
      <c r="M488" s="297">
        <v>25.8</v>
      </c>
      <c r="N488" s="297">
        <v>19.850000000000001</v>
      </c>
      <c r="O488" s="297">
        <v>14.6</v>
      </c>
      <c r="P488" s="297">
        <v>7.13</v>
      </c>
      <c r="Q488" s="298">
        <v>4.71</v>
      </c>
      <c r="R488" s="296">
        <f t="shared" si="35"/>
        <v>22.114942528735629</v>
      </c>
      <c r="S488" s="305"/>
      <c r="T488" s="301"/>
      <c r="U488" s="301"/>
      <c r="V488" s="301"/>
      <c r="W488" s="301"/>
      <c r="X488" s="301"/>
      <c r="Y488" s="301"/>
      <c r="Z488" s="301"/>
      <c r="AA488" s="301"/>
    </row>
    <row r="489" spans="1:29" s="261" customFormat="1" ht="13.5" thickBot="1" x14ac:dyDescent="0.25">
      <c r="A489" s="3"/>
      <c r="B489" s="325" t="s">
        <v>70</v>
      </c>
      <c r="C489" s="326">
        <f>C487*$H$437</f>
        <v>11.832000000000001</v>
      </c>
      <c r="D489" s="327" t="s">
        <v>3</v>
      </c>
      <c r="E489" s="3"/>
      <c r="F489" s="248" t="s">
        <v>311</v>
      </c>
      <c r="G489" s="337">
        <f>C490</f>
        <v>16.805920856162331</v>
      </c>
      <c r="H489" s="288" t="s">
        <v>105</v>
      </c>
      <c r="I489" s="290" t="str">
        <f>IF(G489&lt;=D459,"OK","No Cumple")</f>
        <v>OK</v>
      </c>
      <c r="J489" s="307">
        <v>0.95</v>
      </c>
      <c r="K489" s="308">
        <v>99.1</v>
      </c>
      <c r="L489" s="308">
        <v>72.72</v>
      </c>
      <c r="M489" s="308">
        <v>62.2</v>
      </c>
      <c r="N489" s="308">
        <v>50.2</v>
      </c>
      <c r="O489" s="308">
        <v>34.6</v>
      </c>
      <c r="P489" s="308">
        <v>19.8</v>
      </c>
      <c r="Q489" s="307">
        <v>6.72</v>
      </c>
      <c r="R489" s="309">
        <f t="shared" si="35"/>
        <v>54.767951318458408</v>
      </c>
      <c r="S489" s="305"/>
      <c r="T489" s="301"/>
      <c r="U489" s="301"/>
      <c r="V489" s="301"/>
      <c r="W489" s="301"/>
      <c r="X489" s="301"/>
      <c r="Y489" s="301"/>
      <c r="Z489" s="301"/>
      <c r="AA489" s="301"/>
    </row>
    <row r="490" spans="1:29" s="261" customFormat="1" x14ac:dyDescent="0.2">
      <c r="A490" s="3"/>
      <c r="B490" s="328" t="s">
        <v>308</v>
      </c>
      <c r="C490" s="326">
        <f>C488*K500</f>
        <v>16.805920856162331</v>
      </c>
      <c r="D490" s="324" t="s">
        <v>105</v>
      </c>
      <c r="E490" s="3"/>
      <c r="F490" s="295"/>
      <c r="G490" s="295"/>
      <c r="H490" s="288"/>
      <c r="I490" s="323"/>
      <c r="J490" s="301"/>
      <c r="K490" s="301"/>
      <c r="L490" s="301"/>
      <c r="M490" s="310"/>
      <c r="N490" s="310"/>
      <c r="O490" s="310"/>
      <c r="P490" s="310"/>
      <c r="Q490" s="310"/>
      <c r="R490" s="310"/>
      <c r="S490" s="305"/>
      <c r="T490" s="301"/>
      <c r="U490" s="301"/>
      <c r="V490" s="301"/>
      <c r="W490" s="301"/>
      <c r="X490" s="301"/>
      <c r="Y490" s="301"/>
      <c r="Z490" s="301"/>
      <c r="AA490" s="301"/>
    </row>
    <row r="491" spans="1:29" s="261" customFormat="1" ht="13.5" thickBot="1" x14ac:dyDescent="0.25">
      <c r="A491" s="3"/>
      <c r="B491" s="325" t="s">
        <v>310</v>
      </c>
      <c r="C491" s="329">
        <f>MIN(K506,H440)</f>
        <v>61.776277940189694</v>
      </c>
      <c r="D491" s="331" t="s">
        <v>304</v>
      </c>
      <c r="E491" s="3"/>
      <c r="F491" s="295"/>
      <c r="G491" s="295"/>
      <c r="H491" s="288"/>
      <c r="I491" s="247"/>
      <c r="J491" s="301"/>
      <c r="K491" s="301"/>
      <c r="L491" s="301"/>
      <c r="M491" s="310"/>
      <c r="N491" s="310"/>
      <c r="O491" s="310"/>
      <c r="P491" s="310"/>
      <c r="Q491" s="310"/>
      <c r="R491" s="310"/>
      <c r="S491" s="305"/>
      <c r="T491" s="301"/>
      <c r="U491" s="301"/>
      <c r="V491" s="301"/>
      <c r="W491" s="301"/>
      <c r="X491" s="301"/>
      <c r="Y491" s="301"/>
      <c r="Z491" s="301"/>
      <c r="AA491" s="301"/>
      <c r="AB491" s="277"/>
      <c r="AC491" s="277"/>
    </row>
    <row r="492" spans="1:29" s="261" customFormat="1" x14ac:dyDescent="0.2">
      <c r="A492" s="3"/>
      <c r="B492" s="333" t="str">
        <f>IF(C492&gt;=0.8,"OK","No Cumple")</f>
        <v>OK</v>
      </c>
      <c r="C492" s="334">
        <f>C491/$H$440</f>
        <v>1</v>
      </c>
      <c r="D492" s="335"/>
      <c r="E492" s="3"/>
      <c r="F492" s="295"/>
      <c r="G492" s="295"/>
      <c r="H492" s="288"/>
      <c r="I492" s="321"/>
      <c r="J492" s="311" t="s">
        <v>318</v>
      </c>
      <c r="K492" s="312">
        <f>H467/$H$440</f>
        <v>6.6931642391912938</v>
      </c>
      <c r="L492" s="313" t="s">
        <v>136</v>
      </c>
      <c r="M492" s="310"/>
      <c r="N492" s="310"/>
      <c r="O492" s="310"/>
      <c r="P492" s="310"/>
      <c r="Q492" s="310"/>
      <c r="R492" s="310"/>
      <c r="S492" s="305"/>
      <c r="T492" s="310"/>
      <c r="U492" s="310"/>
      <c r="V492" s="310"/>
      <c r="W492" s="310"/>
      <c r="X492" s="310"/>
      <c r="Y492" s="310"/>
      <c r="Z492" s="310"/>
      <c r="AA492" s="310"/>
      <c r="AB492" s="277"/>
      <c r="AC492" s="277"/>
    </row>
    <row r="493" spans="1:29" s="261" customFormat="1" ht="13.5" thickBot="1" x14ac:dyDescent="0.25">
      <c r="A493" s="22"/>
      <c r="B493" s="3"/>
      <c r="C493" s="3"/>
      <c r="D493" s="3"/>
      <c r="E493" s="3"/>
      <c r="F493" s="295"/>
      <c r="G493" s="295"/>
      <c r="H493" s="288"/>
      <c r="I493" s="247"/>
      <c r="J493" s="314" t="s">
        <v>319</v>
      </c>
      <c r="K493" s="315">
        <f>$H$445/$H$441</f>
        <v>7.5737121638388354</v>
      </c>
      <c r="L493" s="316" t="s">
        <v>136</v>
      </c>
      <c r="M493" s="310"/>
      <c r="N493" s="310"/>
      <c r="O493" s="310"/>
      <c r="P493" s="310"/>
      <c r="Q493" s="310"/>
      <c r="R493" s="310"/>
      <c r="S493" s="305"/>
      <c r="T493" s="310"/>
      <c r="U493" s="310"/>
      <c r="V493" s="310"/>
      <c r="W493" s="310"/>
      <c r="X493" s="310"/>
      <c r="Y493" s="310"/>
      <c r="Z493" s="310"/>
      <c r="AA493" s="310"/>
      <c r="AB493" s="277"/>
      <c r="AC493" s="277"/>
    </row>
    <row r="494" spans="1:29" s="261" customFormat="1" x14ac:dyDescent="0.2">
      <c r="A494" s="22"/>
      <c r="B494" s="3"/>
      <c r="C494" s="3"/>
      <c r="D494" s="3"/>
      <c r="E494" s="3"/>
      <c r="F494" s="295"/>
      <c r="G494" s="295"/>
      <c r="H494" s="288"/>
      <c r="I494" s="323"/>
      <c r="J494" s="317" t="s">
        <v>302</v>
      </c>
      <c r="K494" s="318">
        <f>IF(ABS((C473-$H$437)/$H$437)&gt;1,0,ACOS((C473-$H$437)/$H$437))</f>
        <v>0.49744593678032545</v>
      </c>
      <c r="L494" s="319" t="s">
        <v>266</v>
      </c>
      <c r="M494" s="310"/>
      <c r="N494" s="310"/>
      <c r="O494" s="310"/>
      <c r="P494" s="310"/>
      <c r="Q494" s="310"/>
      <c r="R494" s="310"/>
      <c r="S494" s="305"/>
      <c r="T494" s="310"/>
      <c r="U494" s="310"/>
      <c r="V494" s="310"/>
      <c r="W494" s="310"/>
      <c r="X494" s="310"/>
      <c r="Y494" s="310"/>
      <c r="Z494" s="310"/>
      <c r="AA494" s="310"/>
      <c r="AB494" s="277"/>
      <c r="AC494" s="277"/>
    </row>
    <row r="495" spans="1:29" s="261" customFormat="1" x14ac:dyDescent="0.2">
      <c r="A495" s="22"/>
      <c r="B495" s="3"/>
      <c r="C495" s="3"/>
      <c r="D495" s="3"/>
      <c r="E495" s="3"/>
      <c r="F495" s="295"/>
      <c r="G495" s="295"/>
      <c r="H495" s="288"/>
      <c r="I495" s="288"/>
      <c r="J495" s="317" t="s">
        <v>257</v>
      </c>
      <c r="K495" s="318">
        <f>IF($H$438=0,0,IF(ABS((C473-$H$437)/$H$438)&gt;1,0,ACOS((C473-$H$437)/$H$438)))</f>
        <v>0</v>
      </c>
      <c r="L495" s="319" t="s">
        <v>266</v>
      </c>
      <c r="M495" s="310"/>
      <c r="N495" s="310"/>
      <c r="O495" s="310"/>
      <c r="P495" s="310"/>
      <c r="Q495" s="310"/>
      <c r="R495" s="310"/>
      <c r="S495" s="305"/>
      <c r="T495" s="310"/>
      <c r="U495" s="310"/>
      <c r="V495" s="310"/>
      <c r="W495" s="310"/>
      <c r="X495" s="310"/>
      <c r="Y495" s="310"/>
      <c r="Z495" s="310"/>
      <c r="AA495" s="310"/>
      <c r="AB495" s="277"/>
      <c r="AC495" s="277"/>
    </row>
    <row r="496" spans="1:29" s="261" customFormat="1" x14ac:dyDescent="0.2">
      <c r="A496" s="22"/>
      <c r="B496" s="288"/>
      <c r="C496" s="3"/>
      <c r="D496" s="3"/>
      <c r="E496" s="3"/>
      <c r="F496" s="3"/>
      <c r="G496" s="288"/>
      <c r="H496" s="288"/>
      <c r="I496" s="288"/>
      <c r="J496" s="322" t="s">
        <v>320</v>
      </c>
      <c r="K496" s="318">
        <f>$H$437^2*(K494-SIN(K494)*COS(K494))</f>
        <v>2.7332825579012403</v>
      </c>
      <c r="L496" s="319" t="s">
        <v>304</v>
      </c>
      <c r="M496" s="310"/>
      <c r="N496" s="310"/>
      <c r="O496" s="310"/>
      <c r="P496" s="310"/>
      <c r="Q496" s="310"/>
      <c r="R496" s="310"/>
      <c r="S496" s="305"/>
      <c r="T496" s="310"/>
      <c r="U496" s="310"/>
      <c r="V496" s="310"/>
      <c r="W496" s="310"/>
      <c r="X496" s="310"/>
      <c r="Y496" s="310"/>
      <c r="Z496" s="310"/>
      <c r="AA496" s="310"/>
      <c r="AB496" s="277"/>
      <c r="AC496" s="277"/>
    </row>
    <row r="497" spans="1:29" s="261" customFormat="1" x14ac:dyDescent="0.2">
      <c r="A497" s="1"/>
      <c r="B497" s="295"/>
      <c r="C497" s="3"/>
      <c r="D497" s="3"/>
      <c r="E497" s="3"/>
      <c r="F497" s="3"/>
      <c r="G497" s="295"/>
      <c r="H497" s="288"/>
      <c r="I497" s="4"/>
      <c r="J497" s="322" t="s">
        <v>321</v>
      </c>
      <c r="K497" s="318">
        <f>IF(C473&gt;=$H$437+$H$438,0,$H$438^2*(K495-SIN(K495)*COS(K495)))</f>
        <v>0</v>
      </c>
      <c r="L497" s="319" t="s">
        <v>304</v>
      </c>
      <c r="M497" s="310"/>
      <c r="N497" s="310"/>
      <c r="O497" s="310"/>
      <c r="P497" s="310"/>
      <c r="Q497" s="310"/>
      <c r="R497" s="310"/>
      <c r="S497" s="305"/>
      <c r="T497" s="310"/>
      <c r="U497" s="310"/>
      <c r="V497" s="310"/>
      <c r="W497" s="310"/>
      <c r="X497" s="310"/>
      <c r="Y497" s="310"/>
      <c r="Z497" s="310"/>
      <c r="AA497" s="310"/>
      <c r="AB497" s="277"/>
      <c r="AC497" s="277"/>
    </row>
    <row r="498" spans="1:29" s="261" customFormat="1" ht="13.5" thickBot="1" x14ac:dyDescent="0.25">
      <c r="A498" s="3"/>
      <c r="B498" s="3"/>
      <c r="C498" s="3"/>
      <c r="D498" s="3"/>
      <c r="E498" s="3"/>
      <c r="F498" s="3"/>
      <c r="G498" s="3"/>
      <c r="H498" s="3"/>
      <c r="I498" s="3"/>
      <c r="J498" s="330" t="s">
        <v>322</v>
      </c>
      <c r="K498" s="315">
        <f>$H$440-K496+K497</f>
        <v>59.042995382288453</v>
      </c>
      <c r="L498" s="316" t="s">
        <v>304</v>
      </c>
      <c r="M498" s="310"/>
      <c r="N498" s="310"/>
      <c r="O498" s="310"/>
      <c r="P498" s="310"/>
      <c r="Q498" s="310"/>
      <c r="R498" s="310"/>
      <c r="S498" s="305"/>
      <c r="T498" s="310"/>
      <c r="U498" s="310"/>
      <c r="V498" s="310"/>
      <c r="W498" s="310"/>
      <c r="X498" s="310"/>
      <c r="Y498" s="310"/>
      <c r="Z498" s="310"/>
      <c r="AA498" s="310"/>
      <c r="AB498" s="277"/>
      <c r="AC498" s="277"/>
    </row>
    <row r="499" spans="1:29" s="261" customFormat="1" ht="13.5" thickBot="1" x14ac:dyDescent="0.25">
      <c r="A499" s="3"/>
      <c r="B499" s="3"/>
      <c r="C499" s="3"/>
      <c r="D499" s="3"/>
      <c r="E499" s="3"/>
      <c r="F499" s="3"/>
      <c r="G499" s="3"/>
      <c r="H499" s="3"/>
      <c r="I499" s="3"/>
      <c r="AB499" s="277"/>
      <c r="AC499" s="277"/>
    </row>
    <row r="500" spans="1:29" s="261" customFormat="1" x14ac:dyDescent="0.2">
      <c r="A500" s="3"/>
      <c r="B500" s="3"/>
      <c r="C500" s="3"/>
      <c r="D500" s="3"/>
      <c r="E500" s="3"/>
      <c r="F500" s="3"/>
      <c r="G500" s="3"/>
      <c r="H500" s="3"/>
      <c r="I500" s="3"/>
      <c r="J500" s="311" t="s">
        <v>318</v>
      </c>
      <c r="K500" s="312">
        <f>H483/$H$440</f>
        <v>9.2154655040576881</v>
      </c>
      <c r="L500" s="313" t="s">
        <v>136</v>
      </c>
      <c r="AB500" s="277"/>
      <c r="AC500" s="277"/>
    </row>
    <row r="501" spans="1:29" s="261" customFormat="1" ht="13.5" thickBot="1" x14ac:dyDescent="0.25">
      <c r="A501" s="3"/>
      <c r="B501" s="3"/>
      <c r="C501" s="3"/>
      <c r="D501" s="3"/>
      <c r="E501" s="3"/>
      <c r="F501" s="3"/>
      <c r="G501" s="3"/>
      <c r="H501" s="3"/>
      <c r="I501" s="3"/>
      <c r="J501" s="314" t="s">
        <v>319</v>
      </c>
      <c r="K501" s="315">
        <f>$H$445/$H$441</f>
        <v>7.5737121638388354</v>
      </c>
      <c r="L501" s="316" t="s">
        <v>136</v>
      </c>
      <c r="AB501" s="277"/>
      <c r="AC501" s="277"/>
    </row>
    <row r="502" spans="1:29" s="261" customFormat="1" x14ac:dyDescent="0.2">
      <c r="A502" s="3"/>
      <c r="B502" s="3"/>
      <c r="C502" s="3"/>
      <c r="D502" s="3"/>
      <c r="E502" s="3"/>
      <c r="F502" s="3"/>
      <c r="G502" s="3"/>
      <c r="H502" s="3"/>
      <c r="I502" s="3"/>
      <c r="J502" s="317" t="s">
        <v>302</v>
      </c>
      <c r="K502" s="318">
        <f>IF(ABS((C489-$H$437)/$H$437)&gt;1,0,ACOS((C489-$H$437)/$H$437))</f>
        <v>0</v>
      </c>
      <c r="L502" s="319" t="s">
        <v>266</v>
      </c>
      <c r="AB502" s="277"/>
      <c r="AC502" s="277"/>
    </row>
    <row r="503" spans="1:29" s="261" customFormat="1" x14ac:dyDescent="0.2">
      <c r="A503" s="1"/>
      <c r="B503" s="1"/>
      <c r="C503" s="1"/>
      <c r="D503" s="1"/>
      <c r="E503" s="1"/>
      <c r="F503" s="1"/>
      <c r="G503" s="1"/>
      <c r="H503" s="1"/>
      <c r="I503" s="1"/>
      <c r="J503" s="317" t="s">
        <v>257</v>
      </c>
      <c r="K503" s="318">
        <f>IF($H$438=0,0,IF(ABS((C489-$H$437)/$H$438)&gt;1,0,ACOS((C489-$H$437)/$H$438)))</f>
        <v>0</v>
      </c>
      <c r="L503" s="319" t="s">
        <v>266</v>
      </c>
      <c r="AB503" s="277"/>
      <c r="AC503" s="277"/>
    </row>
    <row r="504" spans="1:29" ht="15.75" x14ac:dyDescent="0.25">
      <c r="A504" s="117" t="s">
        <v>556</v>
      </c>
      <c r="B504" s="254"/>
      <c r="C504" s="254"/>
      <c r="D504" s="254"/>
      <c r="E504" s="254"/>
      <c r="F504" s="1"/>
      <c r="G504" s="1"/>
      <c r="H504" s="1"/>
      <c r="I504" s="1"/>
      <c r="J504" s="322" t="s">
        <v>320</v>
      </c>
      <c r="K504" s="318">
        <f>$H$437^2*(K502-SIN(K502)*COS(K502))</f>
        <v>0</v>
      </c>
      <c r="L504" s="319" t="s">
        <v>304</v>
      </c>
    </row>
    <row r="505" spans="1:29" x14ac:dyDescent="0.2">
      <c r="A505" s="1"/>
      <c r="B505" s="254"/>
      <c r="C505" s="254"/>
      <c r="D505" s="254"/>
      <c r="E505" s="254"/>
      <c r="F505" s="1"/>
      <c r="G505" s="1"/>
      <c r="H505" s="1"/>
      <c r="I505" s="1"/>
      <c r="J505" s="322" t="s">
        <v>321</v>
      </c>
      <c r="K505" s="318">
        <f>IF(C489&gt;=$H$437+$H$438,0,$H$438^2*(K503-SIN(K503)*COS(K503)))</f>
        <v>0</v>
      </c>
      <c r="L505" s="319" t="s">
        <v>304</v>
      </c>
    </row>
    <row r="506" spans="1:29" ht="13.5" thickBot="1" x14ac:dyDescent="0.25">
      <c r="A506" s="169">
        <v>1.5</v>
      </c>
      <c r="B506" s="392" t="s">
        <v>568</v>
      </c>
      <c r="C506" s="254"/>
      <c r="D506" s="254"/>
      <c r="E506" s="254"/>
      <c r="F506" s="391" t="s">
        <v>496</v>
      </c>
      <c r="G506" s="162" t="str">
        <f>IF(J124=2,"No Aplica",IF(H129&gt;=H128,"OK","No Cumple"))</f>
        <v>OK</v>
      </c>
      <c r="H506" s="1"/>
      <c r="I506" s="1"/>
      <c r="J506" s="330" t="s">
        <v>322</v>
      </c>
      <c r="K506" s="315">
        <f>$H$440-K504+K505</f>
        <v>61.776277940189694</v>
      </c>
      <c r="L506" s="316" t="s">
        <v>304</v>
      </c>
    </row>
    <row r="507" spans="1:29" x14ac:dyDescent="0.2">
      <c r="A507" s="169">
        <v>3.2</v>
      </c>
      <c r="B507" s="392" t="s">
        <v>498</v>
      </c>
      <c r="C507" s="254"/>
      <c r="D507" s="254"/>
      <c r="E507" s="254"/>
      <c r="F507" s="391" t="s">
        <v>496</v>
      </c>
      <c r="G507" s="162" t="str">
        <f>G210</f>
        <v>Revancha OK</v>
      </c>
      <c r="H507" s="1"/>
      <c r="I507" s="1"/>
    </row>
    <row r="508" spans="1:29" x14ac:dyDescent="0.2">
      <c r="A508" s="169">
        <v>3.5</v>
      </c>
      <c r="B508" s="5" t="s">
        <v>497</v>
      </c>
      <c r="C508" s="254"/>
      <c r="D508" s="254"/>
      <c r="E508" s="254"/>
      <c r="F508" s="391" t="s">
        <v>496</v>
      </c>
      <c r="G508" s="162" t="str">
        <f>H263</f>
        <v>Anclar Estanque</v>
      </c>
      <c r="H508" s="1"/>
      <c r="I508" s="1"/>
    </row>
    <row r="509" spans="1:29" x14ac:dyDescent="0.2">
      <c r="A509" s="169">
        <v>3.6</v>
      </c>
      <c r="B509" s="393" t="s">
        <v>499</v>
      </c>
      <c r="C509" s="254"/>
      <c r="D509" s="254"/>
      <c r="E509" s="1"/>
      <c r="F509" s="391" t="s">
        <v>496</v>
      </c>
      <c r="G509" s="162" t="str">
        <f>H268</f>
        <v>No desliza Estanque</v>
      </c>
      <c r="H509" s="1"/>
      <c r="I509" s="1"/>
    </row>
    <row r="510" spans="1:29" x14ac:dyDescent="0.2">
      <c r="A510" s="169">
        <v>3.7</v>
      </c>
      <c r="B510" s="393" t="s">
        <v>500</v>
      </c>
      <c r="C510" s="254"/>
      <c r="D510" s="254"/>
      <c r="E510" s="254"/>
      <c r="F510" s="258" t="s">
        <v>501</v>
      </c>
      <c r="G510" s="344">
        <f>H274</f>
        <v>0.72841564748968091</v>
      </c>
      <c r="H510" s="162" t="str">
        <f>IF(ROUND(G510,2)&lt;=1,"OK","No Cumple")</f>
        <v>OK</v>
      </c>
      <c r="I510" s="1"/>
    </row>
    <row r="511" spans="1:29" x14ac:dyDescent="0.2">
      <c r="A511" s="413" t="s">
        <v>560</v>
      </c>
      <c r="B511" s="393" t="str">
        <f>IF(J313=TRUE,"- Verificación pernos (Interacción Tracción y Corte)","- Verificación pernos")</f>
        <v>- Verificación pernos</v>
      </c>
      <c r="C511" s="254"/>
      <c r="D511" s="254"/>
      <c r="E511" s="254"/>
      <c r="F511" s="258" t="s">
        <v>501</v>
      </c>
      <c r="G511" s="344">
        <f>IF(J313=TRUE,MAX(H305,H310),H305)</f>
        <v>0.90335353737745738</v>
      </c>
      <c r="H511" s="162" t="str">
        <f>IF(G511="-","Falla Perno",IF(ROUND(G511,2)&lt;=1,"OK","No Cumple"))</f>
        <v>OK</v>
      </c>
      <c r="I511" s="1"/>
    </row>
    <row r="512" spans="1:29" x14ac:dyDescent="0.2">
      <c r="A512" s="413" t="s">
        <v>575</v>
      </c>
      <c r="B512" s="5" t="str">
        <f>"- Verificación soporte de pernos" &amp;IF(J320=TRUE," (Anillo Rigidizador)"," (Placa Aislada)")</f>
        <v>- Verificación soporte de pernos (Placa Aislada)</v>
      </c>
      <c r="C512" s="254"/>
      <c r="D512" s="254"/>
      <c r="E512" s="254"/>
      <c r="F512" s="258" t="s">
        <v>501</v>
      </c>
      <c r="G512" s="344">
        <f>IF(J320=TRUE,MAX(H336,H337),H336)</f>
        <v>0.98831989167249124</v>
      </c>
      <c r="H512" s="162" t="str">
        <f>IF(G512="-","Falla Soporte Pernos",IF(ROUND(G512,2)&lt;=1,"OK","No Cumple"))</f>
        <v>OK</v>
      </c>
      <c r="I512" s="1"/>
    </row>
    <row r="513" spans="1:29" x14ac:dyDescent="0.2">
      <c r="A513" s="169">
        <v>6.2</v>
      </c>
      <c r="B513" s="393" t="s">
        <v>502</v>
      </c>
      <c r="C513" s="254"/>
      <c r="D513" s="254"/>
      <c r="E513" s="254"/>
      <c r="F513" s="258" t="s">
        <v>501</v>
      </c>
      <c r="G513" s="344">
        <f>H346</f>
        <v>0.35717020795063248</v>
      </c>
      <c r="H513" s="162" t="str">
        <f>IF(G513="-","ANCLAR",IF(ROUND(G513,2)&lt;=1,"OK","No Cumple"))</f>
        <v>OK</v>
      </c>
      <c r="I513" s="1"/>
    </row>
    <row r="514" spans="1:29" x14ac:dyDescent="0.2">
      <c r="A514" s="169">
        <v>6.4</v>
      </c>
      <c r="B514" s="393" t="s">
        <v>503</v>
      </c>
      <c r="C514" s="254"/>
      <c r="D514" s="254"/>
      <c r="E514" s="254"/>
      <c r="F514" s="258" t="s">
        <v>501</v>
      </c>
      <c r="G514" s="344">
        <f>H364</f>
        <v>0.25846545096355417</v>
      </c>
      <c r="H514" s="162" t="str">
        <f>IF(ROUND(G514,2)&lt;=1,"OK","No Cumple")</f>
        <v>OK</v>
      </c>
      <c r="I514" s="1"/>
    </row>
    <row r="515" spans="1:29" x14ac:dyDescent="0.2">
      <c r="A515" s="169">
        <v>6.4</v>
      </c>
      <c r="B515" s="393" t="s">
        <v>569</v>
      </c>
      <c r="C515" s="254"/>
      <c r="D515" s="254"/>
      <c r="E515" s="254"/>
      <c r="F515" s="391" t="s">
        <v>496</v>
      </c>
      <c r="G515" s="162" t="str">
        <f>IF(H328/10&gt;=H357,"OK","No Cumple")</f>
        <v>OK</v>
      </c>
      <c r="H515" s="162"/>
      <c r="I515" s="1"/>
    </row>
    <row r="516" spans="1:29" x14ac:dyDescent="0.2">
      <c r="A516" s="169">
        <v>7.1</v>
      </c>
      <c r="B516" s="393" t="s">
        <v>504</v>
      </c>
      <c r="C516" s="254"/>
      <c r="D516" s="254"/>
      <c r="E516" s="254"/>
      <c r="F516" s="258" t="s">
        <v>501</v>
      </c>
      <c r="G516" s="344">
        <f>H392</f>
        <v>0.88093132807754959</v>
      </c>
      <c r="H516" s="162" t="str">
        <f>IF(ROUND(G516,2)&lt;=1,"OK","No Cumple")</f>
        <v>OK</v>
      </c>
      <c r="I516" s="1"/>
    </row>
    <row r="517" spans="1:29" x14ac:dyDescent="0.2">
      <c r="A517" s="169">
        <v>7.2</v>
      </c>
      <c r="B517" s="393" t="s">
        <v>665</v>
      </c>
      <c r="C517" s="254"/>
      <c r="D517" s="254"/>
      <c r="E517" s="254"/>
      <c r="F517" s="258" t="s">
        <v>501</v>
      </c>
      <c r="G517" s="344">
        <f>MAX(H399,H403,H409)</f>
        <v>0.87409877698761695</v>
      </c>
      <c r="H517" s="162" t="str">
        <f>IF(ROUND(G517,2)&lt;=1,"OK","No Cumple")</f>
        <v>OK</v>
      </c>
      <c r="I517" s="1"/>
    </row>
    <row r="518" spans="1:29" x14ac:dyDescent="0.2">
      <c r="A518" s="413" t="s">
        <v>561</v>
      </c>
      <c r="B518" s="393" t="s">
        <v>557</v>
      </c>
      <c r="C518" s="254"/>
      <c r="D518" s="254"/>
      <c r="E518" s="254"/>
      <c r="F518" s="258" t="s">
        <v>558</v>
      </c>
      <c r="G518" s="412">
        <f>MIN(G472,G488)</f>
        <v>0.95575514341366541</v>
      </c>
      <c r="H518" s="162" t="str">
        <f>IF(ROUND(G518,2)&gt;=0.8,"&gt;=80%, Cumple","&lt;80%, No Cumple")</f>
        <v>&gt;=80%, Cumple</v>
      </c>
      <c r="I518" s="1"/>
    </row>
    <row r="519" spans="1:29" x14ac:dyDescent="0.2">
      <c r="A519" s="413" t="s">
        <v>561</v>
      </c>
      <c r="B519" s="393" t="s">
        <v>559</v>
      </c>
      <c r="C519" s="1"/>
      <c r="D519" s="1"/>
      <c r="E519" s="1"/>
      <c r="F519" s="258" t="s">
        <v>501</v>
      </c>
      <c r="G519" s="344">
        <f>MAX(G473/D459,G489/D459)</f>
        <v>0.56019736187207769</v>
      </c>
      <c r="H519" s="162" t="str">
        <f>IF(ROUND(G519,2)&lt;=1,"OK","No Cumple")</f>
        <v>OK</v>
      </c>
      <c r="I519" s="1"/>
    </row>
    <row r="520" spans="1:29" s="261" customFormat="1" x14ac:dyDescent="0.2">
      <c r="A520" s="3"/>
      <c r="B520" s="3"/>
      <c r="C520" s="3"/>
      <c r="D520" s="3"/>
      <c r="E520" s="3"/>
      <c r="F520" s="3"/>
      <c r="G520" s="3"/>
      <c r="H520" s="3"/>
      <c r="I520" s="3"/>
      <c r="AB520" s="277"/>
      <c r="AC520" s="277"/>
    </row>
    <row r="521" spans="1:29" s="261" customFormat="1" x14ac:dyDescent="0.2">
      <c r="A521" s="1"/>
      <c r="B521" s="1"/>
      <c r="C521" s="1"/>
      <c r="D521" s="1"/>
      <c r="E521" s="1"/>
      <c r="F521" s="1"/>
      <c r="G521" s="1"/>
      <c r="H521" s="1"/>
      <c r="I521" s="1"/>
      <c r="AB521" s="277"/>
      <c r="AC521" s="277"/>
    </row>
    <row r="522" spans="1:29" s="261" customFormat="1" x14ac:dyDescent="0.2">
      <c r="A522" s="1"/>
      <c r="B522" s="1"/>
      <c r="C522" s="1"/>
      <c r="D522" s="1"/>
      <c r="E522" s="1"/>
      <c r="F522" s="1"/>
      <c r="G522" s="1"/>
      <c r="H522" s="1"/>
      <c r="I522" s="1"/>
      <c r="AB522" s="277"/>
      <c r="AC522" s="277"/>
    </row>
    <row r="523" spans="1:29" s="261" customFormat="1" x14ac:dyDescent="0.2">
      <c r="A523" s="1"/>
      <c r="B523" s="1"/>
      <c r="C523" s="1"/>
      <c r="D523" s="1"/>
      <c r="E523" s="1"/>
      <c r="F523" s="1"/>
      <c r="G523" s="1"/>
      <c r="H523" s="1"/>
      <c r="I523" s="1"/>
      <c r="AB523" s="277"/>
      <c r="AC523" s="277"/>
    </row>
    <row r="524" spans="1:29" s="261" customFormat="1" x14ac:dyDescent="0.2">
      <c r="A524" s="1"/>
      <c r="B524" s="1"/>
      <c r="C524" s="1"/>
      <c r="D524" s="1"/>
      <c r="E524" s="1"/>
      <c r="F524" s="1"/>
      <c r="G524" s="1"/>
      <c r="H524" s="1"/>
      <c r="I524" s="1"/>
      <c r="AB524" s="277"/>
      <c r="AC524" s="277"/>
    </row>
    <row r="525" spans="1:29" s="261" customFormat="1" x14ac:dyDescent="0.2">
      <c r="A525" s="1"/>
      <c r="B525" s="1"/>
      <c r="C525" s="1"/>
      <c r="D525" s="1"/>
      <c r="E525" s="1"/>
      <c r="F525" s="1"/>
      <c r="G525" s="1"/>
      <c r="H525" s="1"/>
      <c r="I525" s="1"/>
    </row>
    <row r="526" spans="1:29" s="261" customFormat="1" x14ac:dyDescent="0.2">
      <c r="A526" s="1"/>
      <c r="B526" s="1"/>
      <c r="C526" s="1"/>
      <c r="D526" s="1"/>
      <c r="E526" s="1"/>
      <c r="F526" s="1"/>
      <c r="G526" s="1"/>
      <c r="H526" s="1"/>
      <c r="I526" s="1"/>
    </row>
    <row r="527" spans="1:29" s="261" customFormat="1" x14ac:dyDescent="0.2">
      <c r="A527" s="1"/>
      <c r="B527" s="1"/>
      <c r="C527" s="1"/>
      <c r="D527" s="1"/>
      <c r="E527" s="1"/>
      <c r="F527" s="1"/>
      <c r="G527" s="1"/>
      <c r="H527" s="1"/>
      <c r="I527" s="1"/>
    </row>
    <row r="528" spans="1:29" s="261" customFormat="1" x14ac:dyDescent="0.2">
      <c r="A528" s="1"/>
      <c r="B528" s="1"/>
      <c r="C528" s="1"/>
      <c r="D528" s="1"/>
      <c r="E528" s="1"/>
      <c r="F528" s="1"/>
      <c r="G528" s="1"/>
      <c r="H528" s="1"/>
      <c r="I528" s="1"/>
    </row>
    <row r="529" spans="1:9" s="261" customFormat="1" x14ac:dyDescent="0.2">
      <c r="A529" s="1"/>
      <c r="B529" s="1"/>
      <c r="C529" s="1"/>
      <c r="D529" s="1"/>
      <c r="E529" s="1"/>
      <c r="F529" s="1"/>
      <c r="G529" s="1"/>
      <c r="H529" s="1"/>
      <c r="I529" s="1"/>
    </row>
    <row r="530" spans="1:9" s="261" customFormat="1" x14ac:dyDescent="0.2">
      <c r="A530" s="1"/>
      <c r="B530" s="1"/>
      <c r="C530" s="1"/>
      <c r="D530" s="1"/>
      <c r="E530" s="1"/>
      <c r="F530" s="1"/>
      <c r="G530" s="1"/>
      <c r="H530" s="1"/>
      <c r="I530" s="1"/>
    </row>
    <row r="531" spans="1:9" s="261" customFormat="1" x14ac:dyDescent="0.2">
      <c r="A531" s="1"/>
      <c r="B531" s="1"/>
      <c r="C531" s="1"/>
      <c r="D531" s="1"/>
      <c r="E531" s="1"/>
      <c r="F531" s="1"/>
      <c r="G531" s="1"/>
      <c r="H531" s="1"/>
      <c r="I531" s="1"/>
    </row>
    <row r="532" spans="1:9" s="301" customFormat="1" ht="12.75" customHeight="1" x14ac:dyDescent="0.2">
      <c r="A532" s="1"/>
      <c r="B532" s="1"/>
      <c r="C532" s="1"/>
      <c r="D532" s="1"/>
      <c r="E532" s="1"/>
      <c r="F532" s="1"/>
      <c r="G532" s="1"/>
      <c r="H532" s="1"/>
      <c r="I532" s="1"/>
    </row>
    <row r="533" spans="1:9" s="301" customFormat="1" ht="12.75" customHeight="1" x14ac:dyDescent="0.2">
      <c r="A533" s="1"/>
      <c r="B533" s="1"/>
      <c r="C533" s="1"/>
      <c r="D533" s="1"/>
      <c r="E533" s="1"/>
      <c r="F533" s="1"/>
      <c r="G533" s="1"/>
      <c r="H533" s="1"/>
      <c r="I533" s="1"/>
    </row>
    <row r="534" spans="1:9" s="301" customFormat="1" ht="12.75" customHeight="1" x14ac:dyDescent="0.2">
      <c r="A534" s="1"/>
      <c r="B534" s="1"/>
      <c r="C534" s="1"/>
      <c r="D534" s="1"/>
      <c r="E534" s="1"/>
      <c r="F534" s="1"/>
      <c r="G534" s="1"/>
      <c r="H534" s="1"/>
      <c r="I534" s="1"/>
    </row>
    <row r="535" spans="1:9" s="301" customFormat="1" ht="12.75" customHeight="1" x14ac:dyDescent="0.2">
      <c r="A535" s="1"/>
      <c r="B535" s="1"/>
      <c r="C535" s="1"/>
      <c r="D535" s="1"/>
      <c r="E535" s="1"/>
      <c r="F535" s="1"/>
      <c r="G535" s="1"/>
      <c r="H535" s="1"/>
      <c r="I535" s="1"/>
    </row>
    <row r="536" spans="1:9" s="301" customFormat="1" ht="12.75" customHeight="1" x14ac:dyDescent="0.2">
      <c r="A536" s="1"/>
      <c r="B536" s="1"/>
      <c r="C536" s="1"/>
      <c r="D536" s="1"/>
      <c r="E536" s="1"/>
      <c r="F536" s="1"/>
      <c r="G536" s="1"/>
      <c r="H536" s="1"/>
      <c r="I536" s="1"/>
    </row>
    <row r="537" spans="1:9" s="301" customFormat="1" ht="12.75" customHeight="1" x14ac:dyDescent="0.2">
      <c r="A537" s="1"/>
      <c r="B537" s="1"/>
      <c r="C537" s="1"/>
      <c r="D537" s="1"/>
      <c r="E537" s="1"/>
      <c r="F537" s="1"/>
      <c r="G537" s="1"/>
      <c r="H537" s="1"/>
      <c r="I537" s="1"/>
    </row>
    <row r="538" spans="1:9" s="301" customFormat="1" ht="12.75" customHeight="1" x14ac:dyDescent="0.2">
      <c r="A538" s="1"/>
      <c r="B538" s="1"/>
      <c r="C538" s="1"/>
      <c r="D538" s="1"/>
      <c r="E538" s="1"/>
      <c r="F538" s="1"/>
      <c r="G538" s="1"/>
      <c r="H538" s="1"/>
      <c r="I538" s="1"/>
    </row>
    <row r="539" spans="1:9" s="310" customFormat="1" ht="12.75" customHeight="1" x14ac:dyDescent="0.2">
      <c r="A539" s="1"/>
      <c r="B539" s="1"/>
      <c r="C539" s="1"/>
      <c r="D539" s="1"/>
      <c r="E539" s="1"/>
      <c r="F539" s="1"/>
      <c r="G539" s="1"/>
      <c r="H539" s="1"/>
      <c r="I539" s="1"/>
    </row>
    <row r="540" spans="1:9" s="310" customFormat="1" ht="12.75" customHeight="1" x14ac:dyDescent="0.2">
      <c r="A540" s="1"/>
      <c r="B540" s="1"/>
      <c r="C540" s="1"/>
      <c r="D540" s="1"/>
      <c r="E540" s="1"/>
      <c r="F540" s="1"/>
      <c r="G540" s="1"/>
      <c r="H540" s="1"/>
      <c r="I540" s="1"/>
    </row>
    <row r="541" spans="1:9" s="310" customFormat="1" ht="12.75" customHeight="1" x14ac:dyDescent="0.2">
      <c r="A541" s="1"/>
      <c r="B541" s="1"/>
      <c r="C541" s="1"/>
      <c r="D541" s="1"/>
      <c r="E541" s="1"/>
      <c r="F541" s="1"/>
      <c r="G541" s="1"/>
      <c r="H541" s="1"/>
      <c r="I541" s="1"/>
    </row>
    <row r="542" spans="1:9" s="310" customFormat="1" ht="12.75" customHeight="1" x14ac:dyDescent="0.2">
      <c r="A542" s="1"/>
      <c r="B542" s="1"/>
      <c r="C542" s="1"/>
      <c r="D542" s="1"/>
      <c r="E542" s="1"/>
      <c r="F542" s="1"/>
      <c r="G542" s="1"/>
      <c r="H542" s="1"/>
      <c r="I542" s="1"/>
    </row>
    <row r="543" spans="1:9" s="310" customFormat="1" ht="12.75" customHeight="1" x14ac:dyDescent="0.2">
      <c r="A543" s="1"/>
      <c r="B543" s="1"/>
      <c r="C543" s="1"/>
      <c r="D543" s="1"/>
      <c r="E543" s="1"/>
      <c r="F543" s="1"/>
      <c r="G543" s="1"/>
      <c r="H543" s="1"/>
      <c r="I543" s="1"/>
    </row>
    <row r="544" spans="1:9" s="310" customFormat="1" ht="12.75" customHeight="1" x14ac:dyDescent="0.2">
      <c r="A544" s="1"/>
      <c r="B544" s="1"/>
      <c r="C544" s="1"/>
      <c r="D544" s="1"/>
      <c r="E544" s="1"/>
      <c r="F544" s="1"/>
      <c r="G544" s="1"/>
      <c r="H544" s="1"/>
      <c r="I544" s="1"/>
    </row>
    <row r="545" spans="1:19" s="310" customFormat="1" ht="12.75" customHeight="1" x14ac:dyDescent="0.2">
      <c r="A545" s="1"/>
      <c r="B545" s="1"/>
      <c r="C545" s="1"/>
      <c r="D545" s="1"/>
      <c r="E545" s="1"/>
      <c r="F545" s="1"/>
      <c r="G545" s="1"/>
      <c r="H545" s="1"/>
      <c r="I545" s="1"/>
    </row>
    <row r="546" spans="1:19" s="310" customFormat="1" ht="12.75" customHeight="1" x14ac:dyDescent="0.2">
      <c r="A546" s="1"/>
      <c r="B546" s="1"/>
      <c r="C546" s="1"/>
      <c r="D546" s="1"/>
      <c r="E546" s="1"/>
      <c r="F546" s="1"/>
      <c r="G546" s="1"/>
      <c r="H546" s="1"/>
      <c r="I546" s="1"/>
      <c r="S546" s="305"/>
    </row>
    <row r="547" spans="1:19" s="310" customFormat="1" ht="12.75" customHeight="1" x14ac:dyDescent="0.2">
      <c r="A547" s="1"/>
      <c r="B547" s="1"/>
      <c r="C547" s="1"/>
      <c r="D547" s="1"/>
      <c r="E547" s="1"/>
      <c r="F547" s="1"/>
      <c r="G547" s="1"/>
      <c r="H547" s="1"/>
      <c r="I547" s="1"/>
      <c r="S547" s="305"/>
    </row>
    <row r="548" spans="1:19" s="301" customFormat="1" ht="12.75" customHeight="1" x14ac:dyDescent="0.2">
      <c r="A548" s="1"/>
      <c r="B548" s="1"/>
      <c r="C548" s="1"/>
      <c r="D548" s="1"/>
      <c r="E548" s="1"/>
      <c r="F548" s="1"/>
      <c r="G548" s="1"/>
      <c r="H548" s="1"/>
      <c r="I548" s="1"/>
      <c r="J548" s="310"/>
      <c r="K548" s="332"/>
      <c r="L548" s="310"/>
      <c r="M548" s="310"/>
      <c r="N548" s="310"/>
      <c r="O548" s="310"/>
      <c r="P548" s="310"/>
      <c r="Q548" s="310"/>
      <c r="R548" s="310"/>
      <c r="S548" s="305"/>
    </row>
    <row r="549" spans="1:19" s="301" customFormat="1" ht="12.75" customHeight="1" x14ac:dyDescent="0.2">
      <c r="A549" s="1"/>
      <c r="B549" s="1"/>
      <c r="C549" s="1"/>
      <c r="D549" s="1"/>
      <c r="E549" s="1"/>
      <c r="F549" s="1"/>
      <c r="G549" s="1"/>
      <c r="H549" s="1"/>
      <c r="I549" s="1"/>
      <c r="J549" s="310"/>
      <c r="K549" s="310"/>
      <c r="L549" s="310"/>
      <c r="M549" s="310"/>
      <c r="N549" s="310"/>
      <c r="O549" s="310"/>
      <c r="P549" s="310"/>
      <c r="Q549" s="310"/>
      <c r="R549" s="310"/>
      <c r="S549" s="305"/>
    </row>
    <row r="550" spans="1:19" s="301" customFormat="1" ht="12.75" customHeight="1" x14ac:dyDescent="0.2">
      <c r="A550" s="1"/>
      <c r="B550" s="1"/>
      <c r="C550" s="1"/>
      <c r="D550" s="1"/>
      <c r="E550" s="1"/>
      <c r="F550" s="1"/>
      <c r="G550" s="1"/>
      <c r="H550" s="1"/>
      <c r="I550" s="1"/>
      <c r="J550" s="310"/>
      <c r="K550" s="310"/>
      <c r="L550" s="310"/>
      <c r="M550" s="310"/>
      <c r="N550" s="310"/>
      <c r="O550" s="310"/>
      <c r="P550" s="310"/>
      <c r="Q550" s="310"/>
      <c r="R550" s="310"/>
      <c r="S550" s="305"/>
    </row>
    <row r="551" spans="1:19" s="261" customFormat="1" x14ac:dyDescent="0.2">
      <c r="A551" s="1"/>
      <c r="B551" s="1"/>
      <c r="C551" s="1"/>
      <c r="D551" s="1"/>
      <c r="E551" s="1"/>
      <c r="F551" s="1"/>
      <c r="G551" s="1"/>
      <c r="H551" s="1"/>
      <c r="I551" s="1"/>
      <c r="J551" s="277"/>
      <c r="K551" s="277"/>
      <c r="L551" s="277"/>
      <c r="M551" s="277"/>
      <c r="N551" s="277"/>
      <c r="O551" s="277"/>
      <c r="P551" s="277"/>
      <c r="Q551" s="277"/>
      <c r="R551" s="277"/>
      <c r="S551" s="338"/>
    </row>
    <row r="552" spans="1:19" s="261" customFormat="1" x14ac:dyDescent="0.2">
      <c r="A552" s="1"/>
      <c r="B552" s="1"/>
      <c r="C552" s="1"/>
      <c r="D552" s="1"/>
      <c r="E552" s="1"/>
      <c r="F552" s="1"/>
      <c r="G552" s="1"/>
      <c r="H552" s="1"/>
      <c r="I552" s="1"/>
      <c r="J552" s="277"/>
      <c r="K552" s="277"/>
      <c r="L552" s="277"/>
      <c r="M552" s="277"/>
      <c r="N552" s="277"/>
      <c r="O552" s="277"/>
      <c r="P552" s="277"/>
      <c r="Q552" s="277"/>
      <c r="R552" s="277"/>
      <c r="S552" s="338"/>
    </row>
    <row r="553" spans="1:19" s="261" customFormat="1" x14ac:dyDescent="0.2">
      <c r="A553" s="1"/>
      <c r="B553" s="1"/>
      <c r="C553" s="1"/>
      <c r="D553" s="1"/>
      <c r="E553" s="1"/>
      <c r="F553" s="1"/>
      <c r="G553" s="1"/>
      <c r="H553" s="1"/>
      <c r="I553" s="1"/>
      <c r="J553" s="277"/>
      <c r="K553" s="277"/>
      <c r="L553" s="277"/>
      <c r="M553" s="277"/>
      <c r="N553" s="277"/>
      <c r="O553" s="277"/>
      <c r="P553" s="277"/>
      <c r="Q553" s="277"/>
      <c r="R553" s="277"/>
      <c r="S553" s="338"/>
    </row>
    <row r="554" spans="1:19" s="261" customFormat="1" x14ac:dyDescent="0.2">
      <c r="A554" s="1"/>
      <c r="B554" s="1"/>
      <c r="C554" s="1"/>
      <c r="D554" s="1"/>
      <c r="E554" s="1"/>
      <c r="F554" s="1"/>
      <c r="G554" s="1"/>
      <c r="H554" s="1"/>
      <c r="I554" s="1"/>
      <c r="J554" s="277"/>
      <c r="K554" s="277"/>
      <c r="L554" s="277"/>
      <c r="M554" s="277"/>
      <c r="N554" s="277"/>
      <c r="O554" s="277"/>
      <c r="P554" s="277"/>
      <c r="Q554" s="277"/>
      <c r="R554" s="277"/>
      <c r="S554" s="338"/>
    </row>
    <row r="555" spans="1:19" s="261" customFormat="1" x14ac:dyDescent="0.2">
      <c r="A555" s="1"/>
      <c r="B555" s="1"/>
      <c r="C555" s="1"/>
      <c r="D555" s="1"/>
      <c r="E555" s="1"/>
      <c r="F555" s="1"/>
      <c r="G555" s="1"/>
      <c r="H555" s="1"/>
      <c r="I555" s="1"/>
      <c r="J555" s="277"/>
      <c r="K555" s="277"/>
      <c r="L555" s="277"/>
      <c r="M555" s="277"/>
      <c r="N555" s="277"/>
      <c r="O555" s="277"/>
      <c r="P555" s="277"/>
      <c r="Q555" s="277"/>
      <c r="R555" s="277"/>
      <c r="S555" s="338"/>
    </row>
    <row r="556" spans="1:19" s="261" customFormat="1" x14ac:dyDescent="0.2">
      <c r="A556" s="1"/>
      <c r="B556" s="1"/>
      <c r="C556" s="1"/>
      <c r="D556" s="1"/>
      <c r="E556" s="1"/>
      <c r="F556" s="1"/>
      <c r="G556" s="1"/>
      <c r="H556" s="1"/>
      <c r="I556" s="1"/>
      <c r="J556" s="277"/>
      <c r="K556" s="277"/>
      <c r="L556" s="277"/>
      <c r="M556" s="277"/>
      <c r="N556" s="277"/>
      <c r="O556" s="277"/>
      <c r="P556" s="277"/>
      <c r="Q556" s="277"/>
      <c r="R556" s="277"/>
      <c r="S556" s="338"/>
    </row>
    <row r="557" spans="1:19" s="261" customFormat="1" x14ac:dyDescent="0.2">
      <c r="A557" s="1"/>
      <c r="B557" s="1"/>
      <c r="C557" s="1"/>
      <c r="D557" s="1"/>
      <c r="E557" s="1"/>
      <c r="F557" s="1"/>
      <c r="G557" s="1"/>
      <c r="H557" s="1"/>
      <c r="I557" s="1"/>
      <c r="J557" s="277"/>
      <c r="K557" s="277"/>
      <c r="L557" s="277"/>
      <c r="M557" s="277"/>
      <c r="N557" s="277"/>
      <c r="O557" s="277"/>
      <c r="P557" s="277"/>
      <c r="Q557" s="277"/>
      <c r="R557" s="277"/>
      <c r="S557" s="338"/>
    </row>
    <row r="558" spans="1:19" s="261" customFormat="1" x14ac:dyDescent="0.2">
      <c r="A558" s="1"/>
      <c r="B558" s="1"/>
      <c r="C558" s="1"/>
      <c r="D558" s="1"/>
      <c r="E558" s="1"/>
      <c r="F558" s="1"/>
      <c r="G558" s="1"/>
      <c r="H558" s="1"/>
      <c r="I558" s="1"/>
      <c r="J558" s="277"/>
      <c r="K558" s="277"/>
      <c r="L558" s="277"/>
      <c r="M558" s="277"/>
      <c r="N558" s="277"/>
      <c r="O558" s="277"/>
      <c r="P558" s="277"/>
      <c r="Q558" s="277"/>
      <c r="R558" s="277"/>
      <c r="S558" s="338"/>
    </row>
    <row r="559" spans="1:19" s="261" customFormat="1" x14ac:dyDescent="0.2">
      <c r="A559" s="1"/>
      <c r="B559" s="1"/>
      <c r="C559" s="1"/>
      <c r="D559" s="1"/>
      <c r="E559" s="1"/>
      <c r="F559" s="1"/>
      <c r="G559" s="1"/>
      <c r="H559" s="1"/>
      <c r="I559" s="1"/>
      <c r="J559" s="301"/>
      <c r="K559" s="301"/>
      <c r="L559" s="301"/>
      <c r="M559" s="277"/>
      <c r="N559" s="277"/>
      <c r="O559" s="277"/>
      <c r="P559" s="277"/>
      <c r="Q559" s="277"/>
      <c r="R559" s="277"/>
      <c r="S559" s="338"/>
    </row>
    <row r="560" spans="1:19" s="261" customFormat="1" x14ac:dyDescent="0.2">
      <c r="A560" s="1"/>
      <c r="B560" s="1"/>
      <c r="C560" s="1"/>
      <c r="D560" s="1"/>
      <c r="E560" s="1"/>
      <c r="F560" s="1"/>
      <c r="G560" s="1"/>
      <c r="H560" s="1"/>
      <c r="I560" s="1"/>
      <c r="M560" s="277"/>
      <c r="N560" s="277"/>
      <c r="O560" s="277"/>
      <c r="P560" s="277"/>
      <c r="Q560" s="277"/>
      <c r="R560" s="277"/>
      <c r="S560" s="338"/>
    </row>
    <row r="561" spans="1:64" s="261" customFormat="1" x14ac:dyDescent="0.2">
      <c r="A561" s="1"/>
      <c r="B561" s="1"/>
      <c r="C561" s="1"/>
      <c r="D561" s="1"/>
      <c r="E561" s="1"/>
      <c r="F561" s="1"/>
      <c r="G561" s="1"/>
      <c r="H561" s="1"/>
      <c r="I561" s="1"/>
      <c r="M561" s="277"/>
      <c r="N561" s="277"/>
      <c r="O561" s="277"/>
      <c r="P561" s="277"/>
      <c r="Q561" s="277"/>
      <c r="R561" s="277"/>
      <c r="S561" s="338"/>
    </row>
    <row r="562" spans="1:64" s="261" customFormat="1" x14ac:dyDescent="0.2">
      <c r="A562" s="1"/>
      <c r="B562" s="1"/>
      <c r="C562" s="1"/>
      <c r="D562" s="1"/>
      <c r="E562" s="1"/>
      <c r="F562" s="1"/>
      <c r="G562" s="1"/>
      <c r="H562" s="1"/>
      <c r="I562" s="1"/>
      <c r="M562" s="277"/>
      <c r="N562" s="277"/>
      <c r="O562" s="277"/>
      <c r="P562" s="277"/>
      <c r="Q562" s="277"/>
      <c r="R562" s="277"/>
      <c r="S562" s="338"/>
    </row>
    <row r="563" spans="1:64" s="261" customFormat="1" x14ac:dyDescent="0.2">
      <c r="A563" s="15"/>
      <c r="B563" s="1"/>
      <c r="C563" s="1"/>
      <c r="D563" s="1"/>
      <c r="E563" s="1"/>
      <c r="F563" s="1"/>
      <c r="G563" s="1"/>
      <c r="H563" s="1"/>
      <c r="I563" s="1"/>
      <c r="M563" s="277"/>
      <c r="N563" s="277"/>
      <c r="O563" s="277"/>
      <c r="P563" s="277"/>
      <c r="Q563" s="277"/>
      <c r="R563" s="277"/>
      <c r="S563" s="338"/>
    </row>
    <row r="564" spans="1:64" s="261" customFormat="1" x14ac:dyDescent="0.2">
      <c r="A564" s="15"/>
      <c r="B564" s="15"/>
      <c r="C564" s="15"/>
      <c r="D564" s="15"/>
      <c r="E564" s="15"/>
      <c r="F564" s="15"/>
      <c r="G564" s="15"/>
      <c r="H564" s="15"/>
      <c r="I564" s="15"/>
      <c r="M564" s="277"/>
      <c r="N564" s="277"/>
      <c r="O564" s="277"/>
      <c r="P564" s="277"/>
      <c r="Q564" s="277"/>
      <c r="R564" s="277"/>
      <c r="S564" s="338"/>
    </row>
    <row r="565" spans="1:64" s="261" customFormat="1" x14ac:dyDescent="0.2">
      <c r="A565" s="15"/>
      <c r="B565" s="15"/>
      <c r="C565" s="15"/>
      <c r="D565" s="15"/>
      <c r="E565" s="15"/>
      <c r="F565" s="15"/>
      <c r="G565" s="15"/>
      <c r="H565" s="15"/>
      <c r="I565" s="15"/>
      <c r="M565" s="277"/>
      <c r="N565" s="277"/>
      <c r="O565" s="277"/>
      <c r="P565" s="277"/>
      <c r="Q565" s="277"/>
      <c r="R565" s="277"/>
      <c r="S565" s="338"/>
    </row>
    <row r="566" spans="1:64" s="261" customFormat="1" x14ac:dyDescent="0.2">
      <c r="A566" s="15"/>
      <c r="B566" s="15"/>
      <c r="C566" s="15"/>
      <c r="D566" s="15"/>
      <c r="E566" s="15"/>
      <c r="F566" s="15"/>
      <c r="G566" s="15"/>
      <c r="H566" s="15"/>
      <c r="I566" s="15"/>
      <c r="M566" s="277"/>
      <c r="N566" s="277"/>
      <c r="O566" s="277"/>
      <c r="P566" s="277"/>
      <c r="Q566" s="277"/>
      <c r="R566" s="277"/>
      <c r="S566" s="338"/>
    </row>
    <row r="567" spans="1:64" s="261" customFormat="1" x14ac:dyDescent="0.2">
      <c r="A567" s="15"/>
      <c r="B567" s="15"/>
      <c r="C567" s="15"/>
      <c r="D567" s="15"/>
      <c r="E567" s="15"/>
      <c r="F567" s="15"/>
      <c r="G567" s="15"/>
      <c r="H567" s="15"/>
      <c r="I567" s="15"/>
      <c r="J567" s="310"/>
      <c r="K567" s="310"/>
      <c r="L567" s="310"/>
      <c r="M567" s="277"/>
      <c r="N567" s="277"/>
      <c r="O567" s="277"/>
      <c r="P567" s="277"/>
      <c r="Q567" s="277"/>
      <c r="R567" s="277"/>
      <c r="S567" s="338"/>
    </row>
    <row r="568" spans="1:64" s="261" customFormat="1" x14ac:dyDescent="0.2">
      <c r="A568" s="15"/>
      <c r="B568" s="15"/>
      <c r="C568" s="15"/>
      <c r="D568" s="15"/>
      <c r="E568" s="15"/>
      <c r="F568" s="15"/>
      <c r="G568" s="15"/>
      <c r="H568" s="15"/>
      <c r="I568" s="15"/>
      <c r="J568" s="310"/>
      <c r="K568" s="310"/>
      <c r="L568" s="310"/>
      <c r="M568" s="277"/>
      <c r="N568" s="277"/>
      <c r="O568" s="277"/>
      <c r="P568" s="277"/>
      <c r="Q568" s="277"/>
      <c r="R568" s="277"/>
      <c r="S568" s="338"/>
    </row>
    <row r="569" spans="1:64" s="166" customFormat="1" x14ac:dyDescent="0.2">
      <c r="A569" s="15"/>
      <c r="B569" s="15"/>
      <c r="C569" s="15"/>
      <c r="D569" s="15"/>
      <c r="E569" s="15"/>
      <c r="F569" s="15"/>
      <c r="G569" s="15"/>
      <c r="H569" s="15"/>
      <c r="I569" s="15"/>
      <c r="J569" s="310"/>
      <c r="K569" s="332"/>
      <c r="L569" s="310"/>
      <c r="M569" s="81"/>
      <c r="N569" s="81"/>
      <c r="O569" s="81"/>
      <c r="P569" s="81"/>
      <c r="Q569" s="81"/>
      <c r="R569" s="81"/>
      <c r="S569" s="269"/>
      <c r="T569" s="270"/>
      <c r="U569" s="270"/>
      <c r="V569" s="270"/>
      <c r="W569" s="270"/>
      <c r="X569" s="270"/>
      <c r="Y569" s="270"/>
      <c r="Z569" s="270"/>
      <c r="AA569" s="270"/>
      <c r="AB569" s="270"/>
      <c r="AC569" s="270"/>
      <c r="AD569" s="270"/>
      <c r="AE569" s="270"/>
      <c r="AF569" s="270"/>
      <c r="AG569" s="270"/>
      <c r="AH569" s="270"/>
      <c r="AI569" s="270"/>
      <c r="AJ569" s="270"/>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2"/>
      <c r="BH569" s="22"/>
      <c r="BI569" s="22"/>
      <c r="BJ569" s="22"/>
      <c r="BK569" s="22"/>
      <c r="BL569" s="22"/>
    </row>
    <row r="570" spans="1:64" s="166" customFormat="1" x14ac:dyDescent="0.2">
      <c r="A570" s="15"/>
      <c r="B570" s="15"/>
      <c r="C570" s="15"/>
      <c r="D570" s="15"/>
      <c r="E570" s="15"/>
      <c r="F570" s="15"/>
      <c r="G570" s="15"/>
      <c r="H570" s="15"/>
      <c r="I570" s="15"/>
      <c r="J570" s="310"/>
      <c r="K570" s="310"/>
      <c r="L570" s="310"/>
      <c r="M570" s="81"/>
      <c r="N570" s="81"/>
      <c r="O570" s="81"/>
      <c r="P570" s="81"/>
      <c r="Q570" s="81"/>
      <c r="R570" s="81"/>
      <c r="S570" s="269"/>
      <c r="T570" s="270"/>
      <c r="U570" s="270"/>
      <c r="V570" s="270"/>
      <c r="W570" s="270"/>
      <c r="X570" s="270"/>
      <c r="Y570" s="270"/>
      <c r="Z570" s="270"/>
      <c r="AA570" s="270"/>
      <c r="AB570" s="270"/>
      <c r="AC570" s="270"/>
      <c r="AD570" s="270"/>
      <c r="AE570" s="270"/>
      <c r="AF570" s="270"/>
      <c r="AG570" s="270"/>
      <c r="AH570" s="270"/>
      <c r="AI570" s="270"/>
      <c r="AJ570" s="270"/>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2"/>
      <c r="BH570" s="22"/>
      <c r="BI570" s="22"/>
      <c r="BJ570" s="22"/>
      <c r="BK570" s="22"/>
      <c r="BL570" s="22"/>
    </row>
    <row r="571" spans="1:64" s="166" customFormat="1" x14ac:dyDescent="0.2">
      <c r="A571" s="15"/>
      <c r="B571" s="15"/>
      <c r="C571" s="15"/>
      <c r="D571" s="15"/>
      <c r="E571" s="15"/>
      <c r="F571" s="15"/>
      <c r="G571" s="15"/>
      <c r="H571" s="15"/>
      <c r="I571" s="15"/>
      <c r="J571" s="310"/>
      <c r="K571" s="310"/>
      <c r="L571" s="310"/>
      <c r="M571" s="81"/>
      <c r="N571" s="81"/>
      <c r="O571" s="81"/>
      <c r="P571" s="81"/>
      <c r="Q571" s="81"/>
      <c r="R571" s="81"/>
      <c r="S571" s="269"/>
      <c r="T571" s="270"/>
      <c r="U571" s="270"/>
      <c r="V571" s="270"/>
      <c r="W571" s="270"/>
      <c r="X571" s="270"/>
      <c r="Y571" s="270"/>
      <c r="Z571" s="270"/>
      <c r="AA571" s="270"/>
      <c r="AB571" s="270"/>
      <c r="AC571" s="270"/>
      <c r="AD571" s="270"/>
      <c r="AE571" s="270"/>
      <c r="AF571" s="270"/>
      <c r="AG571" s="270"/>
      <c r="AH571" s="270"/>
      <c r="AI571" s="270"/>
      <c r="AJ571" s="270"/>
      <c r="AK571" s="270"/>
      <c r="AL571" s="270"/>
      <c r="AM571" s="270"/>
      <c r="AN571" s="270"/>
      <c r="AO571" s="270"/>
      <c r="AP571" s="270"/>
      <c r="AQ571" s="270"/>
      <c r="AR571" s="270"/>
      <c r="AS571" s="270"/>
      <c r="AT571" s="270"/>
      <c r="AU571" s="270"/>
      <c r="AV571" s="270"/>
      <c r="AW571" s="270"/>
      <c r="AX571" s="270"/>
      <c r="AY571" s="270"/>
      <c r="AZ571" s="270"/>
      <c r="BA571" s="270"/>
      <c r="BB571" s="270"/>
      <c r="BC571" s="270"/>
      <c r="BD571" s="270"/>
      <c r="BE571" s="270"/>
      <c r="BF571" s="270"/>
      <c r="BG571" s="22"/>
      <c r="BH571" s="22"/>
      <c r="BI571" s="22"/>
      <c r="BJ571" s="22"/>
      <c r="BK571" s="22"/>
      <c r="BL571" s="22"/>
    </row>
    <row r="572" spans="1:64" s="166" customFormat="1" x14ac:dyDescent="0.2">
      <c r="A572" s="15"/>
      <c r="B572" s="15"/>
      <c r="C572" s="15"/>
      <c r="D572" s="15"/>
      <c r="E572" s="15"/>
      <c r="F572" s="15"/>
      <c r="G572" s="15"/>
      <c r="H572" s="15"/>
      <c r="I572" s="15"/>
      <c r="J572" s="277"/>
      <c r="K572" s="277"/>
      <c r="L572" s="277"/>
      <c r="M572" s="81"/>
      <c r="N572" s="81"/>
      <c r="O572" s="81"/>
      <c r="P572" s="81"/>
      <c r="Q572" s="81"/>
      <c r="R572" s="81"/>
      <c r="S572" s="269"/>
      <c r="T572" s="270"/>
      <c r="U572" s="270"/>
      <c r="V572" s="270"/>
      <c r="W572" s="270"/>
      <c r="X572" s="270"/>
      <c r="Y572" s="270"/>
      <c r="Z572" s="270"/>
      <c r="AA572" s="270"/>
      <c r="AB572" s="270"/>
      <c r="AC572" s="270"/>
      <c r="AD572" s="270"/>
      <c r="AE572" s="270"/>
      <c r="AF572" s="270"/>
      <c r="AG572" s="270"/>
      <c r="AH572" s="270"/>
      <c r="AI572" s="270"/>
      <c r="AJ572" s="270"/>
      <c r="AK572" s="270"/>
      <c r="AL572" s="270"/>
      <c r="AM572" s="270"/>
      <c r="AN572" s="270"/>
      <c r="AO572" s="270"/>
      <c r="AP572" s="270"/>
      <c r="AQ572" s="270"/>
      <c r="AR572" s="270"/>
      <c r="AS572" s="270"/>
      <c r="AT572" s="270"/>
      <c r="AU572" s="270"/>
      <c r="AV572" s="270"/>
      <c r="AW572" s="270"/>
      <c r="AX572" s="270"/>
      <c r="AY572" s="270"/>
      <c r="AZ572" s="270"/>
      <c r="BA572" s="270"/>
      <c r="BB572" s="270"/>
      <c r="BC572" s="270"/>
      <c r="BD572" s="270"/>
      <c r="BE572" s="270"/>
      <c r="BF572" s="270"/>
      <c r="BG572" s="22"/>
      <c r="BH572" s="22"/>
      <c r="BI572" s="22"/>
      <c r="BJ572" s="22"/>
      <c r="BK572" s="22"/>
      <c r="BL572" s="22"/>
    </row>
  </sheetData>
  <sheetProtection algorithmName="SHA-512" hashValue="d5V+E9zMssum0eAixMZ7GwANf6rcawbTcm+lDGQYBBoLImwoh6BLmgC6RGhRSBvIQU0dlPYearwQes2Gq5vvkg==" saltValue="GDwPIzgIXPAdQTEmB62NRw==" spinCount="100000" sheet="1" objects="1" scenarios="1" formatCells="0"/>
  <mergeCells count="45">
    <mergeCell ref="O77:S77"/>
    <mergeCell ref="U77:Y77"/>
    <mergeCell ref="O78:S78"/>
    <mergeCell ref="U78:Y78"/>
    <mergeCell ref="S290:U290"/>
    <mergeCell ref="B486:D486"/>
    <mergeCell ref="H480:I480"/>
    <mergeCell ref="C171:D171"/>
    <mergeCell ref="C173:D173"/>
    <mergeCell ref="C178:D178"/>
    <mergeCell ref="C177:D177"/>
    <mergeCell ref="C174:D174"/>
    <mergeCell ref="C175:D175"/>
    <mergeCell ref="E337:F337"/>
    <mergeCell ref="H263:I263"/>
    <mergeCell ref="F172:G172"/>
    <mergeCell ref="B470:D470"/>
    <mergeCell ref="H268:I268"/>
    <mergeCell ref="C176:D176"/>
    <mergeCell ref="C172:D172"/>
    <mergeCell ref="E171:H171"/>
    <mergeCell ref="E48:I48"/>
    <mergeCell ref="E43:I43"/>
    <mergeCell ref="E44:I44"/>
    <mergeCell ref="A81:I81"/>
    <mergeCell ref="B155:B157"/>
    <mergeCell ref="C155:G155"/>
    <mergeCell ref="D156:F156"/>
    <mergeCell ref="E49:I49"/>
    <mergeCell ref="B154:C154"/>
    <mergeCell ref="E46:I46"/>
    <mergeCell ref="E47:I47"/>
    <mergeCell ref="A26:I26"/>
    <mergeCell ref="A28:I28"/>
    <mergeCell ref="A27:I27"/>
    <mergeCell ref="A29:I29"/>
    <mergeCell ref="E36:I36"/>
    <mergeCell ref="E42:I42"/>
    <mergeCell ref="E45:I45"/>
    <mergeCell ref="A34:C34"/>
    <mergeCell ref="E37:I37"/>
    <mergeCell ref="E38:I38"/>
    <mergeCell ref="E39:I39"/>
    <mergeCell ref="E40:I40"/>
    <mergeCell ref="E41:I41"/>
  </mergeCells>
  <phoneticPr fontId="0" type="noConversion"/>
  <conditionalFormatting sqref="E151">
    <cfRule type="expression" dxfId="2" priority="1" stopIfTrue="1">
      <formula>$K$149=FALSE</formula>
    </cfRule>
  </conditionalFormatting>
  <conditionalFormatting sqref="B486:B492 C487:D492">
    <cfRule type="expression" dxfId="1" priority="2" stopIfTrue="1">
      <formula>"$D$516=100%"</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11" manualBreakCount="11">
    <brk id="32" max="8" man="1"/>
    <brk id="80" max="8" man="1"/>
    <brk id="132" max="8" man="1"/>
    <brk id="183" max="8" man="1"/>
    <brk id="236" max="8" man="1"/>
    <brk id="289" max="8" man="1"/>
    <brk id="337" max="8" man="1"/>
    <brk id="378" max="8" man="1"/>
    <brk id="411" max="8" man="1"/>
    <brk id="463" max="8" man="1"/>
    <brk id="502" max="8" man="1"/>
  </rowBreaks>
  <colBreaks count="1" manualBreakCount="1">
    <brk id="9" min="6" max="536" man="1"/>
  </colBreaks>
  <drawing r:id="rId2"/>
  <legacyDrawing r:id="rId3"/>
  <oleObjects>
    <mc:AlternateContent xmlns:mc="http://schemas.openxmlformats.org/markup-compatibility/2006">
      <mc:Choice Requires="x14">
        <oleObject progId="Equation.3" shapeId="1267" r:id="rId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267" r:id="rId4"/>
      </mc:Fallback>
    </mc:AlternateContent>
    <mc:AlternateContent xmlns:mc="http://schemas.openxmlformats.org/markup-compatibility/2006">
      <mc:Choice Requires="x14">
        <oleObject progId="Equation.3" shapeId="1268" r:id="rId6">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268" r:id="rId6"/>
      </mc:Fallback>
    </mc:AlternateContent>
    <mc:AlternateContent xmlns:mc="http://schemas.openxmlformats.org/markup-compatibility/2006">
      <mc:Choice Requires="x14">
        <oleObject progId="Equation.3" shapeId="1275" r:id="rId8">
          <objectPr defaultSize="0" autoPict="0" r:id="rId9">
            <anchor moveWithCells="1" sizeWithCells="1">
              <from>
                <xdr:col>5</xdr:col>
                <xdr:colOff>57150</xdr:colOff>
                <xdr:row>210</xdr:row>
                <xdr:rowOff>95250</xdr:rowOff>
              </from>
              <to>
                <xdr:col>8</xdr:col>
                <xdr:colOff>57150</xdr:colOff>
                <xdr:row>212</xdr:row>
                <xdr:rowOff>152400</xdr:rowOff>
              </to>
            </anchor>
          </objectPr>
        </oleObject>
      </mc:Choice>
      <mc:Fallback>
        <oleObject progId="Equation.3" shapeId="1275" r:id="rId8"/>
      </mc:Fallback>
    </mc:AlternateContent>
    <mc:AlternateContent xmlns:mc="http://schemas.openxmlformats.org/markup-compatibility/2006">
      <mc:Choice Requires="x14">
        <oleObject progId="Equation.3" shapeId="1278" r:id="rId10">
          <objectPr defaultSize="0" autoPict="0" r:id="rId11">
            <anchor moveWithCells="1" sizeWithCells="1">
              <from>
                <xdr:col>1</xdr:col>
                <xdr:colOff>438150</xdr:colOff>
                <xdr:row>232</xdr:row>
                <xdr:rowOff>0</xdr:rowOff>
              </from>
              <to>
                <xdr:col>2</xdr:col>
                <xdr:colOff>428625</xdr:colOff>
                <xdr:row>233</xdr:row>
                <xdr:rowOff>0</xdr:rowOff>
              </to>
            </anchor>
          </objectPr>
        </oleObject>
      </mc:Choice>
      <mc:Fallback>
        <oleObject progId="Equation.3" shapeId="1278" r:id="rId10"/>
      </mc:Fallback>
    </mc:AlternateContent>
    <mc:AlternateContent xmlns:mc="http://schemas.openxmlformats.org/markup-compatibility/2006">
      <mc:Choice Requires="x14">
        <oleObject progId="Equation.3" shapeId="1279" r:id="rId12">
          <objectPr defaultSize="0" autoPict="0" r:id="rId13">
            <anchor moveWithCells="1" sizeWithCells="1">
              <from>
                <xdr:col>4</xdr:col>
                <xdr:colOff>0</xdr:colOff>
                <xdr:row>249</xdr:row>
                <xdr:rowOff>123825</xdr:rowOff>
              </from>
              <to>
                <xdr:col>7</xdr:col>
                <xdr:colOff>552450</xdr:colOff>
                <xdr:row>250</xdr:row>
                <xdr:rowOff>133350</xdr:rowOff>
              </to>
            </anchor>
          </objectPr>
        </oleObject>
      </mc:Choice>
      <mc:Fallback>
        <oleObject progId="Equation.3" shapeId="1279" r:id="rId12"/>
      </mc:Fallback>
    </mc:AlternateContent>
    <mc:AlternateContent xmlns:mc="http://schemas.openxmlformats.org/markup-compatibility/2006">
      <mc:Choice Requires="x14">
        <oleObject progId="Equation.3" shapeId="1280" r:id="rId14">
          <objectPr defaultSize="0" autoPict="0" r:id="rId15">
            <anchor moveWithCells="1" sizeWithCells="1">
              <from>
                <xdr:col>4</xdr:col>
                <xdr:colOff>47625</xdr:colOff>
                <xdr:row>250</xdr:row>
                <xdr:rowOff>114300</xdr:rowOff>
              </from>
              <to>
                <xdr:col>6</xdr:col>
                <xdr:colOff>628650</xdr:colOff>
                <xdr:row>252</xdr:row>
                <xdr:rowOff>0</xdr:rowOff>
              </to>
            </anchor>
          </objectPr>
        </oleObject>
      </mc:Choice>
      <mc:Fallback>
        <oleObject progId="Equation.3" shapeId="1280" r:id="rId14"/>
      </mc:Fallback>
    </mc:AlternateContent>
    <mc:AlternateContent xmlns:mc="http://schemas.openxmlformats.org/markup-compatibility/2006">
      <mc:Choice Requires="x14">
        <oleObject progId="Equation.3" shapeId="1281" r:id="rId16">
          <objectPr defaultSize="0" autoPict="0" r:id="rId17">
            <anchor moveWithCells="1" sizeWithCells="1">
              <from>
                <xdr:col>1</xdr:col>
                <xdr:colOff>247650</xdr:colOff>
                <xdr:row>210</xdr:row>
                <xdr:rowOff>142875</xdr:rowOff>
              </from>
              <to>
                <xdr:col>2</xdr:col>
                <xdr:colOff>600075</xdr:colOff>
                <xdr:row>214</xdr:row>
                <xdr:rowOff>104775</xdr:rowOff>
              </to>
            </anchor>
          </objectPr>
        </oleObject>
      </mc:Choice>
      <mc:Fallback>
        <oleObject progId="Equation.3" shapeId="1281" r:id="rId16"/>
      </mc:Fallback>
    </mc:AlternateContent>
    <mc:AlternateContent xmlns:mc="http://schemas.openxmlformats.org/markup-compatibility/2006">
      <mc:Choice Requires="x14">
        <oleObject progId="Equation.3" shapeId="1282" r:id="rId18">
          <objectPr defaultSize="0" autoPict="0" r:id="rId19">
            <anchor moveWithCells="1" sizeWithCells="1">
              <from>
                <xdr:col>1</xdr:col>
                <xdr:colOff>219075</xdr:colOff>
                <xdr:row>215</xdr:row>
                <xdr:rowOff>38100</xdr:rowOff>
              </from>
              <to>
                <xdr:col>3</xdr:col>
                <xdr:colOff>381000</xdr:colOff>
                <xdr:row>217</xdr:row>
                <xdr:rowOff>57150</xdr:rowOff>
              </to>
            </anchor>
          </objectPr>
        </oleObject>
      </mc:Choice>
      <mc:Fallback>
        <oleObject progId="Equation.3" shapeId="1282" r:id="rId18"/>
      </mc:Fallback>
    </mc:AlternateContent>
    <mc:AlternateContent xmlns:mc="http://schemas.openxmlformats.org/markup-compatibility/2006">
      <mc:Choice Requires="x14">
        <oleObject progId="Equation.3" shapeId="1285" r:id="rId20">
          <objectPr defaultSize="0" autoPict="0" r:id="rId21">
            <anchor moveWithCells="1" sizeWithCells="1">
              <from>
                <xdr:col>1</xdr:col>
                <xdr:colOff>142875</xdr:colOff>
                <xdr:row>218</xdr:row>
                <xdr:rowOff>85725</xdr:rowOff>
              </from>
              <to>
                <xdr:col>3</xdr:col>
                <xdr:colOff>400050</xdr:colOff>
                <xdr:row>222</xdr:row>
                <xdr:rowOff>47625</xdr:rowOff>
              </to>
            </anchor>
          </objectPr>
        </oleObject>
      </mc:Choice>
      <mc:Fallback>
        <oleObject progId="Equation.3" shapeId="1285" r:id="rId20"/>
      </mc:Fallback>
    </mc:AlternateContent>
    <mc:AlternateContent xmlns:mc="http://schemas.openxmlformats.org/markup-compatibility/2006">
      <mc:Choice Requires="x14">
        <oleObject progId="Equation.3" shapeId="1286" r:id="rId22">
          <objectPr defaultSize="0" autoPict="0" r:id="rId23">
            <anchor moveWithCells="1" sizeWithCells="1">
              <from>
                <xdr:col>1</xdr:col>
                <xdr:colOff>142875</xdr:colOff>
                <xdr:row>223</xdr:row>
                <xdr:rowOff>9525</xdr:rowOff>
              </from>
              <to>
                <xdr:col>3</xdr:col>
                <xdr:colOff>257175</xdr:colOff>
                <xdr:row>227</xdr:row>
                <xdr:rowOff>0</xdr:rowOff>
              </to>
            </anchor>
          </objectPr>
        </oleObject>
      </mc:Choice>
      <mc:Fallback>
        <oleObject progId="Equation.3" shapeId="1286" r:id="rId22"/>
      </mc:Fallback>
    </mc:AlternateContent>
    <mc:AlternateContent xmlns:mc="http://schemas.openxmlformats.org/markup-compatibility/2006">
      <mc:Choice Requires="x14">
        <oleObject progId="Equation.3" shapeId="1292" r:id="rId24">
          <objectPr defaultSize="0" autoPict="0" r:id="rId25">
            <anchor moveWithCells="1" sizeWithCells="1">
              <from>
                <xdr:col>5</xdr:col>
                <xdr:colOff>133350</xdr:colOff>
                <xdr:row>213</xdr:row>
                <xdr:rowOff>123825</xdr:rowOff>
              </from>
              <to>
                <xdr:col>7</xdr:col>
                <xdr:colOff>676275</xdr:colOff>
                <xdr:row>216</xdr:row>
                <xdr:rowOff>38100</xdr:rowOff>
              </to>
            </anchor>
          </objectPr>
        </oleObject>
      </mc:Choice>
      <mc:Fallback>
        <oleObject progId="Equation.3" shapeId="1292" r:id="rId24"/>
      </mc:Fallback>
    </mc:AlternateContent>
    <mc:AlternateContent xmlns:mc="http://schemas.openxmlformats.org/markup-compatibility/2006">
      <mc:Choice Requires="x14">
        <oleObject progId="Equation.3" shapeId="1293" r:id="rId26">
          <objectPr defaultSize="0" autoPict="0" r:id="rId27">
            <anchor moveWithCells="1" sizeWithCells="1">
              <from>
                <xdr:col>1</xdr:col>
                <xdr:colOff>104775</xdr:colOff>
                <xdr:row>228</xdr:row>
                <xdr:rowOff>85725</xdr:rowOff>
              </from>
              <to>
                <xdr:col>3</xdr:col>
                <xdr:colOff>304800</xdr:colOff>
                <xdr:row>231</xdr:row>
                <xdr:rowOff>47625</xdr:rowOff>
              </to>
            </anchor>
          </objectPr>
        </oleObject>
      </mc:Choice>
      <mc:Fallback>
        <oleObject progId="Equation.3" shapeId="1293" r:id="rId26"/>
      </mc:Fallback>
    </mc:AlternateContent>
    <mc:AlternateContent xmlns:mc="http://schemas.openxmlformats.org/markup-compatibility/2006">
      <mc:Choice Requires="x14">
        <oleObject progId="Equation.3" shapeId="1314" r:id="rId28">
          <objectPr defaultSize="0" autoPict="0" r:id="rId29">
            <anchor moveWithCells="1" sizeWithCells="1">
              <from>
                <xdr:col>4</xdr:col>
                <xdr:colOff>95250</xdr:colOff>
                <xdr:row>255</xdr:row>
                <xdr:rowOff>123825</xdr:rowOff>
              </from>
              <to>
                <xdr:col>5</xdr:col>
                <xdr:colOff>371475</xdr:colOff>
                <xdr:row>257</xdr:row>
                <xdr:rowOff>142875</xdr:rowOff>
              </to>
            </anchor>
          </objectPr>
        </oleObject>
      </mc:Choice>
      <mc:Fallback>
        <oleObject progId="Equation.3" shapeId="1314" r:id="rId28"/>
      </mc:Fallback>
    </mc:AlternateContent>
    <mc:AlternateContent xmlns:mc="http://schemas.openxmlformats.org/markup-compatibility/2006">
      <mc:Choice Requires="x14">
        <oleObject progId="Equation.3" shapeId="1315" r:id="rId30">
          <objectPr defaultSize="0" autoPict="0" r:id="rId31">
            <anchor moveWithCells="1" sizeWithCells="1">
              <from>
                <xdr:col>4</xdr:col>
                <xdr:colOff>104775</xdr:colOff>
                <xdr:row>258</xdr:row>
                <xdr:rowOff>0</xdr:rowOff>
              </from>
              <to>
                <xdr:col>7</xdr:col>
                <xdr:colOff>314325</xdr:colOff>
                <xdr:row>259</xdr:row>
                <xdr:rowOff>47625</xdr:rowOff>
              </to>
            </anchor>
          </objectPr>
        </oleObject>
      </mc:Choice>
      <mc:Fallback>
        <oleObject progId="Equation.3" shapeId="1315" r:id="rId30"/>
      </mc:Fallback>
    </mc:AlternateContent>
    <mc:AlternateContent xmlns:mc="http://schemas.openxmlformats.org/markup-compatibility/2006">
      <mc:Choice Requires="x14">
        <oleObject progId="Equation.3" shapeId="1316" r:id="rId32">
          <objectPr defaultSize="0" autoPict="0" r:id="rId33">
            <anchor moveWithCells="1" sizeWithCells="1">
              <from>
                <xdr:col>5</xdr:col>
                <xdr:colOff>219075</xdr:colOff>
                <xdr:row>277</xdr:row>
                <xdr:rowOff>9525</xdr:rowOff>
              </from>
              <to>
                <xdr:col>8</xdr:col>
                <xdr:colOff>514350</xdr:colOff>
                <xdr:row>281</xdr:row>
                <xdr:rowOff>9525</xdr:rowOff>
              </to>
            </anchor>
          </objectPr>
        </oleObject>
      </mc:Choice>
      <mc:Fallback>
        <oleObject progId="Equation.3" shapeId="1316" r:id="rId32"/>
      </mc:Fallback>
    </mc:AlternateContent>
    <mc:AlternateContent xmlns:mc="http://schemas.openxmlformats.org/markup-compatibility/2006">
      <mc:Choice Requires="x14">
        <oleObject progId="Equation.3" shapeId="1317" r:id="rId34">
          <objectPr defaultSize="0" autoPict="0" r:id="rId35">
            <anchor moveWithCells="1" sizeWithCells="1">
              <from>
                <xdr:col>0</xdr:col>
                <xdr:colOff>276225</xdr:colOff>
                <xdr:row>273</xdr:row>
                <xdr:rowOff>66675</xdr:rowOff>
              </from>
              <to>
                <xdr:col>4</xdr:col>
                <xdr:colOff>438150</xdr:colOff>
                <xdr:row>279</xdr:row>
                <xdr:rowOff>0</xdr:rowOff>
              </to>
            </anchor>
          </objectPr>
        </oleObject>
      </mc:Choice>
      <mc:Fallback>
        <oleObject progId="Equation.3" shapeId="1317" r:id="rId34"/>
      </mc:Fallback>
    </mc:AlternateContent>
    <mc:AlternateContent xmlns:mc="http://schemas.openxmlformats.org/markup-compatibility/2006">
      <mc:Choice Requires="x14">
        <oleObject progId="Equation.3" shapeId="1651" r:id="rId36">
          <objectPr defaultSize="0" autoPict="0" r:id="rId37">
            <anchor moveWithCells="1" sizeWithCells="1">
              <from>
                <xdr:col>5</xdr:col>
                <xdr:colOff>447675</xdr:colOff>
                <xdr:row>281</xdr:row>
                <xdr:rowOff>133350</xdr:rowOff>
              </from>
              <to>
                <xdr:col>6</xdr:col>
                <xdr:colOff>438150</xdr:colOff>
                <xdr:row>284</xdr:row>
                <xdr:rowOff>19050</xdr:rowOff>
              </to>
            </anchor>
          </objectPr>
        </oleObject>
      </mc:Choice>
      <mc:Fallback>
        <oleObject progId="Equation.3" shapeId="1651" r:id="rId36"/>
      </mc:Fallback>
    </mc:AlternateContent>
    <mc:AlternateContent xmlns:mc="http://schemas.openxmlformats.org/markup-compatibility/2006">
      <mc:Choice Requires="x14">
        <oleObject progId="Equation.3" shapeId="7268" r:id="rId38">
          <objectPr defaultSize="0" autoPict="0" r:id="rId39">
            <anchor moveWithCells="1" sizeWithCells="1">
              <from>
                <xdr:col>9</xdr:col>
                <xdr:colOff>0</xdr:colOff>
                <xdr:row>439</xdr:row>
                <xdr:rowOff>104775</xdr:rowOff>
              </from>
              <to>
                <xdr:col>9</xdr:col>
                <xdr:colOff>0</xdr:colOff>
                <xdr:row>442</xdr:row>
                <xdr:rowOff>76200</xdr:rowOff>
              </to>
            </anchor>
          </objectPr>
        </oleObject>
      </mc:Choice>
      <mc:Fallback>
        <oleObject progId="Equation.3" shapeId="7268" r:id="rId38"/>
      </mc:Fallback>
    </mc:AlternateContent>
    <mc:AlternateContent xmlns:mc="http://schemas.openxmlformats.org/markup-compatibility/2006">
      <mc:Choice Requires="x14">
        <oleObject progId="Equation.3" shapeId="7399" r:id="rId40">
          <objectPr defaultSize="0" autoPict="0" r:id="rId41">
            <anchor moveWithCells="1" sizeWithCells="1">
              <from>
                <xdr:col>5</xdr:col>
                <xdr:colOff>76200</xdr:colOff>
                <xdr:row>291</xdr:row>
                <xdr:rowOff>38100</xdr:rowOff>
              </from>
              <to>
                <xdr:col>6</xdr:col>
                <xdr:colOff>0</xdr:colOff>
                <xdr:row>293</xdr:row>
                <xdr:rowOff>19050</xdr:rowOff>
              </to>
            </anchor>
          </objectPr>
        </oleObject>
      </mc:Choice>
      <mc:Fallback>
        <oleObject progId="Equation.3" shapeId="7399" r:id="rId40"/>
      </mc:Fallback>
    </mc:AlternateContent>
  </oleObjects>
  <mc:AlternateContent xmlns:mc="http://schemas.openxmlformats.org/markup-compatibility/2006">
    <mc:Choice Requires="x14">
      <controls>
        <mc:AlternateContent xmlns:mc="http://schemas.openxmlformats.org/markup-compatibility/2006">
          <mc:Choice Requires="x14">
            <control shapeId="1162" r:id="rId42" name="Drop Down 138">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166" r:id="rId43" name="Drop Down 142">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167" r:id="rId44" name="Drop Down 143">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170" r:id="rId45" name="Drop Down 146">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337" r:id="rId46" name="Drop Down 313">
              <controlPr defaultSize="0" autoLine="0" autoPict="0">
                <anchor moveWithCells="1">
                  <from>
                    <xdr:col>3</xdr:col>
                    <xdr:colOff>628650</xdr:colOff>
                    <xdr:row>299</xdr:row>
                    <xdr:rowOff>9525</xdr:rowOff>
                  </from>
                  <to>
                    <xdr:col>5</xdr:col>
                    <xdr:colOff>219075</xdr:colOff>
                    <xdr:row>300</xdr:row>
                    <xdr:rowOff>38100</xdr:rowOff>
                  </to>
                </anchor>
              </controlPr>
            </control>
          </mc:Choice>
        </mc:AlternateContent>
        <mc:AlternateContent xmlns:mc="http://schemas.openxmlformats.org/markup-compatibility/2006">
          <mc:Choice Requires="x14">
            <control shapeId="7398" r:id="rId47" name="Check Box 1254">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7505" r:id="rId48" name="Drop Down 1361">
              <controlPr defaultSize="0" autoLine="0" autoPict="0">
                <anchor moveWithCells="1">
                  <from>
                    <xdr:col>3</xdr:col>
                    <xdr:colOff>628650</xdr:colOff>
                    <xdr:row>297</xdr:row>
                    <xdr:rowOff>142875</xdr:rowOff>
                  </from>
                  <to>
                    <xdr:col>5</xdr:col>
                    <xdr:colOff>219075</xdr:colOff>
                    <xdr:row>299</xdr:row>
                    <xdr:rowOff>9525</xdr:rowOff>
                  </to>
                </anchor>
              </controlPr>
            </control>
          </mc:Choice>
        </mc:AlternateContent>
        <mc:AlternateContent xmlns:mc="http://schemas.openxmlformats.org/markup-compatibility/2006">
          <mc:Choice Requires="x14">
            <control shapeId="7626" r:id="rId49" name="Drop Down 1482">
              <controlPr defaultSize="0" autoLine="0" autoPict="0">
                <anchor moveWithCells="1">
                  <from>
                    <xdr:col>3</xdr:col>
                    <xdr:colOff>180975</xdr:colOff>
                    <xdr:row>333</xdr:row>
                    <xdr:rowOff>9525</xdr:rowOff>
                  </from>
                  <to>
                    <xdr:col>5</xdr:col>
                    <xdr:colOff>0</xdr:colOff>
                    <xdr:row>334</xdr:row>
                    <xdr:rowOff>28575</xdr:rowOff>
                  </to>
                </anchor>
              </controlPr>
            </control>
          </mc:Choice>
        </mc:AlternateContent>
        <mc:AlternateContent xmlns:mc="http://schemas.openxmlformats.org/markup-compatibility/2006">
          <mc:Choice Requires="x14">
            <control shapeId="7635" r:id="rId50" name="Drop Down 1491">
              <controlPr defaultSize="0" autoLine="0" autoPict="0">
                <anchor moveWithCells="1">
                  <from>
                    <xdr:col>3</xdr:col>
                    <xdr:colOff>400050</xdr:colOff>
                    <xdr:row>331</xdr:row>
                    <xdr:rowOff>0</xdr:rowOff>
                  </from>
                  <to>
                    <xdr:col>4</xdr:col>
                    <xdr:colOff>704850</xdr:colOff>
                    <xdr:row>332</xdr:row>
                    <xdr:rowOff>9525</xdr:rowOff>
                  </to>
                </anchor>
              </controlPr>
            </control>
          </mc:Choice>
        </mc:AlternateContent>
        <mc:AlternateContent xmlns:mc="http://schemas.openxmlformats.org/markup-compatibility/2006">
          <mc:Choice Requires="x14">
            <control shapeId="7637" r:id="rId51" name="Drop Down 1493">
              <controlPr defaultSize="0" autoLine="0" autoPict="0">
                <anchor moveWithCells="1">
                  <from>
                    <xdr:col>3</xdr:col>
                    <xdr:colOff>400050</xdr:colOff>
                    <xdr:row>332</xdr:row>
                    <xdr:rowOff>0</xdr:rowOff>
                  </from>
                  <to>
                    <xdr:col>4</xdr:col>
                    <xdr:colOff>704850</xdr:colOff>
                    <xdr:row>333</xdr:row>
                    <xdr:rowOff>9525</xdr:rowOff>
                  </to>
                </anchor>
              </controlPr>
            </control>
          </mc:Choice>
        </mc:AlternateContent>
        <mc:AlternateContent xmlns:mc="http://schemas.openxmlformats.org/markup-compatibility/2006">
          <mc:Choice Requires="x14">
            <control shapeId="7645" r:id="rId52" name="Drop Down 1501">
              <controlPr defaultSize="0" autoLine="0" autoPict="0">
                <anchor moveWithCells="1">
                  <from>
                    <xdr:col>3</xdr:col>
                    <xdr:colOff>400050</xdr:colOff>
                    <xdr:row>341</xdr:row>
                    <xdr:rowOff>19050</xdr:rowOff>
                  </from>
                  <to>
                    <xdr:col>4</xdr:col>
                    <xdr:colOff>704850</xdr:colOff>
                    <xdr:row>342</xdr:row>
                    <xdr:rowOff>57150</xdr:rowOff>
                  </to>
                </anchor>
              </controlPr>
            </control>
          </mc:Choice>
        </mc:AlternateContent>
        <mc:AlternateContent xmlns:mc="http://schemas.openxmlformats.org/markup-compatibility/2006">
          <mc:Choice Requires="x14">
            <control shapeId="7659" r:id="rId53" name="Drop Down 1515">
              <controlPr defaultSize="0" autoLine="0" autoPict="0">
                <anchor moveWithCells="1">
                  <from>
                    <xdr:col>3</xdr:col>
                    <xdr:colOff>400050</xdr:colOff>
                    <xdr:row>358</xdr:row>
                    <xdr:rowOff>123825</xdr:rowOff>
                  </from>
                  <to>
                    <xdr:col>4</xdr:col>
                    <xdr:colOff>704850</xdr:colOff>
                    <xdr:row>359</xdr:row>
                    <xdr:rowOff>152400</xdr:rowOff>
                  </to>
                </anchor>
              </controlPr>
            </control>
          </mc:Choice>
        </mc:AlternateContent>
        <mc:AlternateContent xmlns:mc="http://schemas.openxmlformats.org/markup-compatibility/2006">
          <mc:Choice Requires="x14">
            <control shapeId="7660" r:id="rId54" name="Drop Down 1516">
              <controlPr defaultSize="0" autoLine="0" autoPict="0">
                <anchor moveWithCells="1">
                  <from>
                    <xdr:col>3</xdr:col>
                    <xdr:colOff>400050</xdr:colOff>
                    <xdr:row>360</xdr:row>
                    <xdr:rowOff>0</xdr:rowOff>
                  </from>
                  <to>
                    <xdr:col>4</xdr:col>
                    <xdr:colOff>704850</xdr:colOff>
                    <xdr:row>361</xdr:row>
                    <xdr:rowOff>28575</xdr:rowOff>
                  </to>
                </anchor>
              </controlPr>
            </control>
          </mc:Choice>
        </mc:AlternateContent>
        <mc:AlternateContent xmlns:mc="http://schemas.openxmlformats.org/markup-compatibility/2006">
          <mc:Choice Requires="x14">
            <control shapeId="7837" r:id="rId55" name="Drop Down 1693">
              <controlPr defaultSize="0" autoLine="0" autoPict="0">
                <anchor moveWithCells="1">
                  <from>
                    <xdr:col>3</xdr:col>
                    <xdr:colOff>381000</xdr:colOff>
                    <xdr:row>343</xdr:row>
                    <xdr:rowOff>152400</xdr:rowOff>
                  </from>
                  <to>
                    <xdr:col>4</xdr:col>
                    <xdr:colOff>685800</xdr:colOff>
                    <xdr:row>345</xdr:row>
                    <xdr:rowOff>28575</xdr:rowOff>
                  </to>
                </anchor>
              </controlPr>
            </control>
          </mc:Choice>
        </mc:AlternateContent>
        <mc:AlternateContent xmlns:mc="http://schemas.openxmlformats.org/markup-compatibility/2006">
          <mc:Choice Requires="x14">
            <control shapeId="7838" r:id="rId56" name="Drop Down 1694">
              <controlPr defaultSize="0" autoLine="0" autoPict="0">
                <anchor moveWithCells="1">
                  <from>
                    <xdr:col>3</xdr:col>
                    <xdr:colOff>419100</xdr:colOff>
                    <xdr:row>380</xdr:row>
                    <xdr:rowOff>104775</xdr:rowOff>
                  </from>
                  <to>
                    <xdr:col>5</xdr:col>
                    <xdr:colOff>9525</xdr:colOff>
                    <xdr:row>381</xdr:row>
                    <xdr:rowOff>142875</xdr:rowOff>
                  </to>
                </anchor>
              </controlPr>
            </control>
          </mc:Choice>
        </mc:AlternateContent>
        <mc:AlternateContent xmlns:mc="http://schemas.openxmlformats.org/markup-compatibility/2006">
          <mc:Choice Requires="x14">
            <control shapeId="7844" r:id="rId57" name="Check Box 1700">
              <controlPr defaultSize="0" autoFill="0" autoLine="0" autoPict="0" macro="[0]!Anillo_Rig">
                <anchor moveWithCells="1">
                  <from>
                    <xdr:col>0</xdr:col>
                    <xdr:colOff>666750</xdr:colOff>
                    <xdr:row>322</xdr:row>
                    <xdr:rowOff>66675</xdr:rowOff>
                  </from>
                  <to>
                    <xdr:col>4</xdr:col>
                    <xdr:colOff>219075</xdr:colOff>
                    <xdr:row>323</xdr:row>
                    <xdr:rowOff>95250</xdr:rowOff>
                  </to>
                </anchor>
              </controlPr>
            </control>
          </mc:Choice>
        </mc:AlternateContent>
        <mc:AlternateContent xmlns:mc="http://schemas.openxmlformats.org/markup-compatibility/2006">
          <mc:Choice Requires="x14">
            <control shapeId="7845" r:id="rId58" name="Drop Down 1701">
              <controlPr defaultSize="0" autoLine="0" autoPict="0">
                <anchor moveWithCells="1">
                  <from>
                    <xdr:col>3</xdr:col>
                    <xdr:colOff>419100</xdr:colOff>
                    <xdr:row>381</xdr:row>
                    <xdr:rowOff>142875</xdr:rowOff>
                  </from>
                  <to>
                    <xdr:col>5</xdr:col>
                    <xdr:colOff>9525</xdr:colOff>
                    <xdr:row>383</xdr:row>
                    <xdr:rowOff>9525</xdr:rowOff>
                  </to>
                </anchor>
              </controlPr>
            </control>
          </mc:Choice>
        </mc:AlternateContent>
        <mc:AlternateContent xmlns:mc="http://schemas.openxmlformats.org/markup-compatibility/2006">
          <mc:Choice Requires="x14">
            <control shapeId="7872" r:id="rId59" name="Button 1728">
              <controlPr defaultSize="0" print="0" autoFill="0" autoPict="0" macro="[0]!Dimensiones_Anclaje_Recomendadas">
                <anchor moveWithCells="1" sizeWithCells="1">
                  <from>
                    <xdr:col>6</xdr:col>
                    <xdr:colOff>371475</xdr:colOff>
                    <xdr:row>322</xdr:row>
                    <xdr:rowOff>0</xdr:rowOff>
                  </from>
                  <to>
                    <xdr:col>8</xdr:col>
                    <xdr:colOff>361950</xdr:colOff>
                    <xdr:row>323</xdr:row>
                    <xdr:rowOff>133350</xdr:rowOff>
                  </to>
                </anchor>
              </controlPr>
            </control>
          </mc:Choice>
        </mc:AlternateContent>
        <mc:AlternateContent xmlns:mc="http://schemas.openxmlformats.org/markup-compatibility/2006">
          <mc:Choice Requires="x14">
            <control shapeId="7874" r:id="rId60" name="Check Box 1730">
              <controlPr defaultSize="0" autoFill="0" autoLine="0" autoPict="0" macro="[0]!Pernos_Corte">
                <anchor moveWithCells="1">
                  <from>
                    <xdr:col>1</xdr:col>
                    <xdr:colOff>9525</xdr:colOff>
                    <xdr:row>304</xdr:row>
                    <xdr:rowOff>28575</xdr:rowOff>
                  </from>
                  <to>
                    <xdr:col>4</xdr:col>
                    <xdr:colOff>142875</xdr:colOff>
                    <xdr:row>305</xdr:row>
                    <xdr:rowOff>85725</xdr:rowOff>
                  </to>
                </anchor>
              </controlPr>
            </control>
          </mc:Choice>
        </mc:AlternateContent>
        <mc:AlternateContent xmlns:mc="http://schemas.openxmlformats.org/markup-compatibility/2006">
          <mc:Choice Requires="x14">
            <control shapeId="7910" r:id="rId61" name="Button 1766">
              <controlPr defaultSize="0" print="0" autoFill="0" autoPict="0" macro="[0]!Boton_Cambia_Estanque">
                <anchor moveWithCells="1" sizeWithCells="1">
                  <from>
                    <xdr:col>6</xdr:col>
                    <xdr:colOff>619125</xdr:colOff>
                    <xdr:row>274</xdr:row>
                    <xdr:rowOff>95250</xdr:rowOff>
                  </from>
                  <to>
                    <xdr:col>8</xdr:col>
                    <xdr:colOff>590550</xdr:colOff>
                    <xdr:row>276</xdr:row>
                    <xdr:rowOff>66675</xdr:rowOff>
                  </to>
                </anchor>
              </controlPr>
            </control>
          </mc:Choice>
        </mc:AlternateContent>
        <mc:AlternateContent xmlns:mc="http://schemas.openxmlformats.org/markup-compatibility/2006">
          <mc:Choice Requires="x14">
            <control shapeId="7915" r:id="rId62" name="Drop Down 1771">
              <controlPr defaultSize="0" autoLine="0" autoPict="0" macro="[0]!Genera_Capas">
                <anchor moveWithCells="1">
                  <from>
                    <xdr:col>3</xdr:col>
                    <xdr:colOff>85725</xdr:colOff>
                    <xdr:row>153</xdr:row>
                    <xdr:rowOff>133350</xdr:rowOff>
                  </from>
                  <to>
                    <xdr:col>3</xdr:col>
                    <xdr:colOff>504825</xdr:colOff>
                    <xdr:row>153</xdr:row>
                    <xdr:rowOff>333375</xdr:rowOff>
                  </to>
                </anchor>
              </controlPr>
            </control>
          </mc:Choice>
        </mc:AlternateContent>
        <mc:AlternateContent xmlns:mc="http://schemas.openxmlformats.org/markup-compatibility/2006">
          <mc:Choice Requires="x14">
            <control shapeId="7956" r:id="rId63" name="Drop Down 1812">
              <controlPr defaultSize="0" autoLine="0" autoPict="0" macro="[0]!Techo">
                <anchor moveWithCells="1">
                  <from>
                    <xdr:col>0</xdr:col>
                    <xdr:colOff>704850</xdr:colOff>
                    <xdr:row>122</xdr:row>
                    <xdr:rowOff>76200</xdr:rowOff>
                  </from>
                  <to>
                    <xdr:col>5</xdr:col>
                    <xdr:colOff>466725</xdr:colOff>
                    <xdr:row>123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L570"/>
  <sheetViews>
    <sheetView tabSelected="1" view="pageBreakPreview" topLeftCell="A462" zoomScale="150" zoomScaleNormal="100" zoomScaleSheetLayoutView="150" workbookViewId="0">
      <selection activeCell="H477" sqref="H477"/>
    </sheetView>
  </sheetViews>
  <sheetFormatPr baseColWidth="10" defaultColWidth="10.28515625" defaultRowHeight="12.75" x14ac:dyDescent="0.2"/>
  <cols>
    <col min="1" max="9" width="10.7109375" style="15" customWidth="1"/>
    <col min="10" max="10" width="10.140625" style="12" hidden="1" customWidth="1"/>
    <col min="11" max="12" width="12.28515625" style="12" hidden="1" customWidth="1"/>
    <col min="13" max="13" width="10.140625" style="12" hidden="1" customWidth="1"/>
    <col min="14" max="14" width="10.140625" style="13" hidden="1" customWidth="1"/>
    <col min="15" max="15" width="6.85546875" style="13" hidden="1" customWidth="1"/>
    <col min="16" max="16" width="12" style="13" hidden="1" customWidth="1"/>
    <col min="17" max="18" width="7.28515625" style="13" hidden="1" customWidth="1"/>
    <col min="19" max="19" width="7.28515625" style="14" hidden="1" customWidth="1"/>
    <col min="20" max="20" width="7.28515625" style="15" hidden="1" customWidth="1"/>
    <col min="21" max="21" width="4.42578125" style="15" hidden="1" customWidth="1"/>
    <col min="22" max="24" width="10.140625" style="15" hidden="1" customWidth="1"/>
    <col min="25" max="25" width="10.42578125" style="15" hidden="1" customWidth="1"/>
    <col min="26" max="26" width="11" style="15" hidden="1" customWidth="1"/>
    <col min="27" max="27" width="11" style="15" customWidth="1"/>
    <col min="28" max="16384" width="10.28515625" style="15"/>
  </cols>
  <sheetData>
    <row r="1" spans="1:9" ht="12.75" customHeight="1" x14ac:dyDescent="0.2">
      <c r="A1" s="517"/>
      <c r="B1" s="518"/>
      <c r="C1" s="519" t="s">
        <v>654</v>
      </c>
      <c r="D1" s="520"/>
      <c r="E1" s="520"/>
      <c r="F1" s="520"/>
      <c r="G1" s="521" t="s">
        <v>655</v>
      </c>
      <c r="H1" s="520"/>
      <c r="I1" s="522"/>
    </row>
    <row r="2" spans="1:9" ht="12.75" customHeight="1" thickBot="1" x14ac:dyDescent="0.25">
      <c r="A2" s="523"/>
      <c r="B2" s="524"/>
      <c r="C2" s="525"/>
      <c r="D2" s="526"/>
      <c r="E2" s="525"/>
      <c r="F2" s="525"/>
      <c r="G2" s="527"/>
      <c r="H2" s="525"/>
      <c r="I2" s="528"/>
    </row>
    <row r="3" spans="1:9" ht="12.75" customHeight="1" thickBot="1" x14ac:dyDescent="0.25">
      <c r="A3" s="523"/>
      <c r="B3" s="524"/>
      <c r="C3" s="529" t="s">
        <v>656</v>
      </c>
      <c r="D3" s="530"/>
      <c r="E3" s="531">
        <v>0</v>
      </c>
      <c r="F3" s="531">
        <v>1</v>
      </c>
      <c r="G3" s="531">
        <v>2</v>
      </c>
      <c r="H3" s="532"/>
      <c r="I3" s="522"/>
    </row>
    <row r="4" spans="1:9" ht="12.75" customHeight="1" thickBot="1" x14ac:dyDescent="0.25">
      <c r="A4" s="541"/>
      <c r="B4" s="542"/>
      <c r="C4" s="533" t="s">
        <v>657</v>
      </c>
      <c r="D4" s="530"/>
      <c r="E4" s="534"/>
      <c r="F4" s="535"/>
      <c r="G4" s="535"/>
      <c r="H4" s="536" t="s">
        <v>658</v>
      </c>
      <c r="I4" s="537" t="s">
        <v>659</v>
      </c>
    </row>
    <row r="5" spans="1:9" ht="12.75" customHeight="1" thickBot="1" x14ac:dyDescent="0.25">
      <c r="A5" s="541"/>
      <c r="B5" s="542"/>
      <c r="C5" s="529" t="s">
        <v>660</v>
      </c>
      <c r="D5" s="530"/>
      <c r="E5" s="534" t="s">
        <v>661</v>
      </c>
      <c r="F5" s="535"/>
      <c r="G5" s="535"/>
      <c r="H5" s="536" t="s">
        <v>662</v>
      </c>
      <c r="I5" s="537" t="s">
        <v>659</v>
      </c>
    </row>
    <row r="6" spans="1:9" ht="12.75" customHeight="1" thickBot="1" x14ac:dyDescent="0.25">
      <c r="A6" s="543"/>
      <c r="B6" s="544"/>
      <c r="C6" s="529" t="s">
        <v>663</v>
      </c>
      <c r="D6" s="530"/>
      <c r="E6" s="538"/>
      <c r="F6" s="535"/>
      <c r="G6" s="535"/>
      <c r="H6" s="539"/>
      <c r="I6" s="540"/>
    </row>
    <row r="7" spans="1:9" x14ac:dyDescent="0.2">
      <c r="A7" s="17"/>
      <c r="B7" s="18"/>
      <c r="C7" s="18"/>
      <c r="D7" s="18"/>
      <c r="E7" s="18"/>
      <c r="F7" s="18"/>
      <c r="G7" s="18"/>
      <c r="H7" s="18"/>
      <c r="I7" s="19"/>
    </row>
    <row r="8" spans="1:9" x14ac:dyDescent="0.2">
      <c r="A8" s="17"/>
      <c r="B8" s="18"/>
      <c r="C8" s="18"/>
      <c r="D8" s="18"/>
      <c r="E8" s="18"/>
      <c r="F8" s="18"/>
      <c r="G8" s="18"/>
      <c r="H8" s="18"/>
      <c r="I8" s="19"/>
    </row>
    <row r="9" spans="1:9" x14ac:dyDescent="0.2">
      <c r="A9" s="17"/>
      <c r="B9" s="18"/>
      <c r="C9" s="18"/>
      <c r="D9" s="18"/>
      <c r="E9" s="18"/>
      <c r="F9" s="18"/>
      <c r="G9" s="18"/>
      <c r="H9" s="18"/>
      <c r="I9" s="19"/>
    </row>
    <row r="10" spans="1:9" x14ac:dyDescent="0.2">
      <c r="A10" s="17"/>
      <c r="B10" s="18"/>
      <c r="C10" s="18"/>
      <c r="D10" s="18"/>
      <c r="E10" s="18"/>
      <c r="F10" s="18"/>
      <c r="G10" s="18"/>
      <c r="H10" s="18"/>
      <c r="I10" s="19"/>
    </row>
    <row r="11" spans="1:9" x14ac:dyDescent="0.2">
      <c r="A11" s="17"/>
      <c r="B11" s="18"/>
      <c r="C11" s="18"/>
      <c r="D11" s="18"/>
      <c r="E11" s="18"/>
      <c r="F11" s="18"/>
      <c r="G11" s="18"/>
      <c r="H11" s="18"/>
      <c r="I11" s="19"/>
    </row>
    <row r="12" spans="1:9" x14ac:dyDescent="0.2">
      <c r="A12" s="17"/>
      <c r="B12" s="18"/>
      <c r="C12" s="18"/>
      <c r="D12" s="18"/>
      <c r="E12" s="18"/>
      <c r="F12" s="18"/>
      <c r="G12" s="18"/>
      <c r="H12" s="18"/>
      <c r="I12" s="19"/>
    </row>
    <row r="13" spans="1:9" x14ac:dyDescent="0.2">
      <c r="A13" s="17"/>
      <c r="B13" s="18"/>
      <c r="C13" s="18"/>
      <c r="D13" s="18"/>
      <c r="E13" s="18"/>
      <c r="F13" s="18"/>
      <c r="G13" s="18"/>
      <c r="H13" s="18"/>
      <c r="I13" s="19"/>
    </row>
    <row r="14" spans="1:9" x14ac:dyDescent="0.2">
      <c r="A14" s="17"/>
      <c r="B14" s="18"/>
      <c r="C14" s="18"/>
      <c r="D14" s="18"/>
      <c r="E14" s="18"/>
      <c r="F14" s="18"/>
      <c r="G14" s="18"/>
      <c r="H14" s="18"/>
      <c r="I14" s="19"/>
    </row>
    <row r="15" spans="1:9" x14ac:dyDescent="0.2">
      <c r="A15" s="17"/>
      <c r="B15" s="18"/>
      <c r="C15" s="18"/>
      <c r="D15" s="18"/>
      <c r="E15" s="18"/>
      <c r="F15" s="18"/>
      <c r="G15" s="18"/>
      <c r="H15" s="18"/>
      <c r="I15" s="19"/>
    </row>
    <row r="16" spans="1:9" x14ac:dyDescent="0.2">
      <c r="A16" s="17"/>
      <c r="B16" s="18"/>
      <c r="C16" s="18"/>
      <c r="D16" s="18"/>
      <c r="E16" s="18"/>
      <c r="F16" s="18"/>
      <c r="G16" s="18"/>
      <c r="H16" s="18"/>
      <c r="I16" s="19"/>
    </row>
    <row r="17" spans="1:9" x14ac:dyDescent="0.2">
      <c r="A17" s="17"/>
      <c r="B17" s="18"/>
      <c r="C17" s="18"/>
      <c r="D17" s="18"/>
      <c r="E17" s="18"/>
      <c r="F17" s="18"/>
      <c r="G17" s="18"/>
      <c r="H17" s="18"/>
      <c r="I17" s="19"/>
    </row>
    <row r="18" spans="1:9" x14ac:dyDescent="0.2">
      <c r="A18" s="17"/>
      <c r="B18" s="18"/>
      <c r="C18" s="18"/>
      <c r="D18" s="18"/>
      <c r="E18" s="18"/>
      <c r="F18" s="18"/>
      <c r="G18" s="18"/>
      <c r="H18" s="18"/>
      <c r="I18" s="19"/>
    </row>
    <row r="19" spans="1:9" x14ac:dyDescent="0.2">
      <c r="A19" s="17"/>
      <c r="B19" s="18"/>
      <c r="C19" s="18"/>
      <c r="D19" s="18"/>
      <c r="E19" s="18"/>
      <c r="F19" s="18"/>
      <c r="G19" s="18"/>
      <c r="H19" s="18"/>
      <c r="I19" s="19"/>
    </row>
    <row r="20" spans="1:9" x14ac:dyDescent="0.2">
      <c r="A20" s="17"/>
      <c r="B20" s="18"/>
      <c r="C20" s="18"/>
      <c r="D20" s="18"/>
      <c r="E20" s="18"/>
      <c r="F20" s="18"/>
      <c r="G20" s="18"/>
      <c r="H20" s="18"/>
      <c r="I20" s="19"/>
    </row>
    <row r="21" spans="1:9" x14ac:dyDescent="0.2">
      <c r="A21" s="17"/>
      <c r="B21" s="18"/>
      <c r="C21" s="18"/>
      <c r="D21" s="18"/>
      <c r="E21" s="18"/>
      <c r="F21" s="18"/>
      <c r="G21" s="18"/>
      <c r="H21" s="18"/>
      <c r="I21" s="19"/>
    </row>
    <row r="22" spans="1:9" x14ac:dyDescent="0.2">
      <c r="A22" s="17"/>
      <c r="B22" s="18"/>
      <c r="C22" s="18"/>
      <c r="D22" s="18"/>
      <c r="E22" s="18"/>
      <c r="F22" s="18"/>
      <c r="G22" s="18"/>
      <c r="H22" s="18"/>
      <c r="I22" s="19"/>
    </row>
    <row r="23" spans="1:9" x14ac:dyDescent="0.2">
      <c r="A23" s="17"/>
      <c r="B23" s="18"/>
      <c r="C23" s="18"/>
      <c r="D23" s="18"/>
      <c r="E23" s="18"/>
      <c r="F23" s="18"/>
      <c r="G23" s="18"/>
      <c r="H23" s="18"/>
      <c r="I23" s="19"/>
    </row>
    <row r="24" spans="1:9" x14ac:dyDescent="0.2">
      <c r="A24" s="17"/>
      <c r="B24" s="18"/>
      <c r="C24" s="18"/>
      <c r="D24" s="18"/>
      <c r="E24" s="18"/>
      <c r="F24" s="18"/>
      <c r="G24" s="18"/>
      <c r="H24" s="18"/>
      <c r="I24" s="19"/>
    </row>
    <row r="25" spans="1:9" x14ac:dyDescent="0.2">
      <c r="A25" s="17"/>
      <c r="B25" s="18"/>
      <c r="C25" s="18"/>
      <c r="D25" s="18"/>
      <c r="E25" s="18"/>
      <c r="F25" s="18"/>
      <c r="G25" s="18"/>
      <c r="H25" s="18"/>
      <c r="I25" s="19"/>
    </row>
    <row r="26" spans="1:9" ht="30" x14ac:dyDescent="0.2">
      <c r="A26" s="554" t="s">
        <v>645</v>
      </c>
      <c r="B26" s="555"/>
      <c r="C26" s="555"/>
      <c r="D26" s="555"/>
      <c r="E26" s="555"/>
      <c r="F26" s="555"/>
      <c r="G26" s="555"/>
      <c r="H26" s="555"/>
      <c r="I26" s="555"/>
    </row>
    <row r="27" spans="1:9" ht="26.25" x14ac:dyDescent="0.2">
      <c r="A27" s="556" t="s">
        <v>666</v>
      </c>
      <c r="B27" s="556"/>
      <c r="C27" s="556"/>
      <c r="D27" s="556"/>
      <c r="E27" s="556"/>
      <c r="F27" s="556"/>
      <c r="G27" s="556"/>
      <c r="H27" s="556"/>
      <c r="I27" s="556"/>
    </row>
    <row r="28" spans="1:9" ht="26.25" customHeight="1" x14ac:dyDescent="0.2">
      <c r="A28" s="556" t="s">
        <v>669</v>
      </c>
      <c r="B28" s="556"/>
      <c r="C28" s="556"/>
      <c r="D28" s="556"/>
      <c r="E28" s="556"/>
      <c r="F28" s="556"/>
      <c r="G28" s="556"/>
      <c r="H28" s="556"/>
      <c r="I28" s="556"/>
    </row>
    <row r="29" spans="1:9" ht="30" x14ac:dyDescent="0.2">
      <c r="A29" s="554"/>
      <c r="B29" s="554"/>
      <c r="C29" s="554"/>
      <c r="D29" s="554"/>
      <c r="E29" s="554"/>
      <c r="F29" s="554"/>
      <c r="G29" s="554"/>
      <c r="H29" s="554"/>
      <c r="I29" s="554"/>
    </row>
    <row r="30" spans="1:9" x14ac:dyDescent="0.2">
      <c r="A30" s="20"/>
      <c r="B30" s="21"/>
      <c r="C30" s="21"/>
      <c r="D30" s="21"/>
      <c r="E30" s="21"/>
      <c r="F30" s="21"/>
      <c r="G30" s="21"/>
      <c r="H30" s="18"/>
      <c r="I30" s="19"/>
    </row>
    <row r="31" spans="1:9" x14ac:dyDescent="0.2">
      <c r="A31" s="1"/>
      <c r="B31" s="1"/>
      <c r="C31" s="1"/>
      <c r="D31" s="1"/>
      <c r="E31" s="1"/>
      <c r="F31" s="1"/>
      <c r="G31" s="1"/>
      <c r="H31" s="18"/>
      <c r="I31" s="19"/>
    </row>
    <row r="32" spans="1:9" x14ac:dyDescent="0.2">
      <c r="A32" s="1"/>
      <c r="B32" s="1"/>
      <c r="C32" s="1"/>
      <c r="D32" s="1"/>
      <c r="E32" s="1"/>
      <c r="F32" s="1"/>
      <c r="G32" s="1"/>
      <c r="H32" s="18"/>
      <c r="I32" s="19"/>
    </row>
    <row r="33" spans="1:9" x14ac:dyDescent="0.2">
      <c r="A33" s="1"/>
      <c r="B33" s="1"/>
      <c r="C33" s="1"/>
      <c r="D33" s="1"/>
      <c r="E33" s="1"/>
      <c r="F33" s="1"/>
      <c r="G33" s="1"/>
      <c r="H33" s="1"/>
      <c r="I33" s="1"/>
    </row>
    <row r="34" spans="1:9" ht="18.75" x14ac:dyDescent="0.3">
      <c r="A34" s="564" t="s">
        <v>111</v>
      </c>
      <c r="B34" s="564"/>
      <c r="C34" s="564"/>
      <c r="D34" s="22"/>
      <c r="E34" s="22"/>
      <c r="F34" s="22"/>
      <c r="G34" s="22"/>
      <c r="H34" s="22"/>
      <c r="I34" s="22"/>
    </row>
    <row r="35" spans="1:9" x14ac:dyDescent="0.2">
      <c r="A35" s="22"/>
      <c r="B35" s="22"/>
      <c r="C35" s="22"/>
      <c r="D35" s="22"/>
      <c r="E35" s="22"/>
      <c r="F35" s="22"/>
      <c r="G35" s="22"/>
      <c r="H35" s="22"/>
      <c r="I35" s="22"/>
    </row>
    <row r="36" spans="1:9" x14ac:dyDescent="0.2">
      <c r="A36" s="22"/>
      <c r="B36" s="22"/>
      <c r="C36" s="23" t="s">
        <v>1</v>
      </c>
      <c r="D36" s="24" t="s">
        <v>112</v>
      </c>
      <c r="E36" s="563" t="s">
        <v>204</v>
      </c>
      <c r="F36" s="563"/>
      <c r="G36" s="563"/>
      <c r="H36" s="563"/>
      <c r="I36" s="563"/>
    </row>
    <row r="37" spans="1:9" ht="14.25" x14ac:dyDescent="0.25">
      <c r="A37" s="22"/>
      <c r="B37" s="22"/>
      <c r="C37" s="23" t="s">
        <v>113</v>
      </c>
      <c r="D37" s="24" t="s">
        <v>112</v>
      </c>
      <c r="E37" s="563" t="s">
        <v>114</v>
      </c>
      <c r="F37" s="563"/>
      <c r="G37" s="563"/>
      <c r="H37" s="563"/>
      <c r="I37" s="563"/>
    </row>
    <row r="38" spans="1:9" x14ac:dyDescent="0.2">
      <c r="A38" s="22"/>
      <c r="B38" s="22"/>
      <c r="C38" s="23" t="s">
        <v>5</v>
      </c>
      <c r="D38" s="24" t="s">
        <v>112</v>
      </c>
      <c r="E38" s="563" t="s">
        <v>205</v>
      </c>
      <c r="F38" s="563"/>
      <c r="G38" s="563"/>
      <c r="H38" s="563"/>
      <c r="I38" s="563"/>
    </row>
    <row r="39" spans="1:9" x14ac:dyDescent="0.2">
      <c r="A39" s="22"/>
      <c r="B39" s="22"/>
      <c r="C39" s="23" t="s">
        <v>115</v>
      </c>
      <c r="D39" s="24" t="s">
        <v>112</v>
      </c>
      <c r="E39" s="563" t="s">
        <v>116</v>
      </c>
      <c r="F39" s="563"/>
      <c r="G39" s="563"/>
      <c r="H39" s="563"/>
      <c r="I39" s="563"/>
    </row>
    <row r="40" spans="1:9" ht="14.25" x14ac:dyDescent="0.25">
      <c r="A40" s="22"/>
      <c r="B40" s="22"/>
      <c r="C40" s="23" t="s">
        <v>117</v>
      </c>
      <c r="D40" s="24" t="s">
        <v>112</v>
      </c>
      <c r="E40" s="563" t="s">
        <v>118</v>
      </c>
      <c r="F40" s="563"/>
      <c r="G40" s="563"/>
      <c r="H40" s="563"/>
      <c r="I40" s="563"/>
    </row>
    <row r="41" spans="1:9" ht="14.25" x14ac:dyDescent="0.25">
      <c r="A41" s="22"/>
      <c r="B41" s="22"/>
      <c r="C41" s="23" t="s">
        <v>119</v>
      </c>
      <c r="D41" s="24" t="s">
        <v>112</v>
      </c>
      <c r="E41" s="563" t="s">
        <v>120</v>
      </c>
      <c r="F41" s="563"/>
      <c r="G41" s="563"/>
      <c r="H41" s="563"/>
      <c r="I41" s="563"/>
    </row>
    <row r="42" spans="1:9" x14ac:dyDescent="0.2">
      <c r="A42" s="22"/>
      <c r="B42" s="22"/>
      <c r="C42" s="23" t="s">
        <v>7</v>
      </c>
      <c r="D42" s="24" t="s">
        <v>112</v>
      </c>
      <c r="E42" s="563" t="s">
        <v>121</v>
      </c>
      <c r="F42" s="563"/>
      <c r="G42" s="563"/>
      <c r="H42" s="563"/>
      <c r="I42" s="563"/>
    </row>
    <row r="43" spans="1:9" ht="15.75" x14ac:dyDescent="0.25">
      <c r="A43" s="22"/>
      <c r="B43" s="22"/>
      <c r="C43" s="25" t="s">
        <v>122</v>
      </c>
      <c r="D43" s="24" t="s">
        <v>112</v>
      </c>
      <c r="E43" s="563" t="s">
        <v>123</v>
      </c>
      <c r="F43" s="563"/>
      <c r="G43" s="563"/>
      <c r="H43" s="563"/>
      <c r="I43" s="563"/>
    </row>
    <row r="44" spans="1:9" x14ac:dyDescent="0.2">
      <c r="A44" s="22"/>
      <c r="B44" s="22"/>
      <c r="C44" s="26" t="s">
        <v>10</v>
      </c>
      <c r="D44" s="24" t="s">
        <v>112</v>
      </c>
      <c r="E44" s="563" t="s">
        <v>124</v>
      </c>
      <c r="F44" s="563"/>
      <c r="G44" s="563"/>
      <c r="H44" s="563"/>
      <c r="I44" s="563"/>
    </row>
    <row r="45" spans="1:9" x14ac:dyDescent="0.2">
      <c r="A45" s="22"/>
      <c r="B45" s="22"/>
      <c r="C45" s="27" t="s">
        <v>13</v>
      </c>
      <c r="D45" s="24" t="s">
        <v>112</v>
      </c>
      <c r="E45" s="563" t="s">
        <v>125</v>
      </c>
      <c r="F45" s="563"/>
      <c r="G45" s="563"/>
      <c r="H45" s="563"/>
      <c r="I45" s="563"/>
    </row>
    <row r="46" spans="1:9" ht="14.25" x14ac:dyDescent="0.25">
      <c r="A46" s="22"/>
      <c r="B46" s="22"/>
      <c r="C46" s="23" t="s">
        <v>126</v>
      </c>
      <c r="D46" s="24" t="s">
        <v>112</v>
      </c>
      <c r="E46" s="563" t="s">
        <v>127</v>
      </c>
      <c r="F46" s="563"/>
      <c r="G46" s="563"/>
      <c r="H46" s="563"/>
      <c r="I46" s="563"/>
    </row>
    <row r="47" spans="1:9" ht="14.25" x14ac:dyDescent="0.25">
      <c r="A47" s="22"/>
      <c r="B47" s="22"/>
      <c r="C47" s="23" t="s">
        <v>128</v>
      </c>
      <c r="D47" s="24" t="s">
        <v>112</v>
      </c>
      <c r="E47" s="563" t="s">
        <v>27</v>
      </c>
      <c r="F47" s="563"/>
      <c r="G47" s="563"/>
      <c r="H47" s="563"/>
      <c r="I47" s="563"/>
    </row>
    <row r="48" spans="1:9" ht="14.25" x14ac:dyDescent="0.25">
      <c r="A48" s="22"/>
      <c r="B48" s="22"/>
      <c r="C48" s="23" t="s">
        <v>129</v>
      </c>
      <c r="D48" s="24" t="s">
        <v>112</v>
      </c>
      <c r="E48" s="563" t="s">
        <v>130</v>
      </c>
      <c r="F48" s="563"/>
      <c r="G48" s="563"/>
      <c r="H48" s="563"/>
      <c r="I48" s="563"/>
    </row>
    <row r="49" spans="1:9" ht="14.25" x14ac:dyDescent="0.25">
      <c r="A49" s="22"/>
      <c r="B49" s="22"/>
      <c r="C49" s="23" t="s">
        <v>131</v>
      </c>
      <c r="D49" s="24" t="s">
        <v>112</v>
      </c>
      <c r="E49" s="563" t="s">
        <v>132</v>
      </c>
      <c r="F49" s="563"/>
      <c r="G49" s="563"/>
      <c r="H49" s="563"/>
      <c r="I49" s="563"/>
    </row>
    <row r="50" spans="1:9" x14ac:dyDescent="0.2">
      <c r="A50" s="1"/>
      <c r="B50" s="1"/>
      <c r="C50" s="1"/>
      <c r="D50" s="1"/>
      <c r="E50" s="1"/>
      <c r="F50" s="1"/>
      <c r="G50" s="1"/>
      <c r="H50" s="1"/>
      <c r="I50" s="1"/>
    </row>
    <row r="51" spans="1:9" x14ac:dyDescent="0.2">
      <c r="A51" s="1"/>
      <c r="B51" s="1"/>
      <c r="C51" s="1"/>
      <c r="D51" s="1"/>
      <c r="E51" s="1"/>
      <c r="F51" s="1"/>
      <c r="G51" s="1"/>
      <c r="H51" s="1"/>
      <c r="I51" s="1"/>
    </row>
    <row r="52" spans="1:9" x14ac:dyDescent="0.2">
      <c r="A52" s="1"/>
      <c r="B52" s="1"/>
      <c r="C52" s="1"/>
      <c r="D52" s="1"/>
      <c r="E52" s="1"/>
      <c r="F52" s="1"/>
      <c r="G52" s="1"/>
      <c r="H52" s="1"/>
      <c r="I52" s="1"/>
    </row>
    <row r="53" spans="1:9" x14ac:dyDescent="0.2">
      <c r="A53" s="1"/>
      <c r="B53" s="1"/>
      <c r="C53" s="1"/>
      <c r="D53" s="1"/>
      <c r="E53" s="1"/>
      <c r="F53" s="1"/>
      <c r="G53" s="1"/>
      <c r="H53" s="1"/>
      <c r="I53" s="1"/>
    </row>
    <row r="54" spans="1:9" x14ac:dyDescent="0.2">
      <c r="A54" s="1"/>
      <c r="B54" s="1"/>
      <c r="C54" s="1"/>
      <c r="D54" s="1"/>
      <c r="E54" s="1"/>
      <c r="F54" s="1"/>
      <c r="G54" s="1"/>
      <c r="H54" s="1"/>
      <c r="I54" s="1"/>
    </row>
    <row r="55" spans="1:9" x14ac:dyDescent="0.2">
      <c r="A55" s="1"/>
      <c r="B55" s="1"/>
      <c r="C55" s="1"/>
      <c r="D55" s="1"/>
      <c r="E55" s="1"/>
      <c r="F55" s="1"/>
      <c r="G55" s="1"/>
      <c r="H55" s="1"/>
      <c r="I55" s="1"/>
    </row>
    <row r="56" spans="1:9" x14ac:dyDescent="0.2">
      <c r="A56" s="1"/>
      <c r="B56" s="1"/>
      <c r="C56" s="1"/>
      <c r="D56" s="1"/>
      <c r="E56" s="1"/>
      <c r="F56" s="1"/>
      <c r="G56" s="1"/>
      <c r="H56" s="1"/>
      <c r="I56" s="1"/>
    </row>
    <row r="57" spans="1:9" x14ac:dyDescent="0.2">
      <c r="A57" s="1"/>
      <c r="B57" s="1"/>
      <c r="C57" s="1"/>
      <c r="D57" s="1"/>
      <c r="E57" s="1"/>
      <c r="F57" s="1"/>
      <c r="G57" s="1"/>
      <c r="H57" s="1"/>
      <c r="I57" s="1"/>
    </row>
    <row r="58" spans="1:9" x14ac:dyDescent="0.2">
      <c r="A58" s="1"/>
      <c r="B58" s="1"/>
      <c r="C58" s="1"/>
      <c r="D58" s="1"/>
      <c r="E58" s="1"/>
      <c r="F58" s="1"/>
      <c r="G58" s="1"/>
      <c r="H58" s="1"/>
      <c r="I58" s="1"/>
    </row>
    <row r="59" spans="1:9" x14ac:dyDescent="0.2">
      <c r="A59" s="1"/>
      <c r="B59" s="1"/>
      <c r="C59" s="1"/>
      <c r="D59" s="1"/>
      <c r="E59" s="1"/>
      <c r="F59" s="1"/>
      <c r="G59" s="1"/>
      <c r="H59" s="1"/>
      <c r="I59" s="1"/>
    </row>
    <row r="60" spans="1:9" x14ac:dyDescent="0.2">
      <c r="A60" s="1"/>
      <c r="B60" s="1"/>
      <c r="C60" s="1"/>
      <c r="D60" s="1"/>
      <c r="E60" s="1"/>
      <c r="F60" s="1"/>
      <c r="G60" s="1"/>
      <c r="H60" s="1"/>
      <c r="I60" s="1"/>
    </row>
    <row r="61" spans="1:9" x14ac:dyDescent="0.2">
      <c r="A61" s="1"/>
      <c r="B61" s="1"/>
      <c r="C61" s="1"/>
      <c r="D61" s="1"/>
      <c r="E61" s="1"/>
      <c r="F61" s="1"/>
      <c r="G61" s="1"/>
      <c r="H61" s="1"/>
      <c r="I61" s="1"/>
    </row>
    <row r="62" spans="1:9" x14ac:dyDescent="0.2">
      <c r="A62" s="1"/>
      <c r="B62" s="1"/>
      <c r="C62" s="1"/>
      <c r="D62" s="1"/>
      <c r="E62" s="1"/>
      <c r="F62" s="1"/>
      <c r="G62" s="1"/>
      <c r="H62" s="1"/>
      <c r="I62" s="1"/>
    </row>
    <row r="63" spans="1:9" x14ac:dyDescent="0.2">
      <c r="A63" s="1"/>
      <c r="B63" s="1"/>
      <c r="C63" s="1"/>
      <c r="D63" s="1"/>
      <c r="E63" s="1"/>
      <c r="F63" s="1"/>
      <c r="G63" s="1"/>
      <c r="H63" s="1"/>
      <c r="I63" s="1"/>
    </row>
    <row r="64" spans="1:9" x14ac:dyDescent="0.2">
      <c r="A64" s="1"/>
      <c r="B64" s="1"/>
      <c r="C64" s="1"/>
      <c r="D64" s="1"/>
      <c r="E64" s="1"/>
      <c r="F64" s="1"/>
      <c r="G64" s="1"/>
      <c r="H64" s="1"/>
      <c r="I64" s="1"/>
    </row>
    <row r="65" spans="1:26" x14ac:dyDescent="0.2">
      <c r="A65" s="1"/>
      <c r="B65" s="1"/>
      <c r="C65" s="1"/>
      <c r="D65" s="1"/>
      <c r="E65" s="1"/>
      <c r="F65" s="1"/>
      <c r="G65" s="1"/>
      <c r="H65" s="1"/>
      <c r="I65" s="1"/>
    </row>
    <row r="66" spans="1:26" x14ac:dyDescent="0.2">
      <c r="A66" s="1"/>
      <c r="B66" s="1"/>
      <c r="C66" s="1"/>
      <c r="D66" s="1"/>
      <c r="E66" s="1"/>
      <c r="F66" s="1"/>
      <c r="G66" s="1"/>
      <c r="H66" s="1"/>
      <c r="I66" s="1"/>
    </row>
    <row r="67" spans="1:26" x14ac:dyDescent="0.2">
      <c r="A67" s="1"/>
      <c r="B67" s="1"/>
      <c r="C67" s="1"/>
      <c r="D67" s="1"/>
      <c r="E67" s="1"/>
      <c r="F67" s="1"/>
      <c r="G67" s="1"/>
      <c r="H67" s="1"/>
      <c r="I67" s="1"/>
    </row>
    <row r="68" spans="1:26" x14ac:dyDescent="0.2">
      <c r="A68" s="1"/>
      <c r="B68" s="1"/>
      <c r="C68" s="1"/>
      <c r="D68" s="1"/>
      <c r="E68" s="1"/>
      <c r="F68" s="1"/>
      <c r="G68" s="1"/>
      <c r="H68" s="1"/>
      <c r="I68" s="1"/>
    </row>
    <row r="69" spans="1:26" x14ac:dyDescent="0.2">
      <c r="A69" s="1"/>
      <c r="B69" s="1"/>
      <c r="C69" s="1"/>
      <c r="D69" s="1"/>
      <c r="E69" s="1"/>
      <c r="F69" s="1"/>
      <c r="G69" s="1"/>
      <c r="H69" s="1"/>
      <c r="I69" s="1"/>
    </row>
    <row r="70" spans="1:26" x14ac:dyDescent="0.2">
      <c r="A70" s="1"/>
      <c r="B70" s="1"/>
      <c r="C70" s="1"/>
      <c r="D70" s="1"/>
      <c r="E70" s="1"/>
      <c r="F70" s="1"/>
      <c r="G70" s="1"/>
      <c r="H70" s="1"/>
      <c r="I70" s="1"/>
    </row>
    <row r="71" spans="1:26" x14ac:dyDescent="0.2">
      <c r="A71" s="1"/>
      <c r="B71" s="1"/>
      <c r="C71" s="1"/>
      <c r="D71" s="1"/>
      <c r="E71" s="1"/>
      <c r="F71" s="1"/>
      <c r="G71" s="1"/>
      <c r="H71" s="1"/>
      <c r="I71" s="1"/>
    </row>
    <row r="72" spans="1:26" x14ac:dyDescent="0.2">
      <c r="A72" s="1"/>
      <c r="B72" s="1"/>
      <c r="C72" s="1"/>
      <c r="D72" s="1"/>
      <c r="E72" s="1"/>
      <c r="F72" s="1"/>
      <c r="G72" s="1"/>
      <c r="H72" s="1"/>
      <c r="I72" s="1"/>
    </row>
    <row r="73" spans="1:26" x14ac:dyDescent="0.2">
      <c r="A73" s="1"/>
      <c r="B73" s="1"/>
      <c r="C73" s="1"/>
      <c r="D73" s="1"/>
      <c r="E73" s="1"/>
      <c r="F73" s="1"/>
      <c r="G73" s="1"/>
      <c r="H73" s="1"/>
      <c r="I73" s="1"/>
    </row>
    <row r="74" spans="1:26" x14ac:dyDescent="0.2">
      <c r="A74" s="1"/>
      <c r="B74" s="1"/>
      <c r="C74" s="1"/>
      <c r="D74" s="1"/>
      <c r="E74" s="1"/>
      <c r="F74" s="1"/>
      <c r="G74" s="1"/>
      <c r="H74" s="1"/>
      <c r="I74" s="1"/>
    </row>
    <row r="75" spans="1:26" x14ac:dyDescent="0.2">
      <c r="A75" s="1"/>
      <c r="B75" s="1"/>
      <c r="C75" s="1"/>
      <c r="D75" s="1"/>
      <c r="E75" s="1"/>
      <c r="F75" s="1"/>
      <c r="G75" s="1"/>
      <c r="H75" s="1"/>
      <c r="I75" s="1"/>
    </row>
    <row r="76" spans="1:26" ht="13.5" thickBot="1" x14ac:dyDescent="0.25">
      <c r="A76" s="1"/>
      <c r="B76" s="1"/>
      <c r="C76" s="1"/>
      <c r="D76" s="1"/>
      <c r="E76" s="1"/>
      <c r="F76" s="1"/>
      <c r="G76" s="1"/>
      <c r="H76" s="1"/>
      <c r="I76" s="1"/>
    </row>
    <row r="77" spans="1:26" x14ac:dyDescent="0.2">
      <c r="A77" s="1"/>
      <c r="B77" s="1"/>
      <c r="C77" s="1"/>
      <c r="D77" s="1"/>
      <c r="E77" s="1"/>
      <c r="F77" s="1"/>
      <c r="G77" s="1"/>
      <c r="H77" s="1"/>
      <c r="I77" s="1"/>
      <c r="J77" s="30" t="s">
        <v>157</v>
      </c>
      <c r="K77" s="31" t="s">
        <v>158</v>
      </c>
      <c r="L77" s="30" t="s">
        <v>159</v>
      </c>
      <c r="M77" s="30" t="s">
        <v>163</v>
      </c>
      <c r="N77" s="32" t="s">
        <v>334</v>
      </c>
      <c r="O77" s="557" t="s">
        <v>333</v>
      </c>
      <c r="P77" s="558"/>
      <c r="Q77" s="558"/>
      <c r="R77" s="558"/>
      <c r="S77" s="559"/>
      <c r="T77" s="33" t="s">
        <v>634</v>
      </c>
      <c r="U77" s="557" t="s">
        <v>242</v>
      </c>
      <c r="V77" s="558"/>
      <c r="W77" s="558"/>
      <c r="X77" s="558"/>
      <c r="Y77" s="559"/>
      <c r="Z77" s="33" t="s">
        <v>633</v>
      </c>
    </row>
    <row r="78" spans="1:26" ht="13.5" thickBot="1" x14ac:dyDescent="0.25">
      <c r="A78" s="1"/>
      <c r="B78" s="1"/>
      <c r="C78" s="1"/>
      <c r="D78" s="1"/>
      <c r="E78" s="1"/>
      <c r="F78" s="1"/>
      <c r="G78" s="1"/>
      <c r="H78" s="1"/>
      <c r="I78" s="1"/>
      <c r="J78" s="34" t="s">
        <v>160</v>
      </c>
      <c r="K78" s="35"/>
      <c r="L78" s="34" t="s">
        <v>161</v>
      </c>
      <c r="M78" s="34" t="s">
        <v>161</v>
      </c>
      <c r="N78" s="36" t="s">
        <v>161</v>
      </c>
      <c r="O78" s="560" t="s">
        <v>161</v>
      </c>
      <c r="P78" s="561"/>
      <c r="Q78" s="561"/>
      <c r="R78" s="561"/>
      <c r="S78" s="562"/>
      <c r="T78" s="37" t="s">
        <v>161</v>
      </c>
      <c r="U78" s="560" t="s">
        <v>161</v>
      </c>
      <c r="V78" s="561"/>
      <c r="W78" s="561"/>
      <c r="X78" s="561"/>
      <c r="Y78" s="562"/>
      <c r="Z78" s="37" t="s">
        <v>161</v>
      </c>
    </row>
    <row r="79" spans="1:26" x14ac:dyDescent="0.2">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ht="26.25" x14ac:dyDescent="0.4">
      <c r="A81" s="567" t="s">
        <v>374</v>
      </c>
      <c r="B81" s="567"/>
      <c r="C81" s="567"/>
      <c r="D81" s="567"/>
      <c r="E81" s="567"/>
      <c r="F81" s="567"/>
      <c r="G81" s="567"/>
      <c r="H81" s="567"/>
      <c r="I81" s="567"/>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x14ac:dyDescent="0.2">
      <c r="A82" s="1"/>
      <c r="B82" s="1"/>
      <c r="C82" s="1"/>
      <c r="D82" s="1"/>
      <c r="E82" s="1"/>
      <c r="F82" s="1"/>
      <c r="G82" s="1"/>
      <c r="H82" s="1"/>
      <c r="I82" s="1"/>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75" x14ac:dyDescent="0.25">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215"/>
    </row>
    <row r="84" spans="1:27" x14ac:dyDescent="0.2">
      <c r="A84" s="1"/>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140"/>
    </row>
    <row r="85" spans="1:27" x14ac:dyDescent="0.2">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2"/>
    </row>
    <row r="86" spans="1:27" x14ac:dyDescent="0.2">
      <c r="A86" s="1"/>
      <c r="B86" s="5" t="s">
        <v>0</v>
      </c>
      <c r="C86" s="5"/>
      <c r="D86" s="5"/>
      <c r="E86" s="5"/>
      <c r="F86" s="46" t="s">
        <v>1</v>
      </c>
      <c r="G86" s="47" t="s">
        <v>2</v>
      </c>
      <c r="H86" s="451">
        <v>12</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2"/>
    </row>
    <row r="87" spans="1:27" x14ac:dyDescent="0.2">
      <c r="A87" s="1"/>
      <c r="B87" s="5" t="s">
        <v>4</v>
      </c>
      <c r="C87" s="5"/>
      <c r="D87" s="5"/>
      <c r="E87" s="5"/>
      <c r="F87" s="46" t="s">
        <v>5</v>
      </c>
      <c r="G87" s="47" t="s">
        <v>2</v>
      </c>
      <c r="H87" s="451">
        <v>11</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2">lininterp($O$94:$S$94,O87:S87,$T$93)</f>
        <v>1.5800203873598371</v>
      </c>
      <c r="U87" s="446">
        <f t="shared" ref="U87:U92" si="13">193000/98.1</f>
        <v>1967.3802242609584</v>
      </c>
      <c r="V87" s="440">
        <f t="shared" ref="V87:V92" si="14">189000/98.1</f>
        <v>1926.605504587156</v>
      </c>
      <c r="W87" s="440">
        <f t="shared" ref="W87:W92" si="15">183000/98.1</f>
        <v>1865.4434250764527</v>
      </c>
      <c r="X87" s="440">
        <f t="shared" ref="X87:X92" si="16">180000/98.1</f>
        <v>1834.8623853211011</v>
      </c>
      <c r="Y87" s="442">
        <f t="shared" ref="Y87:Y92" si="17">174000/98.1</f>
        <v>1773.7003058103976</v>
      </c>
      <c r="Z87" s="447">
        <f t="shared" ref="Z87:Z92" si="18">lininterp($U$94:$Y$94,U87:Y87,$Z$93)</f>
        <v>1967.3802242609584</v>
      </c>
      <c r="AA87" s="42"/>
    </row>
    <row r="88" spans="1:27" x14ac:dyDescent="0.2">
      <c r="A88" s="1"/>
      <c r="B88" s="5" t="s">
        <v>134</v>
      </c>
      <c r="C88" s="5"/>
      <c r="D88" s="5"/>
      <c r="E88" s="5"/>
      <c r="F88" s="46"/>
      <c r="G88" s="47"/>
      <c r="H88" s="48">
        <f>H86^2/4*PI()*H87</f>
        <v>1244.0706908215582</v>
      </c>
      <c r="I88" s="5" t="s">
        <v>135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2"/>
        <v>1.4780835881753314</v>
      </c>
      <c r="U88" s="446">
        <f t="shared" si="13"/>
        <v>1967.3802242609584</v>
      </c>
      <c r="V88" s="440">
        <f t="shared" si="14"/>
        <v>1926.605504587156</v>
      </c>
      <c r="W88" s="440">
        <f t="shared" si="15"/>
        <v>1865.4434250764527</v>
      </c>
      <c r="X88" s="440">
        <f t="shared" si="16"/>
        <v>1834.8623853211011</v>
      </c>
      <c r="Y88" s="442">
        <f t="shared" si="17"/>
        <v>1773.7003058103976</v>
      </c>
      <c r="Z88" s="447">
        <f t="shared" si="18"/>
        <v>1967.3802242609584</v>
      </c>
      <c r="AA88" s="42"/>
    </row>
    <row r="89" spans="1:27" x14ac:dyDescent="0.2">
      <c r="A89" s="1"/>
      <c r="B89" s="5" t="s">
        <v>6</v>
      </c>
      <c r="C89" s="5"/>
      <c r="D89" s="5"/>
      <c r="E89" s="5"/>
      <c r="F89" s="46" t="s">
        <v>7</v>
      </c>
      <c r="G89" s="47" t="s">
        <v>2</v>
      </c>
      <c r="H89" s="451">
        <v>0.4</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2"/>
        <v>1.5800203873598371</v>
      </c>
      <c r="U89" s="446">
        <f t="shared" si="13"/>
        <v>1967.3802242609584</v>
      </c>
      <c r="V89" s="440">
        <f t="shared" si="14"/>
        <v>1926.605504587156</v>
      </c>
      <c r="W89" s="440">
        <f t="shared" si="15"/>
        <v>1865.4434250764527</v>
      </c>
      <c r="X89" s="440">
        <f t="shared" si="16"/>
        <v>1834.8623853211011</v>
      </c>
      <c r="Y89" s="442">
        <f t="shared" si="17"/>
        <v>1773.7003058103976</v>
      </c>
      <c r="Z89" s="447">
        <f t="shared" si="18"/>
        <v>1967.3802242609584</v>
      </c>
      <c r="AA89" s="42"/>
    </row>
    <row r="90" spans="1:27" x14ac:dyDescent="0.2">
      <c r="A90" s="1"/>
      <c r="B90" s="5"/>
      <c r="C90" s="5"/>
      <c r="D90" s="5" t="s">
        <v>8</v>
      </c>
      <c r="E90" s="1"/>
      <c r="F90" s="46" t="s">
        <v>71</v>
      </c>
      <c r="G90" s="47" t="s">
        <v>2</v>
      </c>
      <c r="H90" s="51">
        <f>+H87+H89</f>
        <v>11.4</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2"/>
        <v>1.4780835881753314</v>
      </c>
      <c r="U90" s="446">
        <f t="shared" si="13"/>
        <v>1967.3802242609584</v>
      </c>
      <c r="V90" s="440">
        <f t="shared" si="14"/>
        <v>1926.605504587156</v>
      </c>
      <c r="W90" s="440">
        <f t="shared" si="15"/>
        <v>1865.4434250764527</v>
      </c>
      <c r="X90" s="440">
        <f t="shared" si="16"/>
        <v>1834.8623853211011</v>
      </c>
      <c r="Y90" s="442">
        <f t="shared" si="17"/>
        <v>1773.7003058103976</v>
      </c>
      <c r="Z90" s="447">
        <f t="shared" si="18"/>
        <v>1967.3802242609584</v>
      </c>
      <c r="AA90" s="42"/>
    </row>
    <row r="91" spans="1:27" x14ac:dyDescent="0.2">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2"/>
        <v>1.5800203873598371</v>
      </c>
      <c r="U91" s="446">
        <f t="shared" si="13"/>
        <v>1967.3802242609584</v>
      </c>
      <c r="V91" s="440">
        <f t="shared" si="14"/>
        <v>1926.605504587156</v>
      </c>
      <c r="W91" s="440">
        <f t="shared" si="15"/>
        <v>1865.4434250764527</v>
      </c>
      <c r="X91" s="440">
        <f t="shared" si="16"/>
        <v>1834.8623853211011</v>
      </c>
      <c r="Y91" s="442">
        <f t="shared" si="17"/>
        <v>1773.7003058103976</v>
      </c>
      <c r="Z91" s="447">
        <f t="shared" si="18"/>
        <v>1967.3802242609584</v>
      </c>
      <c r="AA91" s="42"/>
    </row>
    <row r="92" spans="1:27" ht="13.5" thickBot="1" x14ac:dyDescent="0.25">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2"/>
        <v>1.5800203873598371</v>
      </c>
      <c r="U92" s="446">
        <f t="shared" si="13"/>
        <v>1967.3802242609584</v>
      </c>
      <c r="V92" s="440">
        <f t="shared" si="14"/>
        <v>1926.605504587156</v>
      </c>
      <c r="W92" s="440">
        <f t="shared" si="15"/>
        <v>1865.4434250764527</v>
      </c>
      <c r="X92" s="440">
        <f t="shared" si="16"/>
        <v>1834.8623853211011</v>
      </c>
      <c r="Y92" s="442">
        <f t="shared" si="17"/>
        <v>1773.7003058103976</v>
      </c>
      <c r="Z92" s="447">
        <f t="shared" si="18"/>
        <v>1967.3802242609584</v>
      </c>
      <c r="AA92" s="42"/>
    </row>
    <row r="93" spans="1:27" ht="13.5" thickBot="1" x14ac:dyDescent="0.2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215"/>
    </row>
    <row r="94" spans="1:27" ht="13.5" thickBot="1" x14ac:dyDescent="0.2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N94" s="15"/>
      <c r="O94" s="61">
        <v>40</v>
      </c>
      <c r="P94" s="56">
        <v>90</v>
      </c>
      <c r="Q94" s="56">
        <v>150</v>
      </c>
      <c r="R94" s="56">
        <v>200</v>
      </c>
      <c r="S94" s="57">
        <v>260</v>
      </c>
      <c r="U94" s="61">
        <v>40</v>
      </c>
      <c r="V94" s="56">
        <v>90</v>
      </c>
      <c r="W94" s="56">
        <v>150</v>
      </c>
      <c r="X94" s="56">
        <v>200</v>
      </c>
      <c r="Y94" s="57">
        <v>260</v>
      </c>
    </row>
    <row r="95" spans="1:27" x14ac:dyDescent="0.2">
      <c r="A95" s="1"/>
      <c r="B95" s="1"/>
      <c r="C95" s="1"/>
      <c r="D95" s="1"/>
      <c r="E95" s="1"/>
      <c r="F95" s="1"/>
      <c r="G95" s="67" t="str">
        <f>IF(H92&gt;260,"Temperatura muy alta","")</f>
        <v/>
      </c>
      <c r="H95" s="47"/>
      <c r="I95" s="1"/>
      <c r="O95" s="29"/>
      <c r="P95" s="65"/>
      <c r="Q95" s="66"/>
      <c r="R95" s="29"/>
      <c r="S95" s="29"/>
      <c r="T95" s="29"/>
      <c r="U95" s="29"/>
    </row>
    <row r="96" spans="1:27" s="74" customFormat="1" ht="12.75" customHeight="1" thickBot="1" x14ac:dyDescent="0.25">
      <c r="A96" s="68"/>
      <c r="B96" s="68"/>
      <c r="C96" s="68"/>
      <c r="D96" s="68"/>
      <c r="E96" s="68"/>
      <c r="F96" s="68"/>
      <c r="G96" s="68"/>
      <c r="H96" s="69"/>
      <c r="I96" s="68"/>
      <c r="J96" s="70"/>
      <c r="K96" s="70"/>
      <c r="L96" s="70"/>
      <c r="M96" s="71"/>
      <c r="N96" s="72"/>
      <c r="O96" s="73"/>
      <c r="P96" s="73"/>
      <c r="Q96" s="73"/>
      <c r="R96" s="73"/>
      <c r="S96" s="73"/>
      <c r="T96" s="73"/>
      <c r="U96" s="73"/>
    </row>
    <row r="97" spans="1:22" x14ac:dyDescent="0.2">
      <c r="A97" s="75" t="s">
        <v>512</v>
      </c>
      <c r="B97" s="76"/>
      <c r="C97" s="76"/>
      <c r="D97" s="76"/>
      <c r="E97" s="76"/>
      <c r="F97" s="76"/>
      <c r="G97" s="69"/>
      <c r="H97" s="77"/>
      <c r="I97" s="76"/>
      <c r="J97" s="78" t="s">
        <v>137</v>
      </c>
      <c r="K97" s="79" t="s">
        <v>141</v>
      </c>
      <c r="L97" s="80" t="s">
        <v>107</v>
      </c>
      <c r="M97" s="81"/>
      <c r="P97" s="82"/>
      <c r="Q97" s="73"/>
      <c r="R97" s="73"/>
      <c r="S97" s="73"/>
      <c r="T97" s="73"/>
      <c r="U97" s="73"/>
      <c r="V97" s="16"/>
    </row>
    <row r="98" spans="1:22" ht="12" customHeight="1" x14ac:dyDescent="0.2">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x14ac:dyDescent="0.2">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3.5" thickBot="1" x14ac:dyDescent="0.2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5" thickBot="1" x14ac:dyDescent="0.25">
      <c r="A101" s="1"/>
      <c r="B101" s="1"/>
      <c r="C101" s="1"/>
      <c r="D101" s="1"/>
      <c r="E101" s="1"/>
      <c r="F101" s="1"/>
      <c r="G101" s="1"/>
      <c r="H101" s="47"/>
      <c r="I101" s="1"/>
      <c r="J101" s="454">
        <v>2</v>
      </c>
      <c r="K101" s="84"/>
      <c r="L101" s="91"/>
      <c r="M101" s="81"/>
      <c r="O101" s="92"/>
      <c r="P101" s="86"/>
      <c r="Q101" s="86"/>
      <c r="R101" s="86"/>
      <c r="S101" s="87"/>
      <c r="T101" s="22"/>
      <c r="U101" s="22"/>
      <c r="V101" s="16"/>
    </row>
    <row r="102" spans="1:22" ht="13.5" thickBot="1" x14ac:dyDescent="0.25">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5" thickBot="1" x14ac:dyDescent="0.25">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5" thickBot="1" x14ac:dyDescent="0.25">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5" thickBot="1" x14ac:dyDescent="0.25">
      <c r="A108" s="1"/>
      <c r="B108" s="5" t="s">
        <v>224</v>
      </c>
      <c r="C108" s="1"/>
      <c r="D108" s="1"/>
      <c r="E108" s="1"/>
      <c r="F108" s="46" t="s">
        <v>221</v>
      </c>
      <c r="G108" s="47" t="s">
        <v>2</v>
      </c>
      <c r="H108" s="47">
        <v>4</v>
      </c>
      <c r="I108" s="1"/>
      <c r="M108" s="81"/>
      <c r="N108" s="86"/>
      <c r="O108" s="101"/>
      <c r="P108" s="86"/>
      <c r="Q108" s="86"/>
      <c r="R108" s="86"/>
      <c r="S108" s="94"/>
      <c r="T108" s="22"/>
      <c r="U108" s="22"/>
      <c r="V108" s="16"/>
    </row>
    <row r="109" spans="1:22" x14ac:dyDescent="0.2">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x14ac:dyDescent="0.2">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5" thickBot="1" x14ac:dyDescent="0.25">
      <c r="A113" s="1"/>
      <c r="B113" s="106"/>
      <c r="C113" s="1"/>
      <c r="D113" s="1"/>
      <c r="E113" s="1"/>
      <c r="F113" s="46"/>
      <c r="G113" s="47"/>
      <c r="H113" s="395">
        <v>0</v>
      </c>
      <c r="I113" s="1"/>
      <c r="J113" s="88" t="s">
        <v>149</v>
      </c>
      <c r="K113" s="89">
        <f>K112+1</f>
        <v>4</v>
      </c>
      <c r="L113" s="107">
        <v>1.35</v>
      </c>
      <c r="M113" s="108">
        <v>1.8</v>
      </c>
      <c r="O113" s="86"/>
      <c r="P113" s="86"/>
      <c r="Q113" s="86"/>
      <c r="R113" s="109"/>
      <c r="S113" s="87"/>
      <c r="T113" s="22"/>
      <c r="U113" s="22"/>
      <c r="V113" s="16"/>
    </row>
    <row r="114" spans="1:22" ht="13.5" thickBot="1" x14ac:dyDescent="0.25">
      <c r="A114" s="1"/>
      <c r="B114" s="1"/>
      <c r="C114" s="1"/>
      <c r="D114" s="1"/>
      <c r="E114" s="1"/>
      <c r="F114" s="1"/>
      <c r="G114" s="1"/>
      <c r="H114" s="47"/>
      <c r="I114" s="1"/>
      <c r="J114" s="455">
        <v>3</v>
      </c>
      <c r="P114" s="12"/>
    </row>
    <row r="115" spans="1:22" ht="13.5" thickBot="1" x14ac:dyDescent="0.25">
      <c r="A115" s="1"/>
      <c r="B115" s="1"/>
      <c r="C115" s="1"/>
      <c r="D115" s="1"/>
      <c r="E115" s="1"/>
      <c r="F115" s="1"/>
      <c r="G115" s="1"/>
      <c r="H115" s="47"/>
      <c r="I115" s="1"/>
      <c r="P115" s="12"/>
    </row>
    <row r="116" spans="1:22" ht="13.5" thickBot="1" x14ac:dyDescent="0.25">
      <c r="A116" s="38" t="s">
        <v>514</v>
      </c>
      <c r="B116" s="1"/>
      <c r="C116" s="1"/>
      <c r="D116" s="1"/>
      <c r="E116" s="1"/>
      <c r="F116" s="1"/>
      <c r="G116" s="1"/>
      <c r="H116" s="95"/>
      <c r="I116" s="5"/>
      <c r="J116" s="110" t="s">
        <v>323</v>
      </c>
      <c r="K116" s="456" t="b">
        <v>0</v>
      </c>
      <c r="P116" s="12"/>
    </row>
    <row r="117" spans="1:22" s="545" customFormat="1" x14ac:dyDescent="0.2">
      <c r="A117" s="514"/>
      <c r="B117" s="5" t="s">
        <v>76</v>
      </c>
      <c r="C117" s="5"/>
      <c r="D117" s="5"/>
      <c r="E117" s="5"/>
      <c r="F117" s="5"/>
      <c r="G117" s="515"/>
      <c r="H117" s="516">
        <f>PI()*H86^2/4*0.122</f>
        <v>13.797874934566371</v>
      </c>
      <c r="I117" s="5" t="s">
        <v>14</v>
      </c>
      <c r="J117" s="65"/>
      <c r="K117" s="65"/>
      <c r="L117" s="65"/>
      <c r="M117" s="65"/>
      <c r="N117" s="65"/>
      <c r="O117" s="65"/>
      <c r="P117" s="12"/>
      <c r="Q117" s="13"/>
      <c r="R117" s="13"/>
      <c r="S117" s="14"/>
    </row>
    <row r="118" spans="1:22" s="545" customFormat="1" x14ac:dyDescent="0.2">
      <c r="A118" s="514"/>
      <c r="B118" s="5" t="s">
        <v>15</v>
      </c>
      <c r="C118" s="5"/>
      <c r="D118" s="5"/>
      <c r="E118" s="5"/>
      <c r="F118" s="5"/>
      <c r="G118" s="515"/>
      <c r="H118" s="451">
        <v>1</v>
      </c>
      <c r="I118" s="5" t="s">
        <v>14</v>
      </c>
      <c r="J118" s="12"/>
      <c r="K118" s="12"/>
      <c r="L118" s="12"/>
      <c r="M118" s="12"/>
      <c r="N118" s="13"/>
      <c r="O118" s="13"/>
      <c r="P118" s="13"/>
      <c r="Q118" s="13"/>
      <c r="R118" s="13"/>
      <c r="S118" s="14"/>
    </row>
    <row r="119" spans="1:22" s="545" customFormat="1" x14ac:dyDescent="0.2">
      <c r="A119" s="514"/>
      <c r="B119" s="5" t="s">
        <v>16</v>
      </c>
      <c r="C119" s="5"/>
      <c r="D119" s="5"/>
      <c r="E119" s="5"/>
      <c r="F119" s="5"/>
      <c r="G119" s="515"/>
      <c r="H119" s="516">
        <f>+MAX(H117,H118)</f>
        <v>13.797874934566371</v>
      </c>
      <c r="I119" s="5" t="s">
        <v>14</v>
      </c>
      <c r="J119" s="12"/>
      <c r="K119" s="12"/>
      <c r="L119" s="12"/>
      <c r="M119" s="12"/>
      <c r="N119" s="13"/>
      <c r="O119" s="13"/>
      <c r="P119" s="13"/>
      <c r="Q119" s="13"/>
      <c r="R119" s="13"/>
      <c r="S119" s="14"/>
    </row>
    <row r="120" spans="1:22" s="545" customFormat="1" x14ac:dyDescent="0.2">
      <c r="A120" s="514"/>
      <c r="B120" s="5" t="s">
        <v>17</v>
      </c>
      <c r="C120" s="5"/>
      <c r="D120" s="5"/>
      <c r="E120" s="5"/>
      <c r="F120" s="5"/>
      <c r="G120" s="515"/>
      <c r="H120" s="451">
        <v>0</v>
      </c>
      <c r="I120" s="5" t="s">
        <v>18</v>
      </c>
      <c r="J120" s="12"/>
      <c r="K120" s="12"/>
      <c r="L120" s="12"/>
      <c r="M120" s="12"/>
      <c r="N120" s="13"/>
      <c r="O120" s="13"/>
      <c r="P120" s="13"/>
      <c r="Q120" s="13"/>
      <c r="R120" s="13"/>
      <c r="S120" s="14"/>
    </row>
    <row r="121" spans="1:22" s="545" customFormat="1" ht="13.5" thickBot="1" x14ac:dyDescent="0.25">
      <c r="A121" s="514"/>
      <c r="B121" s="5" t="s">
        <v>19</v>
      </c>
      <c r="C121" s="5"/>
      <c r="D121" s="5"/>
      <c r="E121" s="5"/>
      <c r="F121" s="5"/>
      <c r="G121" s="515"/>
      <c r="H121" s="451">
        <v>1</v>
      </c>
      <c r="I121" s="5" t="s">
        <v>14</v>
      </c>
      <c r="J121" s="12"/>
      <c r="K121" s="546"/>
      <c r="L121" s="546"/>
      <c r="M121" s="546"/>
      <c r="N121" s="13"/>
      <c r="O121" s="547"/>
      <c r="P121" s="547"/>
      <c r="Q121" s="547"/>
      <c r="R121" s="547"/>
      <c r="S121" s="548"/>
      <c r="T121" s="549"/>
      <c r="U121" s="549"/>
      <c r="V121" s="550"/>
    </row>
    <row r="122" spans="1:22" s="545" customFormat="1" x14ac:dyDescent="0.2">
      <c r="A122" s="514"/>
      <c r="B122" s="514"/>
      <c r="C122" s="514"/>
      <c r="D122" s="514"/>
      <c r="E122" s="514"/>
      <c r="F122" s="514"/>
      <c r="G122" s="514"/>
      <c r="H122" s="515"/>
      <c r="I122" s="514"/>
      <c r="J122" s="216" t="s">
        <v>620</v>
      </c>
      <c r="K122" s="463"/>
      <c r="L122" s="463"/>
      <c r="M122" s="463"/>
      <c r="N122" s="464"/>
      <c r="O122" s="13"/>
      <c r="P122" s="547"/>
      <c r="Q122" s="547"/>
      <c r="R122" s="547"/>
      <c r="S122" s="183"/>
      <c r="T122" s="551"/>
      <c r="U122" s="551"/>
      <c r="V122" s="550"/>
    </row>
    <row r="123" spans="1:22" s="545" customFormat="1" x14ac:dyDescent="0.2">
      <c r="A123" s="514"/>
      <c r="B123" s="514"/>
      <c r="C123" s="514"/>
      <c r="D123" s="514"/>
      <c r="E123" s="514"/>
      <c r="F123" s="514"/>
      <c r="G123" s="514"/>
      <c r="H123" s="515"/>
      <c r="I123" s="514"/>
      <c r="J123" s="218" t="s">
        <v>621</v>
      </c>
      <c r="K123" s="153"/>
      <c r="L123" s="153"/>
      <c r="M123" s="153"/>
      <c r="N123" s="465"/>
      <c r="O123" s="13"/>
      <c r="P123" s="547"/>
      <c r="Q123" s="547"/>
      <c r="R123" s="547"/>
      <c r="S123" s="183"/>
      <c r="T123" s="551"/>
      <c r="U123" s="551"/>
      <c r="V123" s="550"/>
    </row>
    <row r="124" spans="1:22" s="545" customFormat="1" ht="13.5" thickBot="1" x14ac:dyDescent="0.25">
      <c r="A124" s="514"/>
      <c r="B124" s="514"/>
      <c r="C124" s="514"/>
      <c r="D124" s="514"/>
      <c r="E124" s="514"/>
      <c r="F124" s="514"/>
      <c r="G124" s="514"/>
      <c r="H124" s="515"/>
      <c r="I124" s="514"/>
      <c r="J124" s="462">
        <v>1</v>
      </c>
      <c r="K124" s="466"/>
      <c r="L124" s="466"/>
      <c r="M124" s="466"/>
      <c r="N124" s="467"/>
      <c r="O124" s="13"/>
      <c r="P124" s="547"/>
      <c r="Q124" s="547"/>
      <c r="R124" s="547"/>
      <c r="S124" s="183"/>
      <c r="T124" s="551"/>
      <c r="U124" s="551"/>
      <c r="V124" s="550"/>
    </row>
    <row r="125" spans="1:22" s="545" customFormat="1" x14ac:dyDescent="0.2">
      <c r="A125" s="38" t="s">
        <v>515</v>
      </c>
      <c r="B125" s="514"/>
      <c r="C125" s="514"/>
      <c r="D125" s="514"/>
      <c r="E125" s="514"/>
      <c r="F125" s="514"/>
      <c r="G125" s="514"/>
      <c r="H125" s="516"/>
      <c r="I125" s="5"/>
      <c r="J125" s="12"/>
      <c r="K125" s="12"/>
      <c r="L125" s="12"/>
      <c r="M125" s="12"/>
      <c r="N125" s="13"/>
      <c r="O125" s="13"/>
      <c r="P125" s="547"/>
      <c r="Q125" s="547"/>
      <c r="R125" s="547"/>
      <c r="S125" s="183"/>
      <c r="T125" s="551"/>
      <c r="U125" s="551"/>
      <c r="V125" s="550"/>
    </row>
    <row r="126" spans="1:22" s="545" customFormat="1" x14ac:dyDescent="0.2">
      <c r="A126" s="514"/>
      <c r="B126" s="5" t="s">
        <v>9</v>
      </c>
      <c r="C126" s="5"/>
      <c r="D126" s="5"/>
      <c r="E126" s="5"/>
      <c r="F126" s="46" t="s">
        <v>72</v>
      </c>
      <c r="G126" s="515" t="s">
        <v>2</v>
      </c>
      <c r="H126" s="451">
        <v>2</v>
      </c>
      <c r="I126" s="5" t="s">
        <v>3</v>
      </c>
      <c r="J126" s="12"/>
      <c r="K126" s="12"/>
      <c r="L126" s="12"/>
      <c r="M126" s="12"/>
      <c r="N126" s="13"/>
      <c r="O126" s="13"/>
      <c r="P126" s="547"/>
      <c r="Q126" s="547"/>
      <c r="R126" s="547"/>
      <c r="S126" s="183"/>
      <c r="T126" s="551"/>
      <c r="U126" s="551"/>
      <c r="V126" s="550"/>
    </row>
    <row r="127" spans="1:22" s="545" customFormat="1" x14ac:dyDescent="0.2">
      <c r="A127" s="514"/>
      <c r="B127" s="5" t="s">
        <v>73</v>
      </c>
      <c r="C127" s="5"/>
      <c r="D127" s="5"/>
      <c r="E127" s="5"/>
      <c r="F127" s="102" t="s">
        <v>10</v>
      </c>
      <c r="G127" s="515" t="s">
        <v>2</v>
      </c>
      <c r="H127" s="516">
        <f>ATAN(2*H126/H86)*180/PI()</f>
        <v>18.43494882292201</v>
      </c>
      <c r="I127" s="5" t="str">
        <f>"° "&amp;IF(AND(H127&lt;37,H127&gt;9.5),"OK","No Cumple")</f>
        <v>° OK</v>
      </c>
      <c r="J127" s="12"/>
      <c r="K127" s="12"/>
      <c r="L127" s="12"/>
      <c r="M127" s="12"/>
      <c r="N127" s="13"/>
      <c r="O127" s="13"/>
      <c r="P127" s="547"/>
      <c r="Q127" s="547"/>
      <c r="R127" s="547"/>
      <c r="S127" s="183"/>
      <c r="T127" s="551"/>
      <c r="U127" s="551"/>
      <c r="V127" s="550"/>
    </row>
    <row r="128" spans="1:22" s="545" customFormat="1" x14ac:dyDescent="0.2">
      <c r="A128" s="514"/>
      <c r="B128" s="5" t="s">
        <v>193</v>
      </c>
      <c r="C128" s="5"/>
      <c r="D128" s="5"/>
      <c r="E128" s="5"/>
      <c r="F128" s="5"/>
      <c r="G128" s="515"/>
      <c r="H128" s="552">
        <f>IF(H126=0,"X",IF((H130+H119)/PI()/H86^2*4&lt;0.22,H86/0.3048/400/SIN(H127*PI()/180)*25.4+H98,H86/0.3048/400/SIN(H127*PI()/180)*25.4*SQRT((H130+H119)/PI()/H86^2*4/0.22)+H98))</f>
        <v>9.905694150420949</v>
      </c>
      <c r="I128" s="112" t="str">
        <f>"mm "&amp;IF(AND(H128&lt;12.5,H128&gt;5),"OK","No Cumple")</f>
        <v>mm OK</v>
      </c>
      <c r="J128" s="12"/>
      <c r="K128" s="12"/>
      <c r="L128" s="12"/>
      <c r="M128" s="12"/>
      <c r="N128" s="13"/>
      <c r="O128" s="13"/>
      <c r="P128" s="547"/>
      <c r="Q128" s="547"/>
      <c r="R128" s="547"/>
      <c r="S128" s="183"/>
      <c r="T128" s="551"/>
      <c r="U128" s="551"/>
      <c r="V128" s="550"/>
    </row>
    <row r="129" spans="1:22" s="545" customFormat="1" x14ac:dyDescent="0.2">
      <c r="A129" s="514"/>
      <c r="B129" s="5" t="s">
        <v>23</v>
      </c>
      <c r="C129" s="5"/>
      <c r="D129" s="5"/>
      <c r="E129" s="5"/>
      <c r="F129" s="46" t="s">
        <v>133</v>
      </c>
      <c r="G129" s="515" t="s">
        <v>2</v>
      </c>
      <c r="H129" s="452">
        <v>10</v>
      </c>
      <c r="I129" s="112" t="str">
        <f>"mm "&amp;IF(AND(H129&lt;12.5,H129&gt;5,H129&gt;=H128),"OK","No Cumple")</f>
        <v>mm OK</v>
      </c>
      <c r="J129" s="12"/>
      <c r="K129" s="12"/>
      <c r="L129" s="12"/>
      <c r="M129" s="12"/>
      <c r="N129" s="13"/>
      <c r="O129" s="13"/>
      <c r="P129" s="547"/>
      <c r="Q129" s="547"/>
      <c r="R129" s="547"/>
      <c r="S129" s="183"/>
      <c r="T129" s="551"/>
      <c r="U129" s="551"/>
      <c r="V129" s="550"/>
    </row>
    <row r="130" spans="1:22" s="545" customFormat="1" x14ac:dyDescent="0.2">
      <c r="A130" s="514"/>
      <c r="B130" s="5" t="s">
        <v>24</v>
      </c>
      <c r="C130" s="5"/>
      <c r="D130" s="5"/>
      <c r="E130" s="5"/>
      <c r="F130" s="5"/>
      <c r="G130" s="515"/>
      <c r="H130" s="552">
        <f>PI()*H86*H86/4/COS(H127*PI()/180)*H129/1000*7.85</f>
        <v>9.3583821463799275</v>
      </c>
      <c r="I130" s="112" t="s">
        <v>14</v>
      </c>
      <c r="J130" s="12"/>
      <c r="K130" s="12"/>
      <c r="L130" s="12"/>
      <c r="M130" s="12"/>
      <c r="N130" s="13"/>
      <c r="O130" s="13"/>
      <c r="P130" s="547"/>
      <c r="Q130" s="547"/>
      <c r="R130" s="547"/>
      <c r="S130" s="183"/>
      <c r="T130" s="551"/>
      <c r="U130" s="551"/>
      <c r="V130" s="550"/>
    </row>
    <row r="131" spans="1:22" s="545" customFormat="1" x14ac:dyDescent="0.2">
      <c r="A131" s="514"/>
      <c r="B131" s="5" t="s">
        <v>192</v>
      </c>
      <c r="C131" s="5"/>
      <c r="D131" s="5"/>
      <c r="E131" s="5"/>
      <c r="F131" s="5"/>
      <c r="G131" s="515"/>
      <c r="H131" s="552">
        <f>PI()*H86*H86/4/COS(H127*PI()/180)*H129/1000*7.85+H119*H120/100</f>
        <v>9.3583821463799275</v>
      </c>
      <c r="I131" s="112" t="s">
        <v>14</v>
      </c>
      <c r="J131" s="12"/>
      <c r="K131" s="12"/>
      <c r="L131" s="12"/>
      <c r="M131" s="12"/>
      <c r="N131" s="13"/>
      <c r="O131" s="13"/>
      <c r="P131" s="547"/>
      <c r="Q131" s="547"/>
      <c r="R131" s="547"/>
      <c r="S131" s="183"/>
      <c r="T131" s="551"/>
      <c r="U131" s="551"/>
      <c r="V131" s="550"/>
    </row>
    <row r="132" spans="1:22" x14ac:dyDescent="0.2">
      <c r="A132" s="1"/>
      <c r="B132" s="1"/>
      <c r="C132" s="1"/>
      <c r="D132" s="1"/>
      <c r="E132" s="1"/>
      <c r="F132" s="1"/>
      <c r="G132" s="1"/>
      <c r="H132" s="1"/>
      <c r="I132" s="1"/>
      <c r="P132" s="86"/>
      <c r="Q132" s="86"/>
      <c r="R132" s="113"/>
      <c r="S132" s="114"/>
      <c r="T132" s="115"/>
      <c r="U132" s="115"/>
      <c r="V132" s="16"/>
    </row>
    <row r="133" spans="1:22" x14ac:dyDescent="0.2">
      <c r="A133" s="1"/>
      <c r="B133" s="1"/>
      <c r="C133" s="1"/>
      <c r="D133" s="1"/>
      <c r="E133" s="1"/>
      <c r="F133" s="1"/>
      <c r="G133" s="1"/>
      <c r="H133" s="116"/>
      <c r="I133" s="1"/>
      <c r="P133" s="86"/>
      <c r="Q133" s="86"/>
      <c r="R133" s="113"/>
      <c r="S133" s="114"/>
      <c r="T133" s="115"/>
      <c r="U133" s="115"/>
      <c r="V133" s="16"/>
    </row>
    <row r="134" spans="1:22" ht="15.75" x14ac:dyDescent="0.25">
      <c r="A134" s="117" t="s">
        <v>516</v>
      </c>
      <c r="B134" s="1"/>
      <c r="C134" s="1"/>
      <c r="D134" s="1"/>
      <c r="E134" s="1"/>
      <c r="F134" s="1"/>
      <c r="G134" s="1"/>
      <c r="H134" s="1"/>
      <c r="I134" s="1"/>
      <c r="P134" s="86"/>
      <c r="Q134" s="86"/>
      <c r="R134" s="113"/>
      <c r="S134" s="114"/>
      <c r="T134" s="115"/>
      <c r="U134" s="115"/>
    </row>
    <row r="135" spans="1:22" x14ac:dyDescent="0.2">
      <c r="A135" s="1"/>
      <c r="B135" s="1"/>
      <c r="C135" s="1"/>
      <c r="D135" s="1"/>
      <c r="E135" s="1"/>
      <c r="F135" s="1"/>
      <c r="G135" s="1"/>
      <c r="H135" s="1"/>
      <c r="I135" s="1"/>
      <c r="P135" s="86"/>
      <c r="Q135" s="86"/>
      <c r="R135" s="113"/>
      <c r="S135" s="114"/>
      <c r="T135" s="115"/>
      <c r="U135" s="115"/>
    </row>
    <row r="136" spans="1:22" x14ac:dyDescent="0.2">
      <c r="A136" s="38" t="s">
        <v>517</v>
      </c>
      <c r="B136" s="1"/>
      <c r="C136" s="1"/>
      <c r="D136" s="1"/>
      <c r="E136" s="1"/>
      <c r="F136" s="1"/>
      <c r="G136" s="1"/>
      <c r="H136" s="1"/>
      <c r="I136" s="1"/>
      <c r="P136" s="86"/>
      <c r="Q136" s="86"/>
      <c r="R136" s="113"/>
      <c r="S136" s="114"/>
      <c r="T136" s="115"/>
      <c r="U136" s="115"/>
    </row>
    <row r="137" spans="1:22" ht="13.5" thickBot="1" x14ac:dyDescent="0.25">
      <c r="A137" s="1"/>
      <c r="B137" s="1"/>
      <c r="C137" s="1"/>
      <c r="D137" s="1"/>
      <c r="E137" s="1"/>
      <c r="F137" s="1"/>
      <c r="G137" s="1"/>
      <c r="H137" s="1"/>
      <c r="I137" s="1"/>
      <c r="P137" s="86"/>
      <c r="Q137" s="86"/>
      <c r="R137" s="86"/>
      <c r="S137" s="87"/>
      <c r="T137" s="22"/>
      <c r="U137" s="22"/>
    </row>
    <row r="138" spans="1:22" ht="12.75" customHeight="1" x14ac:dyDescent="0.2">
      <c r="A138" s="1"/>
      <c r="B138" s="1"/>
      <c r="C138" s="118"/>
      <c r="D138" s="119" t="s">
        <v>194</v>
      </c>
      <c r="E138" s="120"/>
      <c r="F138" s="121" t="s">
        <v>25</v>
      </c>
      <c r="G138" s="1"/>
      <c r="H138" s="1"/>
      <c r="I138" s="1"/>
      <c r="P138" s="86"/>
      <c r="Q138" s="86"/>
      <c r="R138" s="113"/>
      <c r="S138" s="94"/>
      <c r="T138" s="22"/>
      <c r="U138" s="22"/>
    </row>
    <row r="139" spans="1:22" ht="12.75" customHeight="1" thickBot="1" x14ac:dyDescent="0.25">
      <c r="A139" s="1"/>
      <c r="B139" s="1"/>
      <c r="C139" s="122"/>
      <c r="D139" s="123" t="s">
        <v>3</v>
      </c>
      <c r="E139" s="124"/>
      <c r="F139" s="124" t="s">
        <v>11</v>
      </c>
      <c r="G139" s="1"/>
      <c r="H139" s="1"/>
      <c r="I139" s="1"/>
      <c r="P139" s="86"/>
      <c r="Q139" s="86"/>
      <c r="R139" s="113"/>
      <c r="S139" s="114"/>
      <c r="T139" s="22"/>
      <c r="U139" s="22"/>
    </row>
    <row r="140" spans="1:22" x14ac:dyDescent="0.2">
      <c r="A140" s="1"/>
      <c r="B140" s="1"/>
      <c r="C140" s="125"/>
      <c r="D140" s="126" t="s">
        <v>195</v>
      </c>
      <c r="E140" s="10"/>
      <c r="F140" s="10">
        <v>5</v>
      </c>
      <c r="G140" s="1"/>
      <c r="H140" s="1"/>
      <c r="I140" s="1"/>
      <c r="P140" s="86"/>
      <c r="Q140" s="86"/>
      <c r="R140" s="113"/>
      <c r="S140" s="114"/>
      <c r="T140" s="22"/>
      <c r="U140" s="22"/>
    </row>
    <row r="141" spans="1:22" x14ac:dyDescent="0.2">
      <c r="A141" s="1"/>
      <c r="B141" s="1"/>
      <c r="C141" s="125"/>
      <c r="D141" s="126" t="s">
        <v>196</v>
      </c>
      <c r="E141" s="10"/>
      <c r="F141" s="10">
        <v>6</v>
      </c>
      <c r="G141" s="1"/>
      <c r="H141" s="1"/>
      <c r="I141" s="1"/>
      <c r="O141" s="86"/>
      <c r="P141" s="86"/>
      <c r="Q141" s="86"/>
      <c r="R141" s="113"/>
      <c r="S141" s="114"/>
      <c r="T141" s="22"/>
      <c r="U141" s="22"/>
    </row>
    <row r="142" spans="1:22" x14ac:dyDescent="0.2">
      <c r="A142" s="1"/>
      <c r="B142" s="1"/>
      <c r="C142" s="125"/>
      <c r="D142" s="126" t="s">
        <v>197</v>
      </c>
      <c r="E142" s="10"/>
      <c r="F142" s="10">
        <v>8</v>
      </c>
      <c r="G142" s="1"/>
      <c r="H142" s="1"/>
      <c r="I142" s="1"/>
      <c r="Q142" s="86"/>
      <c r="R142" s="113"/>
      <c r="S142" s="114"/>
      <c r="T142" s="22"/>
      <c r="U142" s="22"/>
    </row>
    <row r="143" spans="1:22" ht="12.75" customHeight="1" thickBot="1" x14ac:dyDescent="0.25">
      <c r="A143" s="1"/>
      <c r="B143" s="1"/>
      <c r="C143" s="122"/>
      <c r="D143" s="7" t="s">
        <v>198</v>
      </c>
      <c r="E143" s="9"/>
      <c r="F143" s="9">
        <v>10</v>
      </c>
      <c r="G143" s="1"/>
      <c r="H143" s="1"/>
      <c r="I143" s="1"/>
      <c r="Q143" s="86"/>
      <c r="R143" s="113"/>
      <c r="S143" s="114"/>
      <c r="T143" s="22"/>
      <c r="U143" s="22"/>
    </row>
    <row r="144" spans="1:22" ht="15.75" x14ac:dyDescent="0.3">
      <c r="A144" s="1"/>
      <c r="B144" s="1"/>
      <c r="C144" s="1"/>
      <c r="D144" s="127" t="s">
        <v>201</v>
      </c>
      <c r="E144" s="1">
        <f>IF(H86&lt;15,5,IF(H86&lt;36,6,IF(H86&lt;60,8,10)))</f>
        <v>5</v>
      </c>
      <c r="F144" s="5" t="s">
        <v>11</v>
      </c>
      <c r="G144" s="1"/>
      <c r="H144" s="1"/>
      <c r="I144" s="1"/>
      <c r="Q144" s="86"/>
      <c r="R144" s="113"/>
      <c r="S144" s="114"/>
      <c r="T144" s="22"/>
      <c r="U144" s="22"/>
    </row>
    <row r="145" spans="1:21" x14ac:dyDescent="0.2">
      <c r="A145" s="1"/>
      <c r="B145" s="1"/>
      <c r="C145" s="1"/>
      <c r="D145" s="1"/>
      <c r="E145" s="1"/>
      <c r="F145" s="1"/>
      <c r="G145" s="1"/>
      <c r="H145" s="1"/>
      <c r="L145" s="12">
        <f t="shared" ref="L145:L151" si="19">Redondear_Lista($M$157:$M$172,G158)</f>
        <v>5</v>
      </c>
      <c r="Q145" s="86"/>
      <c r="R145" s="113"/>
      <c r="S145" s="114"/>
      <c r="T145" s="22"/>
      <c r="U145" s="22"/>
    </row>
    <row r="146" spans="1:21" x14ac:dyDescent="0.2">
      <c r="A146" s="38" t="s">
        <v>518</v>
      </c>
      <c r="B146" s="1"/>
      <c r="C146" s="1"/>
      <c r="D146" s="1"/>
      <c r="E146" s="126"/>
      <c r="F146" s="1"/>
      <c r="G146" s="1"/>
      <c r="H146" s="1"/>
      <c r="I146" s="1"/>
      <c r="L146" s="12">
        <f t="shared" si="19"/>
        <v>5</v>
      </c>
      <c r="Q146" s="86"/>
      <c r="R146" s="113"/>
      <c r="S146" s="114"/>
      <c r="T146" s="22"/>
      <c r="U146" s="22"/>
    </row>
    <row r="147" spans="1:21" x14ac:dyDescent="0.2">
      <c r="A147" s="1"/>
      <c r="B147" s="1"/>
      <c r="C147" s="1"/>
      <c r="D147" s="1"/>
      <c r="E147" s="1"/>
      <c r="F147" s="1"/>
      <c r="G147" s="1"/>
      <c r="H147" s="1"/>
      <c r="I147" s="1"/>
      <c r="L147" s="12">
        <f t="shared" si="19"/>
        <v>5</v>
      </c>
      <c r="Q147" s="86"/>
      <c r="R147" s="113"/>
      <c r="S147" s="114"/>
      <c r="T147" s="22"/>
      <c r="U147" s="22"/>
    </row>
    <row r="148" spans="1:21" ht="13.5" thickBot="1" x14ac:dyDescent="0.25">
      <c r="A148" s="1"/>
      <c r="B148" s="5" t="s">
        <v>342</v>
      </c>
      <c r="C148" s="1"/>
      <c r="D148" s="62" t="s">
        <v>343</v>
      </c>
      <c r="E148" s="340">
        <v>90</v>
      </c>
      <c r="F148" s="22" t="s">
        <v>18</v>
      </c>
      <c r="G148" s="1"/>
      <c r="H148" s="1"/>
      <c r="I148" s="1"/>
      <c r="L148" s="12">
        <f t="shared" si="19"/>
        <v>5</v>
      </c>
      <c r="Q148" s="86"/>
      <c r="R148" s="113"/>
      <c r="S148" s="94"/>
      <c r="T148" s="22"/>
      <c r="U148" s="22"/>
    </row>
    <row r="149" spans="1:21" ht="13.5" thickBot="1" x14ac:dyDescent="0.25">
      <c r="A149" s="1"/>
      <c r="B149" s="1"/>
      <c r="C149" s="1"/>
      <c r="D149" s="55" t="s">
        <v>199</v>
      </c>
      <c r="E149" s="129">
        <f>LOOKUP(J93,K79:K92,T79:T92)*IF(K149,E151,1)</f>
        <v>1.467889908256881</v>
      </c>
      <c r="F149" s="64" t="s">
        <v>96</v>
      </c>
      <c r="G149" s="22"/>
      <c r="H149" s="1"/>
      <c r="I149" s="1"/>
      <c r="J149" s="110" t="s">
        <v>314</v>
      </c>
      <c r="K149" s="456" t="b">
        <v>1</v>
      </c>
      <c r="L149" s="12">
        <f t="shared" si="19"/>
        <v>5</v>
      </c>
      <c r="Q149" s="86"/>
      <c r="R149" s="86"/>
      <c r="S149" s="87"/>
      <c r="T149" s="22"/>
      <c r="U149" s="22"/>
    </row>
    <row r="150" spans="1:21" ht="12.75" customHeight="1" x14ac:dyDescent="0.2">
      <c r="A150" s="1"/>
      <c r="B150" s="1"/>
      <c r="C150" s="55"/>
      <c r="D150" s="62" t="s">
        <v>200</v>
      </c>
      <c r="E150" s="130">
        <f>LOOKUP(J93,K79:K92,N79:N92)*IF(K149,E151,1)</f>
        <v>1.5727391874180867</v>
      </c>
      <c r="F150" s="64" t="s">
        <v>96</v>
      </c>
      <c r="G150" s="1"/>
      <c r="H150" s="1"/>
      <c r="I150" s="1"/>
      <c r="J150" s="131"/>
      <c r="L150" s="12">
        <f t="shared" si="19"/>
        <v>5</v>
      </c>
      <c r="Q150" s="86"/>
      <c r="R150" s="113"/>
      <c r="S150" s="94"/>
      <c r="T150" s="22"/>
      <c r="U150" s="22"/>
    </row>
    <row r="151" spans="1:21" ht="12.75" customHeight="1" x14ac:dyDescent="0.2">
      <c r="A151" s="1"/>
      <c r="B151" s="1"/>
      <c r="C151" s="62"/>
      <c r="D151" s="46" t="str">
        <f>IF(K149,"F1 =","")</f>
        <v>F1 =</v>
      </c>
      <c r="E151" s="505">
        <v>0.9</v>
      </c>
      <c r="G151" s="1"/>
      <c r="H151" s="1"/>
      <c r="I151" s="1"/>
      <c r="J151" s="131"/>
      <c r="L151" s="12">
        <f t="shared" si="19"/>
        <v>6</v>
      </c>
      <c r="Q151" s="86"/>
      <c r="R151" s="113"/>
      <c r="S151" s="94"/>
      <c r="T151" s="22"/>
      <c r="U151" s="22"/>
    </row>
    <row r="152" spans="1:21" x14ac:dyDescent="0.2">
      <c r="B152" s="1"/>
      <c r="C152" s="1"/>
      <c r="D152" s="1"/>
      <c r="E152" s="1"/>
      <c r="F152" s="1"/>
      <c r="G152" s="1"/>
      <c r="H152" s="1"/>
      <c r="I152" s="1"/>
      <c r="O152" s="86"/>
      <c r="P152" s="86"/>
      <c r="Q152" s="86"/>
      <c r="R152" s="86"/>
      <c r="S152" s="87"/>
      <c r="T152" s="22"/>
      <c r="U152" s="22"/>
    </row>
    <row r="153" spans="1:21" ht="12.75" customHeight="1" x14ac:dyDescent="0.2">
      <c r="A153" s="38" t="s">
        <v>519</v>
      </c>
      <c r="B153" s="1"/>
      <c r="C153" s="1"/>
      <c r="D153" s="1"/>
      <c r="E153" s="1"/>
      <c r="F153" s="1"/>
      <c r="G153" s="1"/>
      <c r="H153" s="1"/>
      <c r="I153" s="1"/>
      <c r="N153" s="15"/>
      <c r="O153" s="86"/>
      <c r="P153" s="86"/>
      <c r="Q153" s="86"/>
      <c r="R153" s="86"/>
      <c r="S153" s="87"/>
      <c r="T153" s="22"/>
      <c r="U153" s="22"/>
    </row>
    <row r="154" spans="1:21" ht="36.75" customHeight="1" thickBot="1" x14ac:dyDescent="0.25">
      <c r="A154" s="1"/>
      <c r="B154" s="577" t="s">
        <v>567</v>
      </c>
      <c r="C154" s="577"/>
      <c r="D154" s="478">
        <v>10</v>
      </c>
      <c r="E154" s="132"/>
      <c r="F154" s="132"/>
      <c r="G154" s="132"/>
      <c r="H154" s="132"/>
      <c r="I154" s="133"/>
      <c r="N154" s="15"/>
      <c r="O154" s="86"/>
      <c r="P154" s="86"/>
      <c r="Q154" s="86"/>
      <c r="R154" s="86"/>
      <c r="S154" s="87"/>
      <c r="T154" s="22"/>
      <c r="U154" s="22"/>
    </row>
    <row r="155" spans="1:21" ht="23.25" thickBot="1" x14ac:dyDescent="0.25">
      <c r="A155" s="1"/>
      <c r="B155" s="568" t="s">
        <v>28</v>
      </c>
      <c r="C155" s="571" t="s">
        <v>26</v>
      </c>
      <c r="D155" s="572"/>
      <c r="E155" s="572"/>
      <c r="F155" s="572"/>
      <c r="G155" s="573"/>
      <c r="H155" s="134" t="s">
        <v>27</v>
      </c>
      <c r="I155" s="133"/>
      <c r="K155" s="30" t="s">
        <v>164</v>
      </c>
      <c r="L155" s="31" t="s">
        <v>158</v>
      </c>
      <c r="M155" s="135"/>
      <c r="N155" s="15"/>
      <c r="O155" s="86"/>
      <c r="P155" s="86"/>
      <c r="Q155" s="86"/>
      <c r="R155" s="86"/>
      <c r="S155" s="87"/>
      <c r="T155" s="22"/>
      <c r="U155" s="22"/>
    </row>
    <row r="156" spans="1:21" x14ac:dyDescent="0.2">
      <c r="A156" s="1"/>
      <c r="B156" s="569"/>
      <c r="C156" s="136" t="s">
        <v>29</v>
      </c>
      <c r="D156" s="574" t="s">
        <v>30</v>
      </c>
      <c r="E156" s="575"/>
      <c r="F156" s="576"/>
      <c r="G156" s="137" t="s">
        <v>31</v>
      </c>
      <c r="H156" s="138" t="s">
        <v>77</v>
      </c>
      <c r="I156" s="133"/>
      <c r="J156" s="404" t="s">
        <v>35</v>
      </c>
      <c r="K156" s="139"/>
      <c r="L156" s="140"/>
      <c r="M156" s="141" t="s">
        <v>11</v>
      </c>
      <c r="N156" s="15"/>
      <c r="O156" s="86" t="s">
        <v>357</v>
      </c>
      <c r="P156" s="86"/>
      <c r="Q156" s="86"/>
      <c r="R156" s="86"/>
      <c r="S156" s="87"/>
      <c r="T156" s="22"/>
      <c r="U156" s="22"/>
    </row>
    <row r="157" spans="1:21" ht="13.5" thickBot="1" x14ac:dyDescent="0.25">
      <c r="A157" s="1"/>
      <c r="B157" s="570"/>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
      <c r="A158" s="1"/>
      <c r="B158" s="479">
        <v>1</v>
      </c>
      <c r="C158" s="469">
        <f>H90*1/10</f>
        <v>1.1400000000000001</v>
      </c>
      <c r="D158" s="480">
        <f>4.9*$H$86*(C158-$H$89-0.3)*$H$91/($E$149*E148)+$H$99</f>
        <v>2.1958366666666667</v>
      </c>
      <c r="E158" s="480">
        <f>4.9*$H$86*(C158-$H$89-0.3)/($E$150*E148)</f>
        <v>0.18278088888888894</v>
      </c>
      <c r="F158" s="480">
        <f t="shared" ref="F158:F167" si="20">MAX(D158,E158,$E$144)</f>
        <v>5</v>
      </c>
      <c r="G158" s="471">
        <v>5</v>
      </c>
      <c r="H158" s="481">
        <f>PI()*$H$86*G158/1000*7.85*C158</f>
        <v>1.6868467594185035</v>
      </c>
      <c r="I158" s="146" t="str">
        <f t="shared" ref="I158:I167" si="21">IF(G158&gt;=F158,"","Aumentar")</f>
        <v/>
      </c>
      <c r="J158" s="403">
        <f>H158*(0+C158)/2</f>
        <v>0.96150265286854708</v>
      </c>
      <c r="K158" s="39" t="s">
        <v>166</v>
      </c>
      <c r="L158" s="40">
        <f t="shared" ref="L158:L172" si="22">L157+1</f>
        <v>2</v>
      </c>
      <c r="M158" s="145">
        <v>5</v>
      </c>
      <c r="N158" s="15"/>
      <c r="O158" s="86">
        <f>Redondear_Lista($M$157:$M$172,F158)</f>
        <v>5</v>
      </c>
      <c r="P158" s="86"/>
      <c r="Q158" s="86"/>
      <c r="R158" s="86"/>
      <c r="S158" s="87"/>
      <c r="T158" s="22"/>
      <c r="U158" s="22"/>
    </row>
    <row r="159" spans="1:21" x14ac:dyDescent="0.2">
      <c r="A159" s="1"/>
      <c r="B159" s="479">
        <v>2</v>
      </c>
      <c r="C159" s="469">
        <f>H90*2/10</f>
        <v>2.2800000000000002</v>
      </c>
      <c r="D159" s="480">
        <f>4.9*$H$86*(C159-$H$89-0.3)*$H$91/($E$149*E148)+$H$99</f>
        <v>2.7032316666666669</v>
      </c>
      <c r="E159" s="480">
        <f>4.9*$H$86*(C159-$H$89-0.3)/($E$150*E148)</f>
        <v>0.65634955555555574</v>
      </c>
      <c r="F159" s="480">
        <f t="shared" si="20"/>
        <v>5</v>
      </c>
      <c r="G159" s="471">
        <v>5</v>
      </c>
      <c r="H159" s="481">
        <f t="shared" ref="H159:H167" si="23">PI()*$H$86*G159/1000*7.85*(C159-C158)</f>
        <v>1.6868467594185035</v>
      </c>
      <c r="I159" s="146" t="str">
        <f t="shared" si="21"/>
        <v/>
      </c>
      <c r="J159" s="403">
        <f>H159*(C159+C158)/2</f>
        <v>2.8845079586056412</v>
      </c>
      <c r="K159" s="39" t="s">
        <v>167</v>
      </c>
      <c r="L159" s="40">
        <f t="shared" si="22"/>
        <v>3</v>
      </c>
      <c r="M159" s="145">
        <v>6</v>
      </c>
      <c r="N159" s="15"/>
      <c r="O159" s="86">
        <f t="shared" ref="O159:O167" si="24">Redondear_Lista($M$157:$M$172,F159)</f>
        <v>5</v>
      </c>
      <c r="P159" s="86"/>
      <c r="Q159" s="86"/>
      <c r="R159" s="86"/>
      <c r="S159" s="87"/>
      <c r="T159" s="22"/>
      <c r="U159" s="22"/>
    </row>
    <row r="160" spans="1:21" x14ac:dyDescent="0.2">
      <c r="A160" s="1"/>
      <c r="B160" s="479">
        <v>3</v>
      </c>
      <c r="C160" s="469">
        <f>H90*3/10</f>
        <v>3.4200000000000004</v>
      </c>
      <c r="D160" s="480">
        <f>4.9*$H$86*(C160-$H$89-0.3)*$H$91/($E$149*E148)+$H$99</f>
        <v>3.2106266666666667</v>
      </c>
      <c r="E160" s="480">
        <f>4.9*$H$86*(C160-$H$89-0.3)/($E$150*E148)</f>
        <v>1.1299182222222224</v>
      </c>
      <c r="F160" s="480">
        <f t="shared" si="20"/>
        <v>5</v>
      </c>
      <c r="G160" s="471">
        <v>5</v>
      </c>
      <c r="H160" s="481">
        <f t="shared" si="23"/>
        <v>1.6868467594185035</v>
      </c>
      <c r="I160" s="146" t="str">
        <f t="shared" si="21"/>
        <v/>
      </c>
      <c r="J160" s="403">
        <f t="shared" ref="J160:J167" si="25">H160*(C160+C159)/2</f>
        <v>4.8075132643427354</v>
      </c>
      <c r="K160" s="39" t="s">
        <v>168</v>
      </c>
      <c r="L160" s="40">
        <f t="shared" si="22"/>
        <v>4</v>
      </c>
      <c r="M160" s="145">
        <v>8</v>
      </c>
      <c r="N160" s="15"/>
      <c r="O160" s="86">
        <f t="shared" si="24"/>
        <v>5</v>
      </c>
      <c r="P160" s="86"/>
      <c r="Q160" s="86"/>
      <c r="R160" s="86"/>
      <c r="S160" s="87"/>
      <c r="T160" s="22"/>
      <c r="U160" s="22"/>
    </row>
    <row r="161" spans="1:21" x14ac:dyDescent="0.2">
      <c r="A161" s="1"/>
      <c r="B161" s="479">
        <v>4</v>
      </c>
      <c r="C161" s="469">
        <f>H90*4/10</f>
        <v>4.5600000000000005</v>
      </c>
      <c r="D161" s="480">
        <f>4.9*$H$86*(C161-$H$89-0.3)*$H$91/($E$149*E148)+$H$99</f>
        <v>3.718021666666667</v>
      </c>
      <c r="E161" s="480">
        <f>4.9*$H$86*(C161-$H$89-0.3)/($E$150*E148)</f>
        <v>1.6034868888888891</v>
      </c>
      <c r="F161" s="480">
        <f t="shared" si="20"/>
        <v>5</v>
      </c>
      <c r="G161" s="471">
        <v>5</v>
      </c>
      <c r="H161" s="481">
        <f t="shared" si="23"/>
        <v>1.6868467594185035</v>
      </c>
      <c r="I161" s="146" t="str">
        <f t="shared" si="21"/>
        <v/>
      </c>
      <c r="J161" s="403">
        <f t="shared" si="25"/>
        <v>6.7305185700798296</v>
      </c>
      <c r="K161" s="39" t="s">
        <v>169</v>
      </c>
      <c r="L161" s="40">
        <f t="shared" si="22"/>
        <v>5</v>
      </c>
      <c r="M161" s="145">
        <v>10</v>
      </c>
      <c r="N161" s="15"/>
      <c r="O161" s="86">
        <f t="shared" si="24"/>
        <v>5</v>
      </c>
      <c r="P161" s="86"/>
      <c r="Q161" s="86"/>
      <c r="R161" s="86"/>
      <c r="S161" s="87"/>
      <c r="T161" s="22"/>
      <c r="U161" s="22"/>
    </row>
    <row r="162" spans="1:21" x14ac:dyDescent="0.2">
      <c r="A162" s="1"/>
      <c r="B162" s="479">
        <v>5</v>
      </c>
      <c r="C162" s="469">
        <f>H90*5/10</f>
        <v>5.7</v>
      </c>
      <c r="D162" s="480">
        <f>4.9*$H$86*(C162-$H$89-0.3)*$H$91/($E$149*E148)+$H$99</f>
        <v>4.2254166666666659</v>
      </c>
      <c r="E162" s="480">
        <f>4.9*$H$86*(C162-$H$89-0.3)/($E$150*E148)</f>
        <v>2.0770555555555554</v>
      </c>
      <c r="F162" s="480">
        <f t="shared" si="20"/>
        <v>5</v>
      </c>
      <c r="G162" s="471">
        <v>5</v>
      </c>
      <c r="H162" s="481">
        <f t="shared" si="23"/>
        <v>1.6868467594185028</v>
      </c>
      <c r="I162" s="146" t="str">
        <f t="shared" si="21"/>
        <v/>
      </c>
      <c r="J162" s="403">
        <f t="shared" si="25"/>
        <v>8.6535238758169211</v>
      </c>
      <c r="K162" s="39" t="s">
        <v>170</v>
      </c>
      <c r="L162" s="40">
        <f t="shared" si="22"/>
        <v>6</v>
      </c>
      <c r="M162" s="145">
        <v>12</v>
      </c>
      <c r="N162" s="15"/>
      <c r="O162" s="86">
        <f t="shared" si="24"/>
        <v>5</v>
      </c>
      <c r="P162" s="86"/>
      <c r="Q162" s="86"/>
      <c r="R162" s="86"/>
      <c r="S162" s="87"/>
      <c r="T162" s="22"/>
      <c r="U162" s="22"/>
    </row>
    <row r="163" spans="1:21" x14ac:dyDescent="0.2">
      <c r="A163" s="1"/>
      <c r="B163" s="479">
        <v>6</v>
      </c>
      <c r="C163" s="469">
        <f>H90*6/10</f>
        <v>6.8400000000000007</v>
      </c>
      <c r="D163" s="480">
        <f>4.9*$H$86*(C163-$H$89-0.3)*$H$91/($E$149*E148)+$H$99</f>
        <v>4.7328116666666666</v>
      </c>
      <c r="E163" s="480">
        <f>4.9*$H$86*(C163-$H$89-0.3)/($E$150*E148)</f>
        <v>2.5506242222222224</v>
      </c>
      <c r="F163" s="480">
        <f t="shared" si="20"/>
        <v>5</v>
      </c>
      <c r="G163" s="471">
        <v>5</v>
      </c>
      <c r="H163" s="481">
        <f t="shared" si="23"/>
        <v>1.6868467594185041</v>
      </c>
      <c r="I163" s="146" t="str">
        <f t="shared" si="21"/>
        <v/>
      </c>
      <c r="J163" s="403">
        <f>H163*(C163+C162)/2</f>
        <v>10.576529181554022</v>
      </c>
      <c r="K163" s="39" t="s">
        <v>171</v>
      </c>
      <c r="L163" s="40">
        <f t="shared" si="22"/>
        <v>7</v>
      </c>
      <c r="M163" s="145">
        <v>14</v>
      </c>
      <c r="N163" s="15"/>
      <c r="O163" s="86">
        <f t="shared" si="24"/>
        <v>5</v>
      </c>
      <c r="P163" s="86"/>
      <c r="Q163" s="86"/>
      <c r="R163" s="86"/>
      <c r="S163" s="87"/>
      <c r="T163" s="22"/>
      <c r="U163" s="22"/>
    </row>
    <row r="164" spans="1:21" x14ac:dyDescent="0.2">
      <c r="A164" s="1"/>
      <c r="B164" s="479">
        <v>7</v>
      </c>
      <c r="C164" s="469">
        <f>H90*7/10</f>
        <v>7.9799999999999995</v>
      </c>
      <c r="D164" s="480">
        <f>4.9*$H$86*(C164-$H$89-0.3)*$H$91/($E$149*E148)+$H$99</f>
        <v>5.2402066666666665</v>
      </c>
      <c r="E164" s="480">
        <f>4.9*$H$86*(C164-$H$89-0.3)/($E$150*E148)</f>
        <v>3.0241928888888889</v>
      </c>
      <c r="F164" s="480">
        <f t="shared" si="20"/>
        <v>5.2402066666666665</v>
      </c>
      <c r="G164" s="471">
        <v>6</v>
      </c>
      <c r="H164" s="481">
        <f t="shared" si="23"/>
        <v>2.0242161113022021</v>
      </c>
      <c r="I164" s="146" t="str">
        <f t="shared" si="21"/>
        <v/>
      </c>
      <c r="J164" s="403">
        <f t="shared" si="25"/>
        <v>14.999441384749318</v>
      </c>
      <c r="K164" s="39" t="s">
        <v>172</v>
      </c>
      <c r="L164" s="40">
        <f t="shared" si="22"/>
        <v>8</v>
      </c>
      <c r="M164" s="145">
        <v>16</v>
      </c>
      <c r="N164" s="15"/>
      <c r="O164" s="86">
        <f t="shared" si="24"/>
        <v>6</v>
      </c>
      <c r="P164" s="86"/>
      <c r="Q164" s="86"/>
      <c r="R164" s="86"/>
      <c r="S164" s="87"/>
      <c r="T164" s="22"/>
      <c r="U164" s="22"/>
    </row>
    <row r="165" spans="1:21" ht="12.75" customHeight="1" x14ac:dyDescent="0.2">
      <c r="A165" s="1"/>
      <c r="B165" s="479">
        <v>8</v>
      </c>
      <c r="C165" s="469">
        <f>H90*8/10</f>
        <v>9.120000000000001</v>
      </c>
      <c r="D165" s="480">
        <f>4.9*$H$86*(C165-$H$89-0.3)*$H$91/($E$149*E148)+$H$99</f>
        <v>5.7476016666666663</v>
      </c>
      <c r="E165" s="480">
        <f>4.9*$H$86*(C165-$H$89-0.3)/($E$150*E148)</f>
        <v>3.4977615555555555</v>
      </c>
      <c r="F165" s="480">
        <f t="shared" si="20"/>
        <v>5.7476016666666663</v>
      </c>
      <c r="G165" s="471">
        <v>6</v>
      </c>
      <c r="H165" s="481">
        <f t="shared" si="23"/>
        <v>2.0242161113022066</v>
      </c>
      <c r="I165" s="146" t="str">
        <f t="shared" si="21"/>
        <v/>
      </c>
      <c r="J165" s="403">
        <f t="shared" si="25"/>
        <v>17.307047751633867</v>
      </c>
      <c r="K165" s="39" t="s">
        <v>173</v>
      </c>
      <c r="L165" s="40">
        <f t="shared" si="22"/>
        <v>9</v>
      </c>
      <c r="M165" s="145">
        <v>18</v>
      </c>
      <c r="N165" s="15"/>
      <c r="O165" s="86">
        <f t="shared" si="24"/>
        <v>6</v>
      </c>
      <c r="P165" s="113"/>
      <c r="Q165" s="113"/>
      <c r="R165" s="113"/>
      <c r="S165" s="87"/>
      <c r="T165" s="22"/>
      <c r="U165" s="22"/>
    </row>
    <row r="166" spans="1:21" x14ac:dyDescent="0.2">
      <c r="A166" s="1"/>
      <c r="B166" s="479">
        <v>9</v>
      </c>
      <c r="C166" s="469">
        <f>H90*9/10</f>
        <v>10.260000000000002</v>
      </c>
      <c r="D166" s="480">
        <f>4.9*$H$86*(C166-$H$89-0.3)*$H$91/($E$149*E148)+$H$99</f>
        <v>6.2549966666666661</v>
      </c>
      <c r="E166" s="480">
        <f>4.9*$H$86*(C166-$H$89-0.3)/($E$150*E148)</f>
        <v>3.9713302222222224</v>
      </c>
      <c r="F166" s="480">
        <f t="shared" si="20"/>
        <v>6.2549966666666661</v>
      </c>
      <c r="G166" s="471">
        <v>8</v>
      </c>
      <c r="H166" s="481">
        <f t="shared" si="23"/>
        <v>2.698954815069607</v>
      </c>
      <c r="I166" s="146" t="str">
        <f>IF(G166&gt;=F166,"","Aumentar")</f>
        <v/>
      </c>
      <c r="J166" s="403">
        <f t="shared" si="25"/>
        <v>26.152872158024497</v>
      </c>
      <c r="K166" s="39" t="s">
        <v>174</v>
      </c>
      <c r="L166" s="40">
        <f t="shared" si="22"/>
        <v>10</v>
      </c>
      <c r="M166" s="145">
        <v>20</v>
      </c>
      <c r="N166" s="15"/>
      <c r="O166" s="86">
        <f t="shared" si="24"/>
        <v>8</v>
      </c>
      <c r="P166" s="113"/>
      <c r="Q166" s="113"/>
      <c r="R166" s="113"/>
      <c r="S166" s="87"/>
      <c r="T166" s="22"/>
      <c r="U166" s="22"/>
    </row>
    <row r="167" spans="1:21" ht="13.5" thickBot="1" x14ac:dyDescent="0.25">
      <c r="A167" s="1"/>
      <c r="B167" s="482">
        <v>10</v>
      </c>
      <c r="C167" s="470">
        <f>H90*10/10</f>
        <v>11.4</v>
      </c>
      <c r="D167" s="483">
        <f>4.9*$H$86*(C167-$H$89-0.3)*$H$91/($E$149*E148)+$H$99</f>
        <v>6.7623916666666659</v>
      </c>
      <c r="E167" s="483">
        <f>4.9*$H$86*(C167-$H$89-0.3)/($E$150*E148)</f>
        <v>4.4448988888888881</v>
      </c>
      <c r="F167" s="483">
        <f t="shared" si="20"/>
        <v>6.7623916666666659</v>
      </c>
      <c r="G167" s="472">
        <v>8</v>
      </c>
      <c r="H167" s="484">
        <f t="shared" si="23"/>
        <v>2.6989548150696026</v>
      </c>
      <c r="I167" s="146" t="str">
        <f t="shared" si="21"/>
        <v/>
      </c>
      <c r="J167" s="406">
        <f t="shared" si="25"/>
        <v>29.2296806472038</v>
      </c>
      <c r="K167" s="39" t="s">
        <v>175</v>
      </c>
      <c r="L167" s="40">
        <f t="shared" si="22"/>
        <v>11</v>
      </c>
      <c r="M167" s="145">
        <v>22</v>
      </c>
      <c r="N167" s="15"/>
      <c r="O167" s="86">
        <f t="shared" si="24"/>
        <v>8</v>
      </c>
      <c r="P167" s="113"/>
      <c r="Q167" s="113"/>
      <c r="R167" s="113"/>
      <c r="S167" s="87"/>
      <c r="T167" s="22"/>
      <c r="U167" s="22"/>
    </row>
    <row r="168" spans="1:21" ht="27.75" customHeight="1" x14ac:dyDescent="0.2">
      <c r="A168" s="1"/>
      <c r="B168" s="399"/>
      <c r="C168" s="400"/>
      <c r="D168" s="401"/>
      <c r="E168" s="401"/>
      <c r="F168" s="401"/>
      <c r="G168" s="402"/>
      <c r="H168" s="400">
        <f>SUM(H158:H167)</f>
        <v>19.567422409254636</v>
      </c>
      <c r="I168" s="133"/>
      <c r="J168" s="400">
        <f>SUM(J158:J167)</f>
        <v>122.30313744487918</v>
      </c>
      <c r="K168" s="39" t="s">
        <v>176</v>
      </c>
      <c r="L168" s="40">
        <f t="shared" si="22"/>
        <v>12</v>
      </c>
      <c r="M168" s="145">
        <v>25</v>
      </c>
      <c r="N168" s="15"/>
      <c r="O168" s="113"/>
      <c r="P168" s="113"/>
      <c r="Q168" s="113"/>
      <c r="R168" s="113"/>
      <c r="S168" s="87"/>
      <c r="T168" s="22"/>
      <c r="U168" s="22"/>
    </row>
    <row r="169" spans="1:21" x14ac:dyDescent="0.2">
      <c r="A169" s="38" t="s">
        <v>520</v>
      </c>
      <c r="B169" s="1"/>
      <c r="C169" s="1"/>
      <c r="D169" s="1"/>
      <c r="E169" s="1"/>
      <c r="F169" s="1"/>
      <c r="G169" s="1"/>
      <c r="H169" s="1"/>
      <c r="I169" s="1"/>
      <c r="J169" s="407"/>
      <c r="K169" s="39" t="s">
        <v>177</v>
      </c>
      <c r="L169" s="40">
        <f t="shared" si="22"/>
        <v>13</v>
      </c>
      <c r="M169" s="145">
        <v>28</v>
      </c>
      <c r="P169" s="12"/>
    </row>
    <row r="170" spans="1:21" ht="13.5" thickBot="1" x14ac:dyDescent="0.25">
      <c r="A170" s="1"/>
      <c r="B170" s="1"/>
      <c r="C170" s="1"/>
      <c r="D170" s="1"/>
      <c r="E170" s="1"/>
      <c r="F170" s="1"/>
      <c r="G170" s="1"/>
      <c r="H170" s="1"/>
      <c r="I170" s="1"/>
      <c r="K170" s="39" t="s">
        <v>178</v>
      </c>
      <c r="L170" s="40">
        <f t="shared" si="22"/>
        <v>14</v>
      </c>
      <c r="M170" s="145">
        <v>32</v>
      </c>
      <c r="P170" s="12"/>
    </row>
    <row r="171" spans="1:21" x14ac:dyDescent="0.2">
      <c r="A171" s="1"/>
      <c r="B171" s="1"/>
      <c r="C171" s="578" t="s">
        <v>214</v>
      </c>
      <c r="D171" s="579"/>
      <c r="E171" s="578" t="s">
        <v>216</v>
      </c>
      <c r="F171" s="580"/>
      <c r="G171" s="580"/>
      <c r="H171" s="579"/>
      <c r="I171" s="1"/>
      <c r="K171" s="39" t="s">
        <v>179</v>
      </c>
      <c r="L171" s="40">
        <f t="shared" si="22"/>
        <v>15</v>
      </c>
      <c r="M171" s="145">
        <v>35</v>
      </c>
      <c r="P171" s="12"/>
    </row>
    <row r="172" spans="1:21" ht="13.5" thickBot="1" x14ac:dyDescent="0.25">
      <c r="A172" s="1"/>
      <c r="B172" s="1"/>
      <c r="C172" s="565" t="s">
        <v>215</v>
      </c>
      <c r="D172" s="566"/>
      <c r="E172" s="6"/>
      <c r="F172" s="581" t="s">
        <v>208</v>
      </c>
      <c r="G172" s="581"/>
      <c r="H172" s="9"/>
      <c r="I172" s="1"/>
      <c r="K172" s="39" t="s">
        <v>180</v>
      </c>
      <c r="L172" s="40">
        <f t="shared" si="22"/>
        <v>16</v>
      </c>
      <c r="M172" s="145">
        <v>40</v>
      </c>
      <c r="P172" s="12"/>
    </row>
    <row r="173" spans="1:21" ht="13.5" thickBot="1" x14ac:dyDescent="0.25">
      <c r="A173" s="1"/>
      <c r="B173" s="1"/>
      <c r="C173" s="582" t="s">
        <v>11</v>
      </c>
      <c r="D173" s="583"/>
      <c r="E173" s="149" t="s">
        <v>217</v>
      </c>
      <c r="F173" s="150" t="s">
        <v>220</v>
      </c>
      <c r="G173" s="150" t="s">
        <v>218</v>
      </c>
      <c r="H173" s="151" t="s">
        <v>219</v>
      </c>
      <c r="I173" s="1"/>
      <c r="K173" s="147" t="s">
        <v>582</v>
      </c>
      <c r="L173" s="53">
        <f>L172+1</f>
        <v>17</v>
      </c>
      <c r="M173" s="148">
        <v>50</v>
      </c>
      <c r="P173" s="12"/>
    </row>
    <row r="174" spans="1:21" x14ac:dyDescent="0.2">
      <c r="A174" s="1"/>
      <c r="B174" s="1"/>
      <c r="C174" s="565" t="s">
        <v>209</v>
      </c>
      <c r="D174" s="566"/>
      <c r="E174" s="126">
        <v>6</v>
      </c>
      <c r="F174" s="11">
        <v>6</v>
      </c>
      <c r="G174" s="11">
        <v>7</v>
      </c>
      <c r="H174" s="10">
        <v>9</v>
      </c>
      <c r="I174" s="1"/>
      <c r="J174" s="152">
        <f>IF($H$182&lt;190,E174,IF($H$182&lt;210,F174,IF($H$182&lt;230,G174,H174)))</f>
        <v>6</v>
      </c>
      <c r="P174" s="12"/>
    </row>
    <row r="175" spans="1:21" x14ac:dyDescent="0.2">
      <c r="A175" s="1"/>
      <c r="B175" s="1"/>
      <c r="C175" s="565" t="s">
        <v>210</v>
      </c>
      <c r="D175" s="566"/>
      <c r="E175" s="126">
        <v>6</v>
      </c>
      <c r="F175" s="11">
        <v>7</v>
      </c>
      <c r="G175" s="11">
        <v>10</v>
      </c>
      <c r="H175" s="10">
        <v>11</v>
      </c>
      <c r="I175" s="1"/>
      <c r="J175" s="152">
        <f>IF($H$182&lt;190,E175,IF($H$182&lt;210,F175,IF($H$182&lt;230,G175,H175)))</f>
        <v>6</v>
      </c>
      <c r="P175" s="12"/>
    </row>
    <row r="176" spans="1:21" x14ac:dyDescent="0.2">
      <c r="A176" s="1"/>
      <c r="B176" s="1"/>
      <c r="C176" s="565" t="s">
        <v>211</v>
      </c>
      <c r="D176" s="566"/>
      <c r="E176" s="126">
        <v>6</v>
      </c>
      <c r="F176" s="11">
        <v>9</v>
      </c>
      <c r="G176" s="11">
        <v>12</v>
      </c>
      <c r="H176" s="10">
        <v>14</v>
      </c>
      <c r="I176" s="1"/>
      <c r="J176" s="152">
        <f>IF($H$182&lt;190,E176,IF($H$182&lt;210,F176,IF($H$182&lt;230,G176,H176)))</f>
        <v>6</v>
      </c>
      <c r="P176" s="12"/>
    </row>
    <row r="177" spans="1:21" x14ac:dyDescent="0.2">
      <c r="A177" s="1"/>
      <c r="B177" s="1"/>
      <c r="C177" s="565" t="s">
        <v>212</v>
      </c>
      <c r="D177" s="566"/>
      <c r="E177" s="126">
        <v>8</v>
      </c>
      <c r="F177" s="11">
        <v>11</v>
      </c>
      <c r="G177" s="11">
        <v>14</v>
      </c>
      <c r="H177" s="10">
        <v>17</v>
      </c>
      <c r="I177" s="1"/>
      <c r="J177" s="152">
        <f>IF($H$182&lt;190,E177,IF($H$182&lt;210,F177,IF($H$182&lt;230,G177,H177)))</f>
        <v>8</v>
      </c>
      <c r="P177" s="12"/>
    </row>
    <row r="178" spans="1:21" ht="13.5" thickBot="1" x14ac:dyDescent="0.25">
      <c r="A178" s="1"/>
      <c r="B178" s="1"/>
      <c r="C178" s="582" t="s">
        <v>213</v>
      </c>
      <c r="D178" s="583"/>
      <c r="E178" s="7">
        <v>9</v>
      </c>
      <c r="F178" s="8">
        <v>13</v>
      </c>
      <c r="G178" s="8">
        <v>16</v>
      </c>
      <c r="H178" s="9">
        <v>19</v>
      </c>
      <c r="I178" s="1"/>
      <c r="J178" s="152">
        <f>IF($H$182&lt;190,E178,IF($H$182&lt;210,F178,IF($H$182&lt;230,G178,H178)))</f>
        <v>9</v>
      </c>
      <c r="P178" s="12"/>
    </row>
    <row r="179" spans="1:21" x14ac:dyDescent="0.2">
      <c r="A179" s="1"/>
      <c r="B179" s="1"/>
      <c r="C179" s="5"/>
      <c r="D179" s="1"/>
      <c r="E179" s="1"/>
      <c r="F179" s="1"/>
      <c r="G179" s="1"/>
      <c r="H179" s="1"/>
      <c r="I179" s="1"/>
      <c r="P179" s="12"/>
    </row>
    <row r="180" spans="1:21" x14ac:dyDescent="0.2">
      <c r="A180" s="1"/>
      <c r="B180" s="5" t="s">
        <v>510</v>
      </c>
      <c r="C180" s="1"/>
      <c r="D180" s="1"/>
      <c r="E180" s="1"/>
      <c r="F180" s="46" t="s">
        <v>74</v>
      </c>
      <c r="G180" s="47" t="s">
        <v>2</v>
      </c>
      <c r="H180" s="473">
        <v>8</v>
      </c>
      <c r="I180" s="5" t="str">
        <f>"mm" &amp; IF(J94="ACERO CARBONO",IF(H180-H100&lt;6," AUMENTAR",""),IF(H180-H100&lt;5," AUMENTAR",""))</f>
        <v>mm</v>
      </c>
      <c r="P180" s="12"/>
    </row>
    <row r="181" spans="1:21" x14ac:dyDescent="0.2">
      <c r="A181" s="1"/>
      <c r="B181" s="5" t="s">
        <v>206</v>
      </c>
      <c r="D181" s="1"/>
      <c r="E181" s="1"/>
      <c r="F181" s="1"/>
      <c r="G181" s="1"/>
      <c r="H181" s="48">
        <f>LOOKUP(D154,B158:B167,G158:G167)</f>
        <v>8</v>
      </c>
      <c r="I181" s="5" t="s">
        <v>11</v>
      </c>
      <c r="P181" s="12"/>
    </row>
    <row r="182" spans="1:21" x14ac:dyDescent="0.2">
      <c r="A182" s="1"/>
      <c r="B182" s="5" t="s">
        <v>207</v>
      </c>
      <c r="C182" s="1"/>
      <c r="D182" s="1"/>
      <c r="E182" s="1"/>
      <c r="F182" s="1"/>
      <c r="G182" s="1"/>
      <c r="H182" s="63">
        <f>4.9*$H$86*(H87-0.3)/H181</f>
        <v>78.644999999999996</v>
      </c>
      <c r="I182" s="1" t="s">
        <v>208</v>
      </c>
      <c r="P182" s="12"/>
    </row>
    <row r="183" spans="1:21" x14ac:dyDescent="0.2">
      <c r="A183" s="1"/>
      <c r="B183" s="5" t="s">
        <v>203</v>
      </c>
      <c r="C183" s="5"/>
      <c r="D183" s="5"/>
      <c r="E183" s="5"/>
      <c r="F183" s="46" t="s">
        <v>509</v>
      </c>
      <c r="G183" s="47" t="s">
        <v>2</v>
      </c>
      <c r="H183" s="48">
        <f>IF(H181&lt;19,J174,IF(H181&lt;25,J175,IF(H181&lt;32,J176,IF(H181&lt;38,J177,J178))))+H100</f>
        <v>8</v>
      </c>
      <c r="I183" s="5" t="s">
        <v>11</v>
      </c>
      <c r="P183" s="12"/>
    </row>
    <row r="184" spans="1:21" x14ac:dyDescent="0.2">
      <c r="A184" s="1"/>
      <c r="B184" s="1"/>
      <c r="C184" s="1"/>
      <c r="D184" s="1"/>
      <c r="E184" s="1"/>
      <c r="F184" s="1"/>
      <c r="G184" s="1"/>
      <c r="H184" s="51"/>
      <c r="I184" s="1"/>
      <c r="O184" s="113"/>
      <c r="P184" s="113"/>
      <c r="Q184" s="113"/>
      <c r="R184" s="113"/>
      <c r="S184" s="87"/>
      <c r="T184" s="22"/>
      <c r="U184" s="22"/>
    </row>
    <row r="185" spans="1:21" ht="15.75" x14ac:dyDescent="0.25">
      <c r="A185" s="117" t="s">
        <v>521</v>
      </c>
      <c r="B185" s="1"/>
      <c r="C185" s="1"/>
      <c r="D185" s="1"/>
      <c r="E185" s="1"/>
      <c r="F185" s="1"/>
      <c r="G185" s="1"/>
      <c r="H185" s="51"/>
      <c r="I185" s="1"/>
      <c r="L185" s="153"/>
      <c r="M185" s="84"/>
      <c r="N185" s="113"/>
      <c r="O185" s="113"/>
      <c r="P185" s="113"/>
      <c r="Q185" s="113"/>
      <c r="R185" s="113"/>
      <c r="S185" s="87"/>
      <c r="T185" s="22"/>
      <c r="U185" s="22"/>
    </row>
    <row r="186" spans="1:21" x14ac:dyDescent="0.2">
      <c r="A186" s="1"/>
      <c r="B186" s="1"/>
      <c r="C186" s="1"/>
      <c r="D186" s="1"/>
      <c r="E186" s="1"/>
      <c r="F186" s="1"/>
      <c r="G186" s="1"/>
      <c r="H186" s="51"/>
      <c r="I186" s="1"/>
      <c r="L186" s="153"/>
      <c r="M186" s="84"/>
      <c r="N186" s="113"/>
      <c r="O186" s="113"/>
      <c r="P186" s="113"/>
      <c r="Q186" s="113"/>
      <c r="R186" s="113"/>
      <c r="S186" s="87"/>
      <c r="T186" s="22"/>
      <c r="U186" s="22"/>
    </row>
    <row r="187" spans="1:21" x14ac:dyDescent="0.2">
      <c r="A187" s="38" t="s">
        <v>524</v>
      </c>
      <c r="B187" s="1"/>
      <c r="C187" s="1"/>
      <c r="D187" s="1"/>
      <c r="E187" s="1"/>
      <c r="F187" s="1"/>
      <c r="G187" s="1"/>
      <c r="H187" s="51"/>
      <c r="I187" s="1"/>
      <c r="L187" s="153"/>
      <c r="M187" s="84"/>
      <c r="N187" s="113"/>
      <c r="O187" s="113"/>
      <c r="P187" s="113"/>
      <c r="Q187" s="113"/>
      <c r="R187" s="113"/>
      <c r="S187" s="87"/>
      <c r="T187" s="22"/>
      <c r="U187" s="22"/>
    </row>
    <row r="188" spans="1:21" x14ac:dyDescent="0.2">
      <c r="A188" s="1"/>
      <c r="B188" s="5" t="s">
        <v>36</v>
      </c>
      <c r="C188" s="5"/>
      <c r="D188" s="5"/>
      <c r="E188" s="5"/>
      <c r="F188" s="46" t="s">
        <v>78</v>
      </c>
      <c r="G188" s="47" t="s">
        <v>2</v>
      </c>
      <c r="H188" s="553">
        <f>+H131</f>
        <v>9.3583821463799275</v>
      </c>
      <c r="I188" s="5" t="s">
        <v>14</v>
      </c>
      <c r="J188" s="155"/>
      <c r="L188" s="153"/>
      <c r="M188" s="156"/>
      <c r="N188" s="157"/>
      <c r="O188" s="113"/>
      <c r="P188" s="113"/>
      <c r="Q188" s="113"/>
      <c r="R188" s="113"/>
      <c r="S188" s="87"/>
      <c r="T188" s="22"/>
      <c r="U188" s="22"/>
    </row>
    <row r="189" spans="1:21" x14ac:dyDescent="0.2">
      <c r="A189" s="1"/>
      <c r="B189" s="5" t="s">
        <v>643</v>
      </c>
      <c r="C189" s="5"/>
      <c r="D189" s="5"/>
      <c r="E189" s="5"/>
      <c r="F189" s="46" t="s">
        <v>79</v>
      </c>
      <c r="G189" s="47" t="s">
        <v>2</v>
      </c>
      <c r="H189" s="154">
        <f>+H168+H121</f>
        <v>20.567422409254636</v>
      </c>
      <c r="I189" s="5" t="s">
        <v>14</v>
      </c>
      <c r="J189" s="155"/>
      <c r="L189" s="153"/>
      <c r="M189" s="84"/>
      <c r="N189" s="113"/>
      <c r="O189" s="113"/>
      <c r="P189" s="113"/>
      <c r="Q189" s="113"/>
      <c r="R189" s="113"/>
      <c r="S189" s="87"/>
      <c r="T189" s="22"/>
      <c r="U189" s="22"/>
    </row>
    <row r="190" spans="1:21" x14ac:dyDescent="0.2">
      <c r="A190" s="1"/>
      <c r="B190" s="5" t="s">
        <v>37</v>
      </c>
      <c r="C190" s="5"/>
      <c r="D190" s="5"/>
      <c r="E190" s="5"/>
      <c r="F190" s="46" t="s">
        <v>80</v>
      </c>
      <c r="G190" s="47" t="s">
        <v>2</v>
      </c>
      <c r="H190" s="158">
        <f>PI()*H86*H86/4*H87*H91</f>
        <v>1244.0706908215582</v>
      </c>
      <c r="I190" s="5" t="s">
        <v>14</v>
      </c>
      <c r="J190" s="155"/>
      <c r="L190" s="153"/>
      <c r="M190" s="84"/>
      <c r="N190" s="113"/>
      <c r="O190" s="113"/>
      <c r="P190" s="113"/>
      <c r="Q190" s="113"/>
      <c r="R190" s="113"/>
      <c r="S190" s="87"/>
      <c r="T190" s="22"/>
      <c r="U190" s="22"/>
    </row>
    <row r="191" spans="1:21" x14ac:dyDescent="0.2">
      <c r="A191" s="1"/>
      <c r="B191" s="5" t="s">
        <v>38</v>
      </c>
      <c r="C191" s="5"/>
      <c r="D191" s="5"/>
      <c r="E191" s="5"/>
      <c r="F191" s="46" t="s">
        <v>81</v>
      </c>
      <c r="G191" s="47" t="s">
        <v>2</v>
      </c>
      <c r="H191" s="158">
        <f>SUM(H188:H190)</f>
        <v>1273.9964953771928</v>
      </c>
      <c r="I191" s="5" t="s">
        <v>14</v>
      </c>
      <c r="J191" s="155"/>
      <c r="L191" s="153"/>
      <c r="M191" s="84"/>
      <c r="N191" s="113"/>
      <c r="O191" s="113"/>
      <c r="P191" s="113"/>
      <c r="Q191" s="113"/>
      <c r="R191" s="113"/>
      <c r="S191" s="87"/>
      <c r="T191" s="22"/>
      <c r="U191" s="22"/>
    </row>
    <row r="192" spans="1:21" x14ac:dyDescent="0.2">
      <c r="A192" s="1"/>
      <c r="B192" s="5" t="s">
        <v>622</v>
      </c>
      <c r="C192" s="5"/>
      <c r="D192" s="5"/>
      <c r="E192" s="5"/>
      <c r="F192" s="46" t="s">
        <v>82</v>
      </c>
      <c r="G192" s="47" t="s">
        <v>2</v>
      </c>
      <c r="H192" s="553">
        <f>+H90+H126</f>
        <v>13.4</v>
      </c>
      <c r="I192" s="5" t="s">
        <v>3</v>
      </c>
      <c r="J192" s="155"/>
      <c r="L192" s="153"/>
      <c r="M192" s="84"/>
      <c r="N192" s="113"/>
      <c r="O192" s="113"/>
      <c r="P192" s="113"/>
      <c r="Q192" s="113"/>
      <c r="R192" s="113"/>
      <c r="S192" s="87"/>
      <c r="T192" s="22"/>
      <c r="U192" s="22"/>
    </row>
    <row r="193" spans="1:21" x14ac:dyDescent="0.2">
      <c r="A193" s="1"/>
      <c r="B193" s="5" t="s">
        <v>39</v>
      </c>
      <c r="C193" s="5"/>
      <c r="D193" s="5"/>
      <c r="E193" s="5"/>
      <c r="F193" s="46" t="s">
        <v>83</v>
      </c>
      <c r="G193" s="47" t="s">
        <v>2</v>
      </c>
      <c r="H193" s="154">
        <f>H90-J168/H168</f>
        <v>5.1496551724137918</v>
      </c>
      <c r="I193" s="5" t="s">
        <v>3</v>
      </c>
      <c r="J193" s="155"/>
      <c r="L193" s="153"/>
      <c r="M193" s="156"/>
      <c r="N193" s="157"/>
      <c r="O193" s="157"/>
      <c r="P193" s="157"/>
      <c r="Q193" s="157"/>
      <c r="R193" s="157"/>
      <c r="S193" s="87"/>
      <c r="T193" s="22"/>
      <c r="U193" s="22"/>
    </row>
    <row r="194" spans="1:21" x14ac:dyDescent="0.2">
      <c r="A194" s="1"/>
      <c r="B194" s="5"/>
      <c r="C194" s="5"/>
      <c r="D194" s="5"/>
      <c r="E194" s="5"/>
      <c r="F194" s="46"/>
      <c r="G194" s="47"/>
      <c r="H194" s="154"/>
      <c r="I194" s="5"/>
      <c r="J194" s="155"/>
      <c r="L194" s="153"/>
      <c r="M194" s="84"/>
      <c r="N194" s="113"/>
      <c r="O194" s="159"/>
      <c r="P194" s="159"/>
      <c r="Q194" s="159"/>
      <c r="R194" s="160"/>
      <c r="S194" s="87"/>
      <c r="T194" s="22"/>
      <c r="U194" s="22"/>
    </row>
    <row r="195" spans="1:21" x14ac:dyDescent="0.2">
      <c r="A195" s="38" t="s">
        <v>525</v>
      </c>
      <c r="B195" s="5"/>
      <c r="C195" s="5"/>
      <c r="D195" s="5"/>
      <c r="E195" s="5"/>
      <c r="F195" s="46" t="s">
        <v>40</v>
      </c>
      <c r="G195" s="47" t="s">
        <v>2</v>
      </c>
      <c r="H195" s="154">
        <f>H86/H87</f>
        <v>1.0909090909090908</v>
      </c>
      <c r="I195" s="5"/>
      <c r="J195" s="81"/>
      <c r="K195" s="81"/>
      <c r="L195" s="153"/>
      <c r="M195" s="84"/>
      <c r="N195" s="113"/>
      <c r="O195" s="159"/>
      <c r="P195" s="159"/>
      <c r="Q195" s="159"/>
      <c r="R195" s="160"/>
      <c r="S195" s="87"/>
      <c r="T195" s="22"/>
      <c r="U195" s="22"/>
    </row>
    <row r="196" spans="1:21" x14ac:dyDescent="0.2">
      <c r="A196" s="1"/>
      <c r="B196" s="5" t="s">
        <v>41</v>
      </c>
      <c r="C196" s="5"/>
      <c r="D196" s="5"/>
      <c r="E196" s="5"/>
      <c r="F196" s="46" t="s">
        <v>84</v>
      </c>
      <c r="G196" s="47" t="s">
        <v>2</v>
      </c>
      <c r="H196" s="154">
        <f>TANH(0.866*H195)/(0.866*H195)</f>
        <v>0.78052859553709542</v>
      </c>
      <c r="I196" s="5"/>
      <c r="J196" s="155"/>
      <c r="L196" s="153"/>
      <c r="M196" s="84"/>
      <c r="N196" s="113"/>
      <c r="O196" s="159"/>
      <c r="P196" s="159"/>
      <c r="Q196" s="159"/>
      <c r="R196" s="160"/>
      <c r="S196" s="87"/>
      <c r="T196" s="22"/>
      <c r="U196" s="22"/>
    </row>
    <row r="197" spans="1:21" x14ac:dyDescent="0.2">
      <c r="A197" s="1"/>
      <c r="B197" s="5" t="s">
        <v>41</v>
      </c>
      <c r="C197" s="5"/>
      <c r="D197" s="5"/>
      <c r="E197" s="5"/>
      <c r="F197" s="46" t="s">
        <v>85</v>
      </c>
      <c r="G197" s="47" t="s">
        <v>2</v>
      </c>
      <c r="H197" s="154">
        <f>0.23*H195*TANH(3.68/H195)</f>
        <v>0.25032025215780834</v>
      </c>
      <c r="I197" s="5"/>
      <c r="J197" s="155"/>
      <c r="L197" s="153"/>
      <c r="M197" s="84"/>
      <c r="N197" s="113"/>
      <c r="O197" s="159"/>
      <c r="P197" s="159"/>
      <c r="Q197" s="159"/>
      <c r="R197" s="160"/>
      <c r="S197" s="87"/>
      <c r="T197" s="22"/>
      <c r="U197" s="22"/>
    </row>
    <row r="198" spans="1:21" x14ac:dyDescent="0.2">
      <c r="A198" s="1"/>
      <c r="B198" s="5" t="s">
        <v>42</v>
      </c>
      <c r="C198" s="5"/>
      <c r="D198" s="5"/>
      <c r="E198" s="5"/>
      <c r="F198" s="46" t="s">
        <v>86</v>
      </c>
      <c r="G198" s="47" t="s">
        <v>2</v>
      </c>
      <c r="H198" s="154">
        <f>IF(H195&lt;4/3,0.5-0.09375*H195,0.375)</f>
        <v>0.39772727272727271</v>
      </c>
      <c r="I198" s="5"/>
      <c r="J198" s="155"/>
      <c r="L198" s="153"/>
      <c r="M198" s="84"/>
      <c r="N198" s="113"/>
      <c r="O198" s="113"/>
      <c r="P198" s="113"/>
      <c r="Q198" s="113"/>
      <c r="R198" s="113"/>
      <c r="S198" s="87"/>
      <c r="T198" s="22"/>
      <c r="U198" s="22"/>
    </row>
    <row r="199" spans="1:21" x14ac:dyDescent="0.2">
      <c r="A199" s="1"/>
      <c r="B199" s="5" t="s">
        <v>42</v>
      </c>
      <c r="C199" s="5"/>
      <c r="D199" s="5"/>
      <c r="E199" s="5"/>
      <c r="F199" s="46" t="s">
        <v>87</v>
      </c>
      <c r="G199" s="47" t="s">
        <v>2</v>
      </c>
      <c r="H199" s="154">
        <f>1-(COSH(3.68/H195)-1)/(3.68/H195*SINH(3.68/H195))</f>
        <v>0.72320514153846327</v>
      </c>
      <c r="I199" s="5"/>
      <c r="J199" s="155"/>
      <c r="L199" s="153"/>
      <c r="M199" s="156"/>
      <c r="N199" s="157"/>
      <c r="O199" s="113"/>
      <c r="P199" s="113"/>
      <c r="Q199" s="113"/>
      <c r="R199" s="113"/>
      <c r="S199" s="87"/>
      <c r="T199" s="22"/>
      <c r="U199" s="22"/>
    </row>
    <row r="200" spans="1:21" x14ac:dyDescent="0.2">
      <c r="A200" s="1"/>
      <c r="B200" s="5" t="s">
        <v>43</v>
      </c>
      <c r="C200" s="5"/>
      <c r="D200" s="5"/>
      <c r="E200" s="5"/>
      <c r="F200" s="46" t="s">
        <v>44</v>
      </c>
      <c r="G200" s="47" t="s">
        <v>2</v>
      </c>
      <c r="H200" s="154">
        <f>2*PI()/SQRT(118.4*TANH(3.68/H195))</f>
        <v>0.5781149785820956</v>
      </c>
      <c r="I200" s="5"/>
      <c r="J200" s="155"/>
      <c r="L200" s="153"/>
      <c r="M200" s="84"/>
      <c r="N200" s="113"/>
      <c r="O200" s="113"/>
      <c r="P200" s="113"/>
      <c r="Q200" s="113"/>
      <c r="R200" s="113"/>
      <c r="S200" s="87"/>
      <c r="T200" s="22"/>
      <c r="U200" s="22"/>
    </row>
    <row r="201" spans="1:21" x14ac:dyDescent="0.2">
      <c r="A201" s="1"/>
      <c r="B201" s="5" t="s">
        <v>45</v>
      </c>
      <c r="C201" s="5"/>
      <c r="D201" s="5"/>
      <c r="E201" s="5"/>
      <c r="F201" s="46" t="s">
        <v>88</v>
      </c>
      <c r="G201" s="47" t="s">
        <v>2</v>
      </c>
      <c r="H201" s="158">
        <f>H190*H196</f>
        <v>971.03274905581486</v>
      </c>
      <c r="I201" s="5" t="s">
        <v>14</v>
      </c>
      <c r="J201" s="155"/>
      <c r="L201" s="153"/>
      <c r="M201" s="84"/>
      <c r="N201" s="113"/>
      <c r="O201" s="113"/>
      <c r="P201" s="113"/>
      <c r="Q201" s="113"/>
      <c r="R201" s="113"/>
      <c r="S201" s="87"/>
      <c r="T201" s="22"/>
      <c r="U201" s="22"/>
    </row>
    <row r="202" spans="1:21" x14ac:dyDescent="0.2">
      <c r="A202" s="1"/>
      <c r="B202" s="5" t="s">
        <v>46</v>
      </c>
      <c r="C202" s="5"/>
      <c r="D202" s="5"/>
      <c r="E202" s="5"/>
      <c r="F202" s="46" t="s">
        <v>89</v>
      </c>
      <c r="G202" s="47" t="s">
        <v>2</v>
      </c>
      <c r="H202" s="158">
        <f>H190*H197</f>
        <v>311.41608902859127</v>
      </c>
      <c r="I202" s="5" t="s">
        <v>14</v>
      </c>
      <c r="J202" s="155"/>
      <c r="L202" s="153"/>
      <c r="M202" s="84"/>
      <c r="N202" s="113"/>
      <c r="O202" s="113"/>
      <c r="P202" s="113"/>
      <c r="Q202" s="113"/>
      <c r="R202" s="113"/>
      <c r="S202" s="87"/>
      <c r="T202" s="22"/>
      <c r="U202" s="22"/>
    </row>
    <row r="203" spans="1:21" x14ac:dyDescent="0.2">
      <c r="A203" s="1"/>
      <c r="B203" s="4" t="s">
        <v>154</v>
      </c>
      <c r="C203" s="5"/>
      <c r="D203" s="5"/>
      <c r="E203" s="5"/>
      <c r="F203" s="46" t="s">
        <v>90</v>
      </c>
      <c r="G203" s="47" t="s">
        <v>2</v>
      </c>
      <c r="H203" s="154">
        <f>H198*H87</f>
        <v>4.375</v>
      </c>
      <c r="I203" s="5" t="s">
        <v>3</v>
      </c>
      <c r="J203" s="155"/>
      <c r="L203" s="153"/>
      <c r="M203" s="84"/>
      <c r="N203" s="113"/>
      <c r="O203" s="113"/>
      <c r="P203" s="113"/>
      <c r="Q203" s="113"/>
      <c r="R203" s="113"/>
      <c r="S203" s="87"/>
      <c r="T203" s="22"/>
      <c r="U203" s="22"/>
    </row>
    <row r="204" spans="1:21" x14ac:dyDescent="0.2">
      <c r="A204" s="1"/>
      <c r="B204" s="4" t="s">
        <v>155</v>
      </c>
      <c r="C204" s="5"/>
      <c r="D204" s="5"/>
      <c r="E204" s="5"/>
      <c r="F204" s="46" t="s">
        <v>91</v>
      </c>
      <c r="G204" s="47" t="s">
        <v>2</v>
      </c>
      <c r="H204" s="154">
        <f>H199*H87</f>
        <v>7.9552565569230964</v>
      </c>
      <c r="I204" s="5" t="s">
        <v>3</v>
      </c>
      <c r="J204" s="155"/>
      <c r="L204" s="153"/>
      <c r="M204" s="84"/>
      <c r="N204" s="113"/>
      <c r="O204" s="113"/>
      <c r="P204" s="113"/>
      <c r="Q204" s="113"/>
      <c r="R204" s="113"/>
      <c r="S204" s="87"/>
      <c r="T204" s="22"/>
      <c r="U204" s="22"/>
    </row>
    <row r="205" spans="1:21" x14ac:dyDescent="0.2">
      <c r="A205" s="1"/>
      <c r="B205" s="5" t="s">
        <v>47</v>
      </c>
      <c r="C205" s="5"/>
      <c r="D205" s="5"/>
      <c r="E205" s="5"/>
      <c r="F205" s="46" t="s">
        <v>225</v>
      </c>
      <c r="G205" s="47" t="s">
        <v>2</v>
      </c>
      <c r="H205" s="154">
        <f>1.81*H200*H86^0.5</f>
        <v>3.6247947461852341</v>
      </c>
      <c r="I205" s="5" t="s">
        <v>48</v>
      </c>
      <c r="J205" s="155"/>
      <c r="L205" s="153"/>
      <c r="M205" s="84"/>
      <c r="N205" s="113"/>
      <c r="O205" s="113"/>
      <c r="P205" s="113"/>
      <c r="Q205" s="113"/>
      <c r="R205" s="113"/>
      <c r="S205" s="87"/>
      <c r="T205" s="22"/>
      <c r="U205" s="22"/>
    </row>
    <row r="206" spans="1:21" x14ac:dyDescent="0.2">
      <c r="A206" s="1"/>
      <c r="B206" s="5" t="s">
        <v>188</v>
      </c>
      <c r="C206" s="5"/>
      <c r="D206" s="5"/>
      <c r="E206" s="5"/>
      <c r="F206" s="46" t="s">
        <v>153</v>
      </c>
      <c r="G206" s="47" t="s">
        <v>2</v>
      </c>
      <c r="H206" s="154">
        <f>MAX(2.75*H104/4*(H111/H205)^H112*(0.05/0.005)^0.4,0.1*H104)</f>
        <v>4.0000000000000008E-2</v>
      </c>
      <c r="I206" s="5"/>
      <c r="J206" s="155"/>
      <c r="L206" s="153"/>
      <c r="M206" s="153"/>
      <c r="N206" s="82"/>
      <c r="O206" s="82"/>
      <c r="P206" s="82"/>
      <c r="Q206" s="82"/>
      <c r="R206" s="82"/>
    </row>
    <row r="207" spans="1:21" x14ac:dyDescent="0.2">
      <c r="A207" s="1"/>
      <c r="B207" s="5" t="s">
        <v>189</v>
      </c>
      <c r="C207" s="5"/>
      <c r="D207" s="5"/>
      <c r="E207" s="5"/>
      <c r="F207" s="46" t="s">
        <v>92</v>
      </c>
      <c r="G207" s="47" t="s">
        <v>2</v>
      </c>
      <c r="H207" s="154">
        <f>H110</f>
        <v>0.32</v>
      </c>
      <c r="I207" s="5"/>
      <c r="J207" s="155"/>
      <c r="L207" s="153"/>
      <c r="M207" s="153"/>
      <c r="N207" s="82"/>
      <c r="O207" s="82"/>
      <c r="P207" s="82"/>
      <c r="Q207" s="82"/>
      <c r="R207" s="82"/>
    </row>
    <row r="208" spans="1:21" x14ac:dyDescent="0.2">
      <c r="A208" s="1"/>
      <c r="B208" s="5" t="s">
        <v>156</v>
      </c>
      <c r="C208" s="5"/>
      <c r="E208" s="5"/>
      <c r="F208" s="46" t="s">
        <v>226</v>
      </c>
      <c r="G208" s="47" t="s">
        <v>2</v>
      </c>
      <c r="H208" s="154">
        <f>0.3426*H106*H206*H205^2*TANH(4.77/SQRT(H195))</f>
        <v>0.18001986277992238</v>
      </c>
      <c r="I208" s="5" t="s">
        <v>3</v>
      </c>
      <c r="J208" s="161"/>
    </row>
    <row r="209" spans="1:10" x14ac:dyDescent="0.2">
      <c r="A209" s="1"/>
      <c r="B209" s="1"/>
      <c r="C209" s="1"/>
      <c r="D209" s="1"/>
      <c r="E209" s="1"/>
      <c r="F209" s="1"/>
      <c r="G209" s="1"/>
      <c r="H209" s="1"/>
      <c r="I209" s="1"/>
      <c r="J209" s="155"/>
    </row>
    <row r="210" spans="1:10" x14ac:dyDescent="0.2">
      <c r="A210" s="1"/>
      <c r="B210" s="1"/>
      <c r="C210" s="1"/>
      <c r="D210" s="1"/>
      <c r="E210" s="1"/>
      <c r="F210" s="1"/>
      <c r="G210" s="162" t="str">
        <f>IF(H208&lt;H89,"Revancha OK","Aumentar Revancha")</f>
        <v>Revancha OK</v>
      </c>
      <c r="H210" s="1"/>
      <c r="I210" s="1"/>
      <c r="J210" s="155"/>
    </row>
    <row r="211" spans="1:10" x14ac:dyDescent="0.2">
      <c r="A211" s="1"/>
      <c r="B211" s="5"/>
      <c r="C211" s="5"/>
      <c r="D211" s="5"/>
      <c r="E211" s="5"/>
      <c r="F211" s="46"/>
      <c r="G211" s="47"/>
      <c r="H211" s="163"/>
      <c r="I211" s="5"/>
      <c r="J211" s="155"/>
    </row>
    <row r="212" spans="1:10" x14ac:dyDescent="0.2">
      <c r="A212" s="1"/>
      <c r="B212" s="5"/>
      <c r="C212" s="5"/>
      <c r="D212" s="5"/>
      <c r="E212" s="5"/>
      <c r="F212" s="22"/>
      <c r="G212" s="47"/>
      <c r="H212" s="163"/>
      <c r="I212" s="5"/>
      <c r="J212" s="155"/>
    </row>
    <row r="213" spans="1:10" x14ac:dyDescent="0.2">
      <c r="A213" s="1"/>
      <c r="B213" s="5"/>
      <c r="C213" s="5"/>
      <c r="D213" s="5"/>
      <c r="E213" s="5"/>
      <c r="F213" s="46"/>
      <c r="G213" s="47"/>
      <c r="H213" s="163"/>
      <c r="I213" s="5"/>
      <c r="J213" s="155"/>
    </row>
    <row r="214" spans="1:10" ht="14.25" x14ac:dyDescent="0.2">
      <c r="A214" s="1"/>
      <c r="B214" s="22"/>
      <c r="C214" s="164"/>
      <c r="D214" s="5"/>
      <c r="E214" s="22"/>
      <c r="F214" s="22"/>
      <c r="G214" s="47"/>
      <c r="H214" s="163"/>
      <c r="I214" s="5"/>
      <c r="J214" s="155"/>
    </row>
    <row r="215" spans="1:10" x14ac:dyDescent="0.2">
      <c r="A215" s="1"/>
      <c r="B215" s="1"/>
      <c r="C215" s="1"/>
      <c r="D215" s="1"/>
      <c r="E215" s="1"/>
      <c r="F215" s="1"/>
      <c r="G215" s="1"/>
      <c r="H215" s="22"/>
      <c r="I215" s="1"/>
      <c r="J215" s="155"/>
    </row>
    <row r="216" spans="1:10" x14ac:dyDescent="0.2">
      <c r="A216" s="1"/>
      <c r="B216" s="1"/>
      <c r="C216" s="1"/>
      <c r="D216" s="1"/>
      <c r="E216" s="1"/>
      <c r="F216" s="1"/>
      <c r="G216" s="1"/>
      <c r="H216" s="1"/>
      <c r="I216" s="1"/>
      <c r="J216" s="155"/>
    </row>
    <row r="217" spans="1:10" x14ac:dyDescent="0.2">
      <c r="A217" s="1"/>
      <c r="B217" s="1"/>
      <c r="C217" s="22"/>
      <c r="D217" s="22"/>
      <c r="E217" s="1"/>
      <c r="F217" s="1"/>
      <c r="G217" s="1"/>
      <c r="H217" s="1"/>
      <c r="I217" s="1"/>
      <c r="J217" s="155"/>
    </row>
    <row r="218" spans="1:10" x14ac:dyDescent="0.2">
      <c r="A218" s="1"/>
      <c r="B218" s="5"/>
      <c r="C218" s="5"/>
      <c r="D218" s="5"/>
      <c r="E218" s="5"/>
      <c r="F218" s="46"/>
      <c r="G218" s="22"/>
      <c r="H218" s="165"/>
      <c r="I218" s="5"/>
      <c r="J218" s="155"/>
    </row>
    <row r="219" spans="1:10" x14ac:dyDescent="0.2">
      <c r="A219" s="1"/>
      <c r="B219" s="5"/>
      <c r="C219" s="5"/>
      <c r="D219" s="5"/>
      <c r="E219" s="5"/>
      <c r="F219" s="46"/>
      <c r="G219" s="47"/>
      <c r="H219" s="165"/>
      <c r="I219" s="5"/>
      <c r="J219" s="155"/>
    </row>
    <row r="220" spans="1:10" x14ac:dyDescent="0.2">
      <c r="A220" s="1"/>
      <c r="B220" s="5"/>
      <c r="C220" s="22"/>
      <c r="D220" s="5"/>
      <c r="E220" s="22"/>
      <c r="F220" s="46"/>
      <c r="G220" s="47"/>
      <c r="H220" s="166"/>
      <c r="I220" s="5"/>
      <c r="J220" s="155"/>
    </row>
    <row r="221" spans="1:10" x14ac:dyDescent="0.2">
      <c r="A221" s="1"/>
      <c r="B221" s="5"/>
      <c r="C221" s="5"/>
      <c r="D221" s="5"/>
      <c r="E221" s="5"/>
      <c r="F221" s="46"/>
      <c r="G221" s="166"/>
      <c r="H221" s="165"/>
      <c r="I221" s="5"/>
      <c r="J221" s="155"/>
    </row>
    <row r="222" spans="1:10" x14ac:dyDescent="0.2">
      <c r="A222" s="1"/>
      <c r="B222" s="5"/>
      <c r="C222" s="5"/>
      <c r="D222" s="5"/>
      <c r="E222" s="5"/>
      <c r="F222" s="46"/>
      <c r="G222" s="47"/>
      <c r="H222" s="165"/>
      <c r="I222" s="5"/>
      <c r="J222" s="155"/>
    </row>
    <row r="223" spans="1:10" x14ac:dyDescent="0.2">
      <c r="A223" s="1"/>
      <c r="B223" s="5"/>
      <c r="C223" s="5"/>
      <c r="D223" s="5"/>
      <c r="E223" s="5"/>
      <c r="F223" s="46"/>
      <c r="G223" s="47"/>
      <c r="H223" s="165"/>
      <c r="I223" s="5"/>
      <c r="J223" s="155"/>
    </row>
    <row r="224" spans="1:10" x14ac:dyDescent="0.2">
      <c r="A224" s="1"/>
      <c r="B224" s="5"/>
      <c r="C224" s="5"/>
      <c r="D224" s="5"/>
      <c r="E224" s="5"/>
      <c r="F224" s="46"/>
      <c r="G224" s="47"/>
      <c r="H224" s="165"/>
      <c r="I224" s="5"/>
      <c r="J224" s="155"/>
    </row>
    <row r="225" spans="1:10" x14ac:dyDescent="0.2">
      <c r="A225" s="1"/>
      <c r="B225" s="5"/>
      <c r="C225" s="5"/>
      <c r="D225" s="5"/>
      <c r="E225" s="5"/>
      <c r="F225" s="46"/>
      <c r="G225" s="47"/>
      <c r="H225" s="165"/>
      <c r="I225" s="5"/>
      <c r="J225" s="155"/>
    </row>
    <row r="226" spans="1:10" x14ac:dyDescent="0.2">
      <c r="A226" s="1"/>
      <c r="B226" s="5"/>
      <c r="C226" s="5"/>
      <c r="D226" s="5"/>
      <c r="E226" s="5"/>
      <c r="F226" s="46"/>
      <c r="G226" s="47"/>
      <c r="H226" s="165"/>
      <c r="I226" s="5"/>
      <c r="J226" s="155"/>
    </row>
    <row r="227" spans="1:10" x14ac:dyDescent="0.2">
      <c r="A227" s="1"/>
      <c r="B227" s="5"/>
      <c r="C227" s="5"/>
      <c r="D227" s="5"/>
      <c r="E227" s="5"/>
      <c r="F227" s="46"/>
      <c r="G227" s="47"/>
      <c r="H227" s="165"/>
      <c r="I227" s="5"/>
      <c r="J227" s="155"/>
    </row>
    <row r="228" spans="1:10" x14ac:dyDescent="0.2">
      <c r="A228" s="1"/>
      <c r="B228" s="5"/>
      <c r="C228" s="5"/>
      <c r="D228" s="5"/>
      <c r="E228" s="5"/>
      <c r="F228" s="46"/>
      <c r="G228" s="47"/>
      <c r="H228" s="165"/>
      <c r="I228" s="166"/>
      <c r="J228" s="155"/>
    </row>
    <row r="229" spans="1:10" x14ac:dyDescent="0.2">
      <c r="A229" s="1"/>
      <c r="B229" s="5"/>
      <c r="C229" s="5"/>
      <c r="D229" s="5"/>
      <c r="E229" s="5"/>
      <c r="F229" s="46"/>
      <c r="G229" s="47"/>
      <c r="H229" s="165"/>
      <c r="I229" s="5"/>
      <c r="J229" s="155"/>
    </row>
    <row r="230" spans="1:10" x14ac:dyDescent="0.2">
      <c r="A230" s="1"/>
      <c r="B230" s="5"/>
      <c r="C230" s="5"/>
      <c r="D230" s="5"/>
      <c r="E230" s="5"/>
      <c r="F230" s="46"/>
      <c r="G230" s="47"/>
      <c r="H230" s="165"/>
      <c r="I230" s="5"/>
      <c r="J230" s="155"/>
    </row>
    <row r="231" spans="1:10" x14ac:dyDescent="0.2">
      <c r="A231" s="1"/>
      <c r="B231" s="5"/>
      <c r="C231" s="5"/>
      <c r="D231" s="5"/>
      <c r="E231" s="5"/>
      <c r="F231" s="46"/>
      <c r="G231" s="47"/>
      <c r="H231" s="165"/>
      <c r="I231" s="5"/>
      <c r="J231" s="155"/>
    </row>
    <row r="232" spans="1:10" x14ac:dyDescent="0.2">
      <c r="A232" s="1"/>
      <c r="B232" s="5"/>
      <c r="C232" s="5"/>
      <c r="D232" s="5"/>
      <c r="E232" s="5"/>
      <c r="F232" s="46"/>
      <c r="G232" s="47"/>
      <c r="H232" s="165"/>
      <c r="I232" s="5"/>
      <c r="J232" s="155"/>
    </row>
    <row r="233" spans="1:10" x14ac:dyDescent="0.2">
      <c r="A233" s="1"/>
      <c r="B233" s="5"/>
      <c r="C233" s="5"/>
      <c r="D233" s="5"/>
      <c r="E233" s="5"/>
      <c r="F233" s="46"/>
      <c r="G233" s="47"/>
      <c r="H233" s="165"/>
      <c r="I233" s="5"/>
      <c r="J233" s="155"/>
    </row>
    <row r="234" spans="1:10" x14ac:dyDescent="0.2">
      <c r="A234" s="1"/>
      <c r="B234" s="5"/>
      <c r="C234" s="5"/>
      <c r="D234" s="5"/>
      <c r="E234" s="5"/>
      <c r="F234" s="46"/>
      <c r="G234" s="47"/>
      <c r="H234" s="165"/>
      <c r="I234" s="5"/>
      <c r="J234" s="155"/>
    </row>
    <row r="235" spans="1:10" x14ac:dyDescent="0.2">
      <c r="A235" s="1"/>
      <c r="B235" s="5"/>
      <c r="C235" s="5"/>
      <c r="D235" s="5"/>
      <c r="E235" s="5"/>
      <c r="F235" s="46"/>
      <c r="G235" s="47"/>
      <c r="H235" s="165"/>
      <c r="I235" s="5"/>
      <c r="J235" s="155"/>
    </row>
    <row r="236" spans="1:10" x14ac:dyDescent="0.2">
      <c r="A236" s="1"/>
      <c r="B236" s="5"/>
      <c r="C236" s="5"/>
      <c r="D236" s="5"/>
      <c r="E236" s="5"/>
      <c r="F236" s="46"/>
      <c r="G236" s="47"/>
      <c r="H236" s="165"/>
      <c r="I236" s="5"/>
      <c r="J236" s="155"/>
    </row>
    <row r="237" spans="1:10" x14ac:dyDescent="0.2">
      <c r="A237" s="1"/>
      <c r="B237" s="1"/>
      <c r="C237" s="1"/>
      <c r="D237" s="1"/>
      <c r="E237" s="5"/>
      <c r="F237" s="46"/>
      <c r="G237" s="47"/>
      <c r="H237" s="165"/>
      <c r="I237" s="5"/>
      <c r="J237" s="155"/>
    </row>
    <row r="238" spans="1:10" x14ac:dyDescent="0.2">
      <c r="A238" s="38" t="s">
        <v>526</v>
      </c>
      <c r="B238" s="5"/>
      <c r="C238" s="5"/>
      <c r="D238" s="5"/>
      <c r="E238" s="5"/>
      <c r="F238" s="46"/>
      <c r="G238" s="47"/>
      <c r="H238" s="165"/>
      <c r="I238" s="5"/>
      <c r="J238" s="155"/>
    </row>
    <row r="239" spans="1:10" x14ac:dyDescent="0.2">
      <c r="A239" s="5"/>
      <c r="C239" s="5"/>
      <c r="D239" s="5"/>
      <c r="E239" s="5"/>
      <c r="F239" s="46"/>
      <c r="G239" s="47"/>
      <c r="H239" s="165"/>
      <c r="I239" s="5"/>
      <c r="J239" s="155"/>
    </row>
    <row r="240" spans="1:10" x14ac:dyDescent="0.2">
      <c r="A240" s="5"/>
      <c r="B240" s="5" t="s">
        <v>326</v>
      </c>
      <c r="C240" s="5"/>
      <c r="D240" s="5"/>
      <c r="E240" s="5"/>
      <c r="F240" s="46"/>
      <c r="G240" s="47"/>
      <c r="H240" s="165"/>
      <c r="I240" s="5"/>
      <c r="J240" s="155"/>
    </row>
    <row r="241" spans="1:10" x14ac:dyDescent="0.2">
      <c r="A241" s="5"/>
      <c r="B241" s="5" t="s">
        <v>327</v>
      </c>
      <c r="C241" s="474">
        <v>0</v>
      </c>
      <c r="D241" s="5" t="s">
        <v>49</v>
      </c>
      <c r="E241" s="5"/>
      <c r="F241" s="46"/>
      <c r="G241" s="47"/>
      <c r="H241" s="165"/>
      <c r="I241" s="5"/>
      <c r="J241" s="155"/>
    </row>
    <row r="242" spans="1:10" x14ac:dyDescent="0.2">
      <c r="A242" s="1"/>
      <c r="B242" s="5"/>
      <c r="C242" s="5"/>
      <c r="D242" s="5"/>
      <c r="E242" s="5"/>
      <c r="F242" s="46"/>
      <c r="G242" s="47"/>
      <c r="H242" s="165"/>
      <c r="I242" s="5"/>
      <c r="J242" s="155"/>
    </row>
    <row r="243" spans="1:10" x14ac:dyDescent="0.2">
      <c r="A243" s="1"/>
      <c r="B243" s="5" t="s">
        <v>324</v>
      </c>
      <c r="C243" s="5"/>
      <c r="D243" s="5"/>
      <c r="E243" s="5"/>
      <c r="F243" s="46"/>
      <c r="G243" s="47"/>
      <c r="H243" s="165"/>
      <c r="I243" s="5"/>
      <c r="J243" s="155"/>
    </row>
    <row r="244" spans="1:10" x14ac:dyDescent="0.2">
      <c r="A244" s="1"/>
      <c r="B244" s="5" t="s">
        <v>328</v>
      </c>
      <c r="C244" s="474">
        <v>0</v>
      </c>
      <c r="D244" s="5" t="s">
        <v>50</v>
      </c>
      <c r="E244" s="5"/>
      <c r="F244" s="46"/>
      <c r="G244" s="47"/>
      <c r="H244" s="165"/>
      <c r="I244" s="5"/>
      <c r="J244" s="155"/>
    </row>
    <row r="245" spans="1:10" x14ac:dyDescent="0.2">
      <c r="A245" s="1"/>
      <c r="B245" s="5"/>
      <c r="C245" s="5"/>
      <c r="D245" s="5"/>
      <c r="E245" s="5"/>
      <c r="F245" s="46"/>
      <c r="G245" s="47"/>
      <c r="H245" s="165"/>
      <c r="I245" s="5"/>
      <c r="J245" s="155"/>
    </row>
    <row r="246" spans="1:10" x14ac:dyDescent="0.2">
      <c r="A246" s="1"/>
      <c r="B246" s="5" t="s">
        <v>325</v>
      </c>
      <c r="C246" s="5"/>
      <c r="D246" s="5"/>
      <c r="E246" s="5"/>
      <c r="F246" s="46"/>
      <c r="G246" s="47"/>
      <c r="H246" s="165"/>
      <c r="I246" s="5"/>
      <c r="J246" s="155"/>
    </row>
    <row r="247" spans="1:10" x14ac:dyDescent="0.2">
      <c r="A247" s="1"/>
      <c r="B247" s="5" t="s">
        <v>329</v>
      </c>
      <c r="C247" s="474">
        <v>0</v>
      </c>
      <c r="D247" s="5" t="s">
        <v>50</v>
      </c>
      <c r="E247" s="5"/>
      <c r="F247" s="46"/>
      <c r="G247" s="47"/>
      <c r="H247" s="165"/>
      <c r="I247" s="5"/>
      <c r="J247" s="155"/>
    </row>
    <row r="248" spans="1:10" x14ac:dyDescent="0.2">
      <c r="A248" s="1"/>
      <c r="B248" s="5"/>
      <c r="C248" s="5"/>
      <c r="D248" s="5"/>
      <c r="E248" s="5"/>
      <c r="F248" s="46"/>
      <c r="G248" s="47"/>
      <c r="H248" s="165"/>
      <c r="I248" s="5"/>
      <c r="J248" s="155"/>
    </row>
    <row r="249" spans="1:10" x14ac:dyDescent="0.2">
      <c r="A249" s="1"/>
      <c r="B249" s="5"/>
      <c r="C249" s="5"/>
      <c r="D249" s="5"/>
      <c r="E249" s="5"/>
      <c r="F249" s="46"/>
      <c r="G249" s="47"/>
      <c r="H249" s="165"/>
      <c r="I249" s="5"/>
      <c r="J249" s="155"/>
    </row>
    <row r="250" spans="1:10" x14ac:dyDescent="0.2">
      <c r="A250" s="1"/>
      <c r="B250" s="5"/>
      <c r="C250" s="5"/>
      <c r="D250" s="5"/>
      <c r="E250" s="5"/>
      <c r="F250" s="46"/>
      <c r="G250" s="47"/>
      <c r="H250" s="165"/>
      <c r="I250" s="5"/>
      <c r="J250" s="155"/>
    </row>
    <row r="251" spans="1:10" x14ac:dyDescent="0.2">
      <c r="A251" s="1"/>
      <c r="B251" s="5"/>
      <c r="C251" s="5"/>
      <c r="D251" s="5"/>
      <c r="E251" s="5"/>
      <c r="F251" s="46"/>
      <c r="G251" s="47"/>
      <c r="H251" s="165"/>
      <c r="I251" s="5"/>
      <c r="J251" s="155"/>
    </row>
    <row r="252" spans="1:10" x14ac:dyDescent="0.2">
      <c r="A252" s="38" t="s">
        <v>527</v>
      </c>
      <c r="B252" s="5"/>
      <c r="C252" s="5"/>
      <c r="D252" s="5"/>
      <c r="E252" s="5"/>
      <c r="F252" s="46"/>
      <c r="G252" s="47"/>
      <c r="H252" s="167"/>
      <c r="I252" s="5"/>
      <c r="J252" s="155"/>
    </row>
    <row r="253" spans="1:10" x14ac:dyDescent="0.2">
      <c r="A253" s="1"/>
      <c r="B253" s="5" t="s">
        <v>190</v>
      </c>
      <c r="C253" s="5"/>
      <c r="D253" s="5"/>
      <c r="E253" s="5"/>
      <c r="F253" s="46" t="s">
        <v>331</v>
      </c>
      <c r="G253" s="47" t="s">
        <v>2</v>
      </c>
      <c r="H253" s="168">
        <f>H106*(H207*H189*H193+H207*H188*H192+H207*H201*H203+H206*H202*H204)</f>
        <v>1532.5632293106319</v>
      </c>
      <c r="I253" s="5" t="s">
        <v>49</v>
      </c>
      <c r="J253" s="155"/>
    </row>
    <row r="254" spans="1:10" x14ac:dyDescent="0.2">
      <c r="A254" s="1"/>
      <c r="B254" s="5" t="s">
        <v>191</v>
      </c>
      <c r="C254" s="5"/>
      <c r="D254" s="5"/>
      <c r="E254" s="5"/>
      <c r="F254" s="46" t="s">
        <v>330</v>
      </c>
      <c r="G254" s="47" t="s">
        <v>2</v>
      </c>
      <c r="H254" s="168">
        <f>H106*(H207*H189+H207*H188+H207*H201+H206*H202)</f>
        <v>332.76338071680749</v>
      </c>
      <c r="I254" s="5" t="s">
        <v>50</v>
      </c>
      <c r="J254" s="155"/>
    </row>
    <row r="255" spans="1:10" x14ac:dyDescent="0.2">
      <c r="A255" s="1"/>
      <c r="B255" s="5"/>
      <c r="C255" s="5"/>
      <c r="D255" s="5"/>
      <c r="E255" s="22"/>
      <c r="F255" s="46"/>
      <c r="G255" s="47"/>
      <c r="H255" s="168"/>
      <c r="I255" s="5"/>
      <c r="J255" s="155"/>
    </row>
    <row r="256" spans="1:10" x14ac:dyDescent="0.2">
      <c r="A256" s="1"/>
      <c r="B256" s="5"/>
      <c r="C256" s="5"/>
      <c r="D256" s="5"/>
      <c r="E256" s="166"/>
      <c r="F256" s="46"/>
      <c r="G256" s="47"/>
      <c r="H256" s="168"/>
      <c r="I256" s="5"/>
      <c r="J256" s="155"/>
    </row>
    <row r="257" spans="1:10" x14ac:dyDescent="0.2">
      <c r="A257" s="1"/>
      <c r="B257" s="1"/>
      <c r="C257" s="1"/>
      <c r="D257" s="1"/>
      <c r="E257" s="1"/>
      <c r="F257" s="1"/>
      <c r="G257" s="1"/>
      <c r="H257" s="47"/>
      <c r="I257" s="1"/>
      <c r="J257" s="155"/>
    </row>
    <row r="258" spans="1:10" x14ac:dyDescent="0.2">
      <c r="A258" s="1"/>
      <c r="B258" s="1"/>
      <c r="C258" s="1"/>
      <c r="D258" s="1"/>
      <c r="E258" s="1"/>
      <c r="F258" s="1"/>
      <c r="G258" s="1"/>
      <c r="H258" s="47"/>
      <c r="I258" s="1"/>
      <c r="J258" s="155"/>
    </row>
    <row r="259" spans="1:10" x14ac:dyDescent="0.2">
      <c r="A259" s="38" t="s">
        <v>528</v>
      </c>
      <c r="B259" s="5"/>
      <c r="C259" s="5"/>
      <c r="D259" s="5"/>
      <c r="E259" s="5"/>
      <c r="F259" s="46"/>
      <c r="G259" s="47"/>
      <c r="H259" s="167"/>
      <c r="I259" s="5"/>
      <c r="J259" s="155"/>
    </row>
    <row r="260" spans="1:10" x14ac:dyDescent="0.2">
      <c r="A260" s="1"/>
      <c r="B260" s="5" t="s">
        <v>51</v>
      </c>
      <c r="C260" s="5"/>
      <c r="D260" s="5"/>
      <c r="E260" s="5"/>
      <c r="F260" s="46" t="s">
        <v>93</v>
      </c>
      <c r="G260" s="47" t="s">
        <v>2</v>
      </c>
      <c r="H260" s="167">
        <f>(H189+H188+C247)/PI()/H86</f>
        <v>0.79380662017186687</v>
      </c>
      <c r="I260" s="5" t="s">
        <v>52</v>
      </c>
      <c r="J260" s="155"/>
    </row>
    <row r="261" spans="1:10" x14ac:dyDescent="0.2">
      <c r="A261" s="1"/>
      <c r="B261" s="5" t="s">
        <v>53</v>
      </c>
      <c r="C261" s="5"/>
      <c r="D261" s="166"/>
      <c r="E261" s="5"/>
      <c r="F261" s="46" t="s">
        <v>94</v>
      </c>
      <c r="G261" s="47" t="s">
        <v>2</v>
      </c>
      <c r="H261" s="167">
        <f>MIN(196*H91*H87*H86,99*MIN(H183,6)*SQRT(H93*100*H91*H87))/10000</f>
        <v>2.5872000000000002</v>
      </c>
      <c r="I261" s="5" t="s">
        <v>52</v>
      </c>
      <c r="J261" s="155"/>
    </row>
    <row r="262" spans="1:10" x14ac:dyDescent="0.2">
      <c r="A262" s="1"/>
      <c r="B262" s="5" t="s">
        <v>51</v>
      </c>
      <c r="C262" s="5"/>
      <c r="D262" s="5"/>
      <c r="E262" s="5"/>
      <c r="F262" s="169" t="s">
        <v>608</v>
      </c>
      <c r="G262" s="47" t="s">
        <v>2</v>
      </c>
      <c r="H262" s="167">
        <f>(H253+C241)/H86^2/(H260+H261)/IF(K116,(1-H113),1)</f>
        <v>3.1478199835660328</v>
      </c>
      <c r="J262" s="155"/>
    </row>
    <row r="263" spans="1:10" ht="12.75" customHeight="1" x14ac:dyDescent="0.25">
      <c r="A263" s="1"/>
      <c r="B263" s="5"/>
      <c r="C263" s="5"/>
      <c r="D263" s="5"/>
      <c r="E263" s="5"/>
      <c r="F263" s="46"/>
      <c r="G263" s="47"/>
      <c r="H263" s="589" t="str">
        <f>IF(H262&lt;1.57,"No anclar","Anclar")&amp;" Estanque"</f>
        <v>Anclar Estanque</v>
      </c>
      <c r="I263" s="589"/>
      <c r="J263" s="155"/>
    </row>
    <row r="264" spans="1:10" x14ac:dyDescent="0.2">
      <c r="A264" s="1"/>
      <c r="B264" s="1"/>
      <c r="C264" s="1"/>
      <c r="D264" s="1"/>
      <c r="E264" s="1"/>
      <c r="F264" s="1"/>
      <c r="G264" s="1"/>
      <c r="H264" s="1"/>
      <c r="I264" s="1"/>
      <c r="J264" s="155"/>
    </row>
    <row r="265" spans="1:10" x14ac:dyDescent="0.2">
      <c r="A265" s="38" t="s">
        <v>529</v>
      </c>
      <c r="B265" s="5"/>
      <c r="C265" s="5"/>
      <c r="D265" s="5"/>
      <c r="E265" s="5"/>
      <c r="F265" s="46"/>
      <c r="G265" s="47"/>
      <c r="H265" s="170"/>
      <c r="I265" s="5"/>
      <c r="J265" s="155"/>
    </row>
    <row r="266" spans="1:10" x14ac:dyDescent="0.2">
      <c r="A266" s="1"/>
      <c r="B266" s="5" t="s">
        <v>369</v>
      </c>
      <c r="C266" s="1"/>
      <c r="D266" s="1"/>
      <c r="E266" s="1"/>
      <c r="F266" s="102" t="s">
        <v>3</v>
      </c>
      <c r="G266" s="47" t="s">
        <v>2</v>
      </c>
      <c r="H266" s="475">
        <v>0.4</v>
      </c>
      <c r="I266" s="1"/>
      <c r="J266" s="155"/>
    </row>
    <row r="267" spans="1:10" x14ac:dyDescent="0.2">
      <c r="A267" s="1"/>
      <c r="B267" s="5" t="s">
        <v>241</v>
      </c>
      <c r="C267" s="5"/>
      <c r="D267" s="5"/>
      <c r="E267" s="5"/>
      <c r="F267" s="169" t="s">
        <v>609</v>
      </c>
      <c r="G267" s="47" t="s">
        <v>2</v>
      </c>
      <c r="H267" s="167">
        <f>+H266*(H191+C247)*IF(K116,(1-H113),1)/(H254+C244)</f>
        <v>1.5314142952062451</v>
      </c>
      <c r="I267" s="171"/>
      <c r="J267" s="155"/>
    </row>
    <row r="268" spans="1:10" ht="15" x14ac:dyDescent="0.25">
      <c r="A268" s="1"/>
      <c r="B268" s="5"/>
      <c r="C268" s="5"/>
      <c r="D268" s="5"/>
      <c r="E268" s="5"/>
      <c r="F268" s="46"/>
      <c r="G268" s="47"/>
      <c r="H268" s="589" t="str">
        <f>IF(H267&gt;1,"No desliza","Anclar")&amp;" Estanque"</f>
        <v>No desliza Estanque</v>
      </c>
      <c r="I268" s="589"/>
    </row>
    <row r="269" spans="1:10" x14ac:dyDescent="0.2">
      <c r="A269" s="38" t="s">
        <v>530</v>
      </c>
      <c r="B269" s="5"/>
      <c r="C269" s="5"/>
      <c r="D269" s="5"/>
      <c r="E269" s="5"/>
      <c r="F269" s="46"/>
      <c r="G269" s="47"/>
      <c r="H269" s="170"/>
      <c r="I269" s="5"/>
    </row>
    <row r="270" spans="1:10" x14ac:dyDescent="0.2">
      <c r="A270" s="1"/>
      <c r="B270" s="5" t="s">
        <v>54</v>
      </c>
      <c r="C270" s="5"/>
      <c r="D270" s="5"/>
      <c r="E270" s="5"/>
      <c r="F270" s="46" t="s">
        <v>55</v>
      </c>
      <c r="G270" s="47" t="s">
        <v>2</v>
      </c>
      <c r="H270" s="167">
        <f>H260+4/PI()*(H253+C241)/(H86^2)</f>
        <v>14.344640706042144</v>
      </c>
      <c r="I270" s="5" t="s">
        <v>52</v>
      </c>
    </row>
    <row r="271" spans="1:10" x14ac:dyDescent="0.2">
      <c r="A271" s="1"/>
      <c r="B271" s="5"/>
      <c r="C271" s="5"/>
      <c r="D271" s="5"/>
      <c r="E271" s="5"/>
      <c r="F271" s="46" t="s">
        <v>95</v>
      </c>
      <c r="G271" s="47" t="s">
        <v>2</v>
      </c>
      <c r="H271" s="172">
        <f>IF(H270="-","-",H270/10/(H181-H99))</f>
        <v>0.23907734510070242</v>
      </c>
      <c r="I271" s="5" t="s">
        <v>96</v>
      </c>
    </row>
    <row r="272" spans="1:10" x14ac:dyDescent="0.2">
      <c r="A272" s="1"/>
      <c r="B272" s="5" t="s">
        <v>56</v>
      </c>
      <c r="C272" s="5"/>
      <c r="D272" s="5"/>
      <c r="E272" s="5"/>
      <c r="F272" s="46" t="s">
        <v>97</v>
      </c>
      <c r="G272" s="47" t="s">
        <v>2</v>
      </c>
      <c r="H272" s="173">
        <f>H91*H87*H86^2/(H181-H99)^2</f>
        <v>44</v>
      </c>
      <c r="I272" s="5" t="s">
        <v>227</v>
      </c>
    </row>
    <row r="273" spans="1:9" x14ac:dyDescent="0.2">
      <c r="A273" s="1"/>
      <c r="B273" s="1"/>
      <c r="C273" s="1"/>
      <c r="D273" s="1"/>
      <c r="E273" s="1"/>
      <c r="F273" s="46" t="s">
        <v>98</v>
      </c>
      <c r="G273" s="47" t="s">
        <v>2</v>
      </c>
      <c r="H273" s="172">
        <f>MIN(IF(H272&gt;=44,83*(H181-H99)/H86,83*(H181-H99)/(2.5*H86)+7.5*SQRT(H91*H87))/100,0.5*H93)</f>
        <v>0.41499999999999998</v>
      </c>
      <c r="I273" s="5" t="s">
        <v>96</v>
      </c>
    </row>
    <row r="274" spans="1:9" x14ac:dyDescent="0.2">
      <c r="A274" s="1"/>
      <c r="B274" s="1"/>
      <c r="C274" s="1"/>
      <c r="D274" s="166"/>
      <c r="E274" s="1"/>
      <c r="F274" s="258" t="s">
        <v>230</v>
      </c>
      <c r="G274" s="365" t="s">
        <v>2</v>
      </c>
      <c r="H274" s="414">
        <f>IF(H270="-","-",H271/H273)</f>
        <v>0.57608998819446366</v>
      </c>
      <c r="I274" s="171" t="str">
        <f>IF(H274="-","ANCLAR",IF(ROUND(H274,2)&lt;=1,"OK","No Cumple"))</f>
        <v>OK</v>
      </c>
    </row>
    <row r="275" spans="1:9" x14ac:dyDescent="0.2">
      <c r="A275" s="1"/>
      <c r="B275" s="1"/>
      <c r="C275" s="1"/>
      <c r="D275" s="1"/>
      <c r="E275" s="1"/>
      <c r="F275" s="1"/>
      <c r="G275" s="1"/>
      <c r="H275" s="47"/>
      <c r="I275" s="1"/>
    </row>
    <row r="276" spans="1:9" x14ac:dyDescent="0.2">
      <c r="A276" s="1"/>
      <c r="B276" s="1"/>
      <c r="C276" s="1"/>
      <c r="D276" s="1"/>
      <c r="E276" s="1"/>
      <c r="F276" s="1"/>
      <c r="G276" s="1"/>
      <c r="H276" s="1"/>
      <c r="I276" s="1"/>
    </row>
    <row r="277" spans="1:9" x14ac:dyDescent="0.2">
      <c r="A277" s="1"/>
      <c r="B277" s="166"/>
      <c r="C277" s="1"/>
      <c r="D277" s="1"/>
      <c r="E277" s="1"/>
      <c r="F277" s="1"/>
      <c r="G277" s="1"/>
      <c r="H277" s="1"/>
      <c r="I277" s="1"/>
    </row>
    <row r="278" spans="1:9" x14ac:dyDescent="0.2">
      <c r="A278" s="1"/>
      <c r="B278" s="1"/>
      <c r="C278" s="1"/>
      <c r="D278" s="1"/>
      <c r="E278" s="1"/>
      <c r="F278" s="1"/>
      <c r="G278" s="1"/>
      <c r="H278" s="1"/>
      <c r="I278" s="1"/>
    </row>
    <row r="279" spans="1:9" x14ac:dyDescent="0.2">
      <c r="A279" s="1"/>
      <c r="B279" s="1"/>
      <c r="C279" s="1"/>
      <c r="D279" s="1"/>
      <c r="E279" s="1"/>
      <c r="F279" s="1"/>
      <c r="G279" s="1"/>
      <c r="H279" s="1"/>
      <c r="I279" s="1"/>
    </row>
    <row r="280" spans="1:9" x14ac:dyDescent="0.2">
      <c r="A280" s="1"/>
      <c r="B280" s="1"/>
      <c r="C280" s="1"/>
      <c r="D280" s="1"/>
      <c r="E280" s="1"/>
      <c r="F280" s="1"/>
      <c r="G280" s="1"/>
      <c r="H280" s="1"/>
      <c r="I280" s="1"/>
    </row>
    <row r="281" spans="1:9" x14ac:dyDescent="0.2">
      <c r="A281" s="1"/>
      <c r="B281" s="1"/>
      <c r="C281" s="1"/>
      <c r="D281" s="1"/>
      <c r="E281" s="1"/>
      <c r="F281" s="1"/>
      <c r="G281" s="1"/>
      <c r="H281" s="1"/>
      <c r="I281" s="1"/>
    </row>
    <row r="282" spans="1:9" x14ac:dyDescent="0.2">
      <c r="A282" s="1"/>
      <c r="B282" s="1"/>
      <c r="C282" s="1"/>
      <c r="D282" s="1"/>
      <c r="E282" s="1"/>
      <c r="F282" s="1"/>
      <c r="G282" s="1"/>
      <c r="H282" s="1"/>
      <c r="I282" s="1"/>
    </row>
    <row r="283" spans="1:9" x14ac:dyDescent="0.2">
      <c r="A283" s="1"/>
      <c r="B283" s="1"/>
      <c r="C283" s="1"/>
      <c r="D283" s="1"/>
      <c r="E283" s="1"/>
      <c r="F283" s="1"/>
      <c r="G283" s="1"/>
      <c r="H283" s="1"/>
      <c r="I283" s="1"/>
    </row>
    <row r="284" spans="1:9" ht="15.75" x14ac:dyDescent="0.25">
      <c r="A284" s="117" t="s">
        <v>531</v>
      </c>
      <c r="B284" s="1"/>
      <c r="C284" s="1"/>
      <c r="D284" s="1"/>
      <c r="E284" s="1"/>
      <c r="F284" s="1"/>
      <c r="G284" s="1"/>
      <c r="H284" s="116"/>
      <c r="I284" s="1"/>
    </row>
    <row r="285" spans="1:9" x14ac:dyDescent="0.2">
      <c r="A285" s="1"/>
      <c r="B285" s="5" t="s">
        <v>250</v>
      </c>
      <c r="C285" s="1"/>
      <c r="D285" s="1"/>
      <c r="E285" s="1"/>
      <c r="F285" s="46" t="s">
        <v>50</v>
      </c>
      <c r="G285" s="47" t="s">
        <v>2</v>
      </c>
      <c r="H285" s="167">
        <f>MIN(G157:G166)</f>
        <v>5</v>
      </c>
      <c r="I285" s="5" t="s">
        <v>11</v>
      </c>
    </row>
    <row r="286" spans="1:9" x14ac:dyDescent="0.2">
      <c r="A286" s="38"/>
      <c r="B286" s="5" t="s">
        <v>248</v>
      </c>
      <c r="C286" s="1"/>
      <c r="D286" s="1"/>
      <c r="E286" s="1"/>
      <c r="F286" s="46" t="s">
        <v>249</v>
      </c>
      <c r="G286" s="47" t="s">
        <v>2</v>
      </c>
      <c r="H286" s="167">
        <f>9.47*H285*SQRT(H285/H86)^3</f>
        <v>12.735122322425081</v>
      </c>
      <c r="I286" s="5" t="s">
        <v>3</v>
      </c>
    </row>
    <row r="287" spans="1:9" x14ac:dyDescent="0.2">
      <c r="A287" s="1"/>
      <c r="B287" s="5" t="s">
        <v>251</v>
      </c>
      <c r="C287" s="5"/>
      <c r="D287" s="5"/>
      <c r="E287" s="5"/>
      <c r="F287" s="46"/>
      <c r="G287" s="47"/>
      <c r="H287" s="174">
        <f>ROUNDUP(H90/H286,0)</f>
        <v>1</v>
      </c>
      <c r="I287" s="5"/>
    </row>
    <row r="288" spans="1:9" x14ac:dyDescent="0.2">
      <c r="A288" s="1"/>
      <c r="B288" s="5" t="s">
        <v>254</v>
      </c>
      <c r="C288" s="5"/>
      <c r="D288" s="5"/>
      <c r="E288" s="5"/>
      <c r="F288" s="46" t="s">
        <v>255</v>
      </c>
      <c r="G288" s="47" t="s">
        <v>2</v>
      </c>
      <c r="H288" s="168">
        <f>H90/H287</f>
        <v>11.4</v>
      </c>
      <c r="I288" s="5" t="s">
        <v>3</v>
      </c>
    </row>
    <row r="289" spans="1:23" x14ac:dyDescent="0.2">
      <c r="A289" s="1"/>
      <c r="B289" s="5" t="s">
        <v>252</v>
      </c>
      <c r="C289" s="5"/>
      <c r="D289" s="5"/>
      <c r="E289" s="5"/>
      <c r="F289" s="46" t="s">
        <v>256</v>
      </c>
      <c r="G289" s="47" t="s">
        <v>2</v>
      </c>
      <c r="H289" s="168">
        <f>H86^2*H288/17</f>
        <v>96.564705882352953</v>
      </c>
      <c r="I289" s="5" t="s">
        <v>253</v>
      </c>
    </row>
    <row r="290" spans="1:23" ht="13.5" thickBot="1" x14ac:dyDescent="0.25">
      <c r="A290" s="1"/>
      <c r="B290" s="1"/>
      <c r="C290" s="1"/>
      <c r="D290" s="1"/>
      <c r="E290" s="166"/>
      <c r="F290" s="1"/>
      <c r="G290" s="1"/>
      <c r="H290" s="1"/>
      <c r="I290" s="1"/>
      <c r="S290" s="587" t="s">
        <v>435</v>
      </c>
      <c r="T290" s="587"/>
      <c r="U290" s="587"/>
    </row>
    <row r="291" spans="1:23" ht="15.75" x14ac:dyDescent="0.25">
      <c r="A291" s="117" t="s">
        <v>532</v>
      </c>
      <c r="B291" s="1"/>
      <c r="C291" s="1"/>
      <c r="D291" s="1"/>
      <c r="E291" s="1"/>
      <c r="F291" s="5"/>
      <c r="G291" s="1"/>
      <c r="H291" s="1"/>
      <c r="I291" s="1"/>
      <c r="J291" s="30" t="s">
        <v>181</v>
      </c>
      <c r="K291" s="31" t="s">
        <v>158</v>
      </c>
      <c r="L291" s="31" t="s">
        <v>68</v>
      </c>
      <c r="M291" s="31" t="s">
        <v>68</v>
      </c>
      <c r="N291" s="175" t="s">
        <v>66</v>
      </c>
      <c r="O291" s="175" t="s">
        <v>182</v>
      </c>
      <c r="P291" s="175" t="s">
        <v>243</v>
      </c>
      <c r="Q291" s="135" t="s">
        <v>243</v>
      </c>
      <c r="R291" s="33" t="s">
        <v>371</v>
      </c>
      <c r="S291" s="369" t="s">
        <v>302</v>
      </c>
      <c r="T291" s="370" t="s">
        <v>68</v>
      </c>
      <c r="U291" s="371" t="s">
        <v>424</v>
      </c>
      <c r="V291" s="371" t="s">
        <v>613</v>
      </c>
    </row>
    <row r="292" spans="1:23" x14ac:dyDescent="0.2">
      <c r="A292" s="28"/>
      <c r="B292" s="1"/>
      <c r="C292" s="1"/>
      <c r="D292" s="1"/>
      <c r="E292" s="1"/>
      <c r="F292" s="1"/>
      <c r="G292" s="1"/>
      <c r="H292" s="1"/>
      <c r="I292" s="1"/>
      <c r="J292" s="139"/>
      <c r="K292" s="140"/>
      <c r="L292" s="140" t="s">
        <v>183</v>
      </c>
      <c r="M292" s="140" t="s">
        <v>63</v>
      </c>
      <c r="N292" s="176" t="s">
        <v>184</v>
      </c>
      <c r="O292" s="176" t="s">
        <v>184</v>
      </c>
      <c r="P292" s="176" t="s">
        <v>62</v>
      </c>
      <c r="Q292" s="141" t="s">
        <v>63</v>
      </c>
      <c r="R292" s="177"/>
      <c r="S292" s="372" t="s">
        <v>11</v>
      </c>
      <c r="T292" s="373" t="s">
        <v>11</v>
      </c>
      <c r="U292" s="374" t="s">
        <v>11</v>
      </c>
      <c r="V292" s="374" t="s">
        <v>11</v>
      </c>
    </row>
    <row r="293" spans="1:23" x14ac:dyDescent="0.2">
      <c r="A293" s="1"/>
      <c r="B293" s="5" t="s">
        <v>332</v>
      </c>
      <c r="C293" s="5"/>
      <c r="D293" s="5"/>
      <c r="E293" s="5"/>
      <c r="F293" s="46"/>
      <c r="G293" s="47" t="s">
        <v>2</v>
      </c>
      <c r="H293" s="178">
        <f>4/PI()*(H253+C241)/H86^2-H260*IF(K116,(1-H113),1)</f>
        <v>12.757027465698409</v>
      </c>
      <c r="I293" s="5" t="s">
        <v>52</v>
      </c>
      <c r="J293" s="179" t="s">
        <v>542</v>
      </c>
      <c r="K293" s="40">
        <v>1</v>
      </c>
      <c r="L293" s="180">
        <v>1</v>
      </c>
      <c r="M293" s="180">
        <f t="shared" ref="M293:M299" si="26">L293*2.54</f>
        <v>2.54</v>
      </c>
      <c r="N293" s="181">
        <f t="shared" ref="N293:N299" si="27">M293^2/4*PI()</f>
        <v>5.0670747909749769</v>
      </c>
      <c r="O293" s="181">
        <f>0.606*2.54^2</f>
        <v>3.9096696</v>
      </c>
      <c r="P293" s="181">
        <f>1+5/8</f>
        <v>1.625</v>
      </c>
      <c r="Q293" s="182">
        <f t="shared" ref="Q293:Q299" si="28">P293*2.54</f>
        <v>4.1275000000000004</v>
      </c>
      <c r="R293" s="44">
        <f t="shared" ref="R293:R299" si="29">O293/N293</f>
        <v>0.77158316410950867</v>
      </c>
      <c r="S293" s="39">
        <v>45</v>
      </c>
      <c r="T293" s="40">
        <f>45+40</f>
        <v>85</v>
      </c>
      <c r="U293" s="375">
        <v>60</v>
      </c>
      <c r="V293" s="375">
        <f t="shared" ref="V293:V299" si="30">ROUNDUP(MAX(8*L293*25.4,250)/100,1)*100</f>
        <v>250</v>
      </c>
    </row>
    <row r="294" spans="1:23" x14ac:dyDescent="0.2">
      <c r="A294" s="1"/>
      <c r="B294" s="5" t="s">
        <v>57</v>
      </c>
      <c r="C294" s="5"/>
      <c r="D294" s="5"/>
      <c r="E294" s="5"/>
      <c r="F294" s="46" t="s">
        <v>99</v>
      </c>
      <c r="G294" s="47" t="s">
        <v>2</v>
      </c>
      <c r="H294" s="178">
        <f>H86+(2*(H325+H181)/1000)</f>
        <v>12.156000000000001</v>
      </c>
      <c r="I294" s="5" t="s">
        <v>3</v>
      </c>
      <c r="J294" s="179" t="s">
        <v>543</v>
      </c>
      <c r="K294" s="40">
        <f t="shared" ref="K294:K299" si="31">K293+1</f>
        <v>2</v>
      </c>
      <c r="L294" s="180">
        <v>1.25</v>
      </c>
      <c r="M294" s="180">
        <f t="shared" si="26"/>
        <v>3.1749999999999998</v>
      </c>
      <c r="N294" s="181">
        <f t="shared" si="27"/>
        <v>7.9173043608984015</v>
      </c>
      <c r="O294" s="181">
        <f>0.969*2.54^2</f>
        <v>6.2516004000000001</v>
      </c>
      <c r="P294" s="181">
        <v>2</v>
      </c>
      <c r="Q294" s="182">
        <f t="shared" si="28"/>
        <v>5.08</v>
      </c>
      <c r="R294" s="44">
        <f t="shared" si="29"/>
        <v>0.78961223606295861</v>
      </c>
      <c r="S294" s="39">
        <v>60</v>
      </c>
      <c r="T294" s="40">
        <f>60+50</f>
        <v>110</v>
      </c>
      <c r="U294" s="375">
        <v>70</v>
      </c>
      <c r="V294" s="375">
        <f t="shared" si="30"/>
        <v>260</v>
      </c>
    </row>
    <row r="295" spans="1:23" x14ac:dyDescent="0.2">
      <c r="A295" s="1"/>
      <c r="B295" s="5" t="s">
        <v>58</v>
      </c>
      <c r="C295" s="5"/>
      <c r="D295" s="5"/>
      <c r="E295" s="5"/>
      <c r="F295" s="46" t="s">
        <v>59</v>
      </c>
      <c r="G295" s="47" t="s">
        <v>2</v>
      </c>
      <c r="H295" s="184">
        <f>IF(H294&lt;15,PI()*H294/1.8,PI()*H294/3)</f>
        <v>21.216222387243072</v>
      </c>
      <c r="I295" s="5"/>
      <c r="J295" s="179" t="s">
        <v>544</v>
      </c>
      <c r="K295" s="40">
        <f t="shared" si="31"/>
        <v>3</v>
      </c>
      <c r="L295" s="180">
        <v>1.5</v>
      </c>
      <c r="M295" s="180">
        <f t="shared" si="26"/>
        <v>3.81</v>
      </c>
      <c r="N295" s="181">
        <f t="shared" si="27"/>
        <v>11.400918279693698</v>
      </c>
      <c r="O295" s="181">
        <f>1.41*2.54^2</f>
        <v>9.0967559999999992</v>
      </c>
      <c r="P295" s="181">
        <f>2+3/8</f>
        <v>2.375</v>
      </c>
      <c r="Q295" s="182">
        <f t="shared" si="28"/>
        <v>6.0324999999999998</v>
      </c>
      <c r="R295" s="44">
        <f t="shared" si="29"/>
        <v>0.79789678136736863</v>
      </c>
      <c r="S295" s="39">
        <v>70</v>
      </c>
      <c r="T295" s="40">
        <f>70+60</f>
        <v>130</v>
      </c>
      <c r="U295" s="375">
        <v>80</v>
      </c>
      <c r="V295" s="375">
        <f t="shared" si="30"/>
        <v>310</v>
      </c>
    </row>
    <row r="296" spans="1:23" x14ac:dyDescent="0.2">
      <c r="A296" s="1"/>
      <c r="B296" s="5" t="s">
        <v>60</v>
      </c>
      <c r="C296" s="5"/>
      <c r="D296" s="5"/>
      <c r="E296" s="5"/>
      <c r="F296" s="46" t="s">
        <v>61</v>
      </c>
      <c r="G296" s="47" t="s">
        <v>2</v>
      </c>
      <c r="H296" s="476">
        <v>36</v>
      </c>
      <c r="I296" s="1"/>
      <c r="J296" s="179" t="s">
        <v>545</v>
      </c>
      <c r="K296" s="40">
        <f t="shared" si="31"/>
        <v>4</v>
      </c>
      <c r="L296" s="180">
        <v>1.75</v>
      </c>
      <c r="M296" s="180">
        <f t="shared" si="26"/>
        <v>4.4450000000000003</v>
      </c>
      <c r="N296" s="181">
        <f t="shared" si="27"/>
        <v>15.517916547360871</v>
      </c>
      <c r="O296" s="181">
        <f>1.9*2.54^2</f>
        <v>12.258039999999999</v>
      </c>
      <c r="P296" s="181">
        <f>2+3/4</f>
        <v>2.75</v>
      </c>
      <c r="Q296" s="182">
        <f t="shared" si="28"/>
        <v>6.9850000000000003</v>
      </c>
      <c r="R296" s="44">
        <f t="shared" si="29"/>
        <v>0.78992820734589675</v>
      </c>
      <c r="S296" s="39">
        <v>80</v>
      </c>
      <c r="T296" s="40">
        <f>80+70</f>
        <v>150</v>
      </c>
      <c r="U296" s="375">
        <v>100</v>
      </c>
      <c r="V296" s="375">
        <f t="shared" si="30"/>
        <v>360</v>
      </c>
    </row>
    <row r="297" spans="1:23" x14ac:dyDescent="0.2">
      <c r="A297" s="1"/>
      <c r="B297" s="5" t="s">
        <v>231</v>
      </c>
      <c r="C297" s="1"/>
      <c r="D297" s="1"/>
      <c r="E297" s="1"/>
      <c r="F297" s="46" t="s">
        <v>103</v>
      </c>
      <c r="G297" s="47" t="s">
        <v>2</v>
      </c>
      <c r="H297" s="51">
        <f>H294*PI()/H296</f>
        <v>1.0608111193621537</v>
      </c>
      <c r="I297" s="5" t="s">
        <v>3</v>
      </c>
      <c r="J297" s="179" t="s">
        <v>546</v>
      </c>
      <c r="K297" s="40">
        <f t="shared" si="31"/>
        <v>5</v>
      </c>
      <c r="L297" s="180">
        <v>2</v>
      </c>
      <c r="M297" s="180">
        <f t="shared" si="26"/>
        <v>5.08</v>
      </c>
      <c r="N297" s="181">
        <f t="shared" si="27"/>
        <v>20.268299163899908</v>
      </c>
      <c r="O297" s="181">
        <f>2.5*2.54^2</f>
        <v>16.129000000000001</v>
      </c>
      <c r="P297" s="181">
        <f>3+1/8</f>
        <v>3.125</v>
      </c>
      <c r="Q297" s="182">
        <f t="shared" si="28"/>
        <v>7.9375</v>
      </c>
      <c r="R297" s="44">
        <f t="shared" si="29"/>
        <v>0.79577471545947687</v>
      </c>
      <c r="S297" s="39">
        <v>90</v>
      </c>
      <c r="T297" s="40">
        <f>90+80</f>
        <v>170</v>
      </c>
      <c r="U297" s="375">
        <v>110</v>
      </c>
      <c r="V297" s="375">
        <f t="shared" si="30"/>
        <v>409.99999999999994</v>
      </c>
    </row>
    <row r="298" spans="1:23" x14ac:dyDescent="0.2">
      <c r="A298" s="1"/>
      <c r="B298" s="5" t="s">
        <v>382</v>
      </c>
      <c r="C298" s="5"/>
      <c r="D298" s="5"/>
      <c r="E298" s="5"/>
      <c r="F298" s="46" t="s">
        <v>100</v>
      </c>
      <c r="G298" s="47" t="s">
        <v>2</v>
      </c>
      <c r="H298" s="178">
        <f>H293*(PI()*H86)/H296</f>
        <v>13.359127922627113</v>
      </c>
      <c r="I298" s="5" t="s">
        <v>50</v>
      </c>
      <c r="J298" s="179" t="s">
        <v>547</v>
      </c>
      <c r="K298" s="40">
        <f t="shared" si="31"/>
        <v>6</v>
      </c>
      <c r="L298" s="180">
        <v>2.25</v>
      </c>
      <c r="M298" s="180">
        <f t="shared" si="26"/>
        <v>5.7149999999999999</v>
      </c>
      <c r="N298" s="181">
        <f t="shared" si="27"/>
        <v>25.652066129310825</v>
      </c>
      <c r="O298" s="181">
        <f>N298*0.8</f>
        <v>20.521652903448661</v>
      </c>
      <c r="P298" s="181">
        <f>3+1/2</f>
        <v>3.5</v>
      </c>
      <c r="Q298" s="182">
        <f t="shared" si="28"/>
        <v>8.89</v>
      </c>
      <c r="R298" s="44">
        <f t="shared" si="29"/>
        <v>0.8</v>
      </c>
      <c r="S298" s="39">
        <v>100</v>
      </c>
      <c r="T298" s="40">
        <f>100+90</f>
        <v>190</v>
      </c>
      <c r="U298" s="375">
        <v>120</v>
      </c>
      <c r="V298" s="375">
        <f t="shared" si="30"/>
        <v>459.99999999999994</v>
      </c>
    </row>
    <row r="299" spans="1:23" ht="13.5" thickBot="1" x14ac:dyDescent="0.25">
      <c r="A299" s="1"/>
      <c r="B299" s="5" t="s">
        <v>229</v>
      </c>
      <c r="C299" s="5"/>
      <c r="D299" s="5"/>
      <c r="E299" s="5"/>
      <c r="F299" s="46"/>
      <c r="G299" s="47"/>
      <c r="H299" s="185"/>
      <c r="I299" s="1"/>
      <c r="J299" s="186" t="s">
        <v>548</v>
      </c>
      <c r="K299" s="53">
        <f t="shared" si="31"/>
        <v>7</v>
      </c>
      <c r="L299" s="187">
        <v>2.5</v>
      </c>
      <c r="M299" s="187">
        <f t="shared" si="26"/>
        <v>6.35</v>
      </c>
      <c r="N299" s="188">
        <f t="shared" si="27"/>
        <v>31.669217443593606</v>
      </c>
      <c r="O299" s="188">
        <f>N299*0.8</f>
        <v>25.335373954874886</v>
      </c>
      <c r="P299" s="188">
        <f>3+7/8</f>
        <v>3.875</v>
      </c>
      <c r="Q299" s="189">
        <f t="shared" si="28"/>
        <v>9.8424999999999994</v>
      </c>
      <c r="R299" s="190">
        <f t="shared" si="29"/>
        <v>0.8</v>
      </c>
      <c r="S299" s="147">
        <v>120</v>
      </c>
      <c r="T299" s="53">
        <f>120+100</f>
        <v>220</v>
      </c>
      <c r="U299" s="376">
        <v>130</v>
      </c>
      <c r="V299" s="376">
        <f t="shared" si="30"/>
        <v>509.99999999999994</v>
      </c>
    </row>
    <row r="300" spans="1:23" ht="13.5" thickBot="1" x14ac:dyDescent="0.25">
      <c r="A300" s="1"/>
      <c r="B300" s="5" t="s">
        <v>228</v>
      </c>
      <c r="C300" s="1"/>
      <c r="D300" s="1"/>
      <c r="E300" s="1"/>
      <c r="F300" s="46" t="s">
        <v>75</v>
      </c>
      <c r="G300" s="47" t="s">
        <v>2</v>
      </c>
      <c r="H300" s="178">
        <f>LOOKUP(J311,K304:K310,L304:L310)</f>
        <v>2.5299999999999998</v>
      </c>
      <c r="I300" s="5" t="s">
        <v>96</v>
      </c>
      <c r="J300" s="457">
        <v>3</v>
      </c>
      <c r="S300" s="40">
        <f>LOOKUP($J$300,$K$293:$K$299,S293:S299)</f>
        <v>70</v>
      </c>
      <c r="T300" s="40">
        <f>LOOKUP($J$300,$K$293:$K$299,T293:T299)</f>
        <v>130</v>
      </c>
      <c r="U300" s="40">
        <f>LOOKUP($J$300,$K$293:$K$299,U293:U299)</f>
        <v>80</v>
      </c>
      <c r="V300" s="40">
        <f>LOOKUP($J$300,$K$293:$K$299,V293:V299)</f>
        <v>310</v>
      </c>
      <c r="W300" s="377" t="s">
        <v>434</v>
      </c>
    </row>
    <row r="301" spans="1:23" ht="13.5" thickBot="1" x14ac:dyDescent="0.25">
      <c r="A301" s="128"/>
      <c r="B301" s="5" t="s">
        <v>635</v>
      </c>
      <c r="C301" s="5"/>
      <c r="D301" s="5"/>
      <c r="E301" s="5"/>
      <c r="F301" s="46" t="s">
        <v>636</v>
      </c>
      <c r="G301" s="47" t="s">
        <v>2</v>
      </c>
      <c r="H301" s="178">
        <f>LOOKUP(J300,K293:K299,N293:N299)</f>
        <v>11.400918279693698</v>
      </c>
      <c r="I301" s="5" t="s">
        <v>101</v>
      </c>
      <c r="S301" s="183"/>
      <c r="T301" s="191"/>
      <c r="U301" s="191"/>
      <c r="V301" s="191"/>
    </row>
    <row r="302" spans="1:23" x14ac:dyDescent="0.2">
      <c r="A302" s="1"/>
      <c r="B302" s="5" t="s">
        <v>637</v>
      </c>
      <c r="C302" s="1"/>
      <c r="D302" s="1"/>
      <c r="E302" s="1"/>
      <c r="F302" s="46" t="s">
        <v>638</v>
      </c>
      <c r="G302" s="47" t="s">
        <v>2</v>
      </c>
      <c r="H302" s="178">
        <f>LOOKUP(J300,K293:K299,O293:O299)</f>
        <v>9.0967559999999992</v>
      </c>
      <c r="I302" s="5" t="s">
        <v>101</v>
      </c>
      <c r="J302" s="192" t="s">
        <v>157</v>
      </c>
      <c r="K302" s="193" t="s">
        <v>158</v>
      </c>
      <c r="L302" s="193" t="s">
        <v>159</v>
      </c>
      <c r="M302" s="31" t="s">
        <v>163</v>
      </c>
      <c r="N302" s="31" t="s">
        <v>549</v>
      </c>
      <c r="O302" s="194" t="s">
        <v>372</v>
      </c>
      <c r="P302" s="195" t="s">
        <v>373</v>
      </c>
      <c r="S302" s="183"/>
      <c r="T302" s="191"/>
      <c r="U302" s="191"/>
      <c r="V302" s="191"/>
    </row>
    <row r="303" spans="1:23" x14ac:dyDescent="0.2">
      <c r="A303" s="1"/>
      <c r="B303" s="5" t="s">
        <v>439</v>
      </c>
      <c r="C303" s="1"/>
      <c r="D303" s="1"/>
      <c r="E303" s="1"/>
      <c r="F303" s="102" t="s">
        <v>440</v>
      </c>
      <c r="G303" s="47" t="s">
        <v>2</v>
      </c>
      <c r="H303" s="51">
        <f>H298/IF(J313=TRUE,H301,H302)</f>
        <v>1.4685595527270507</v>
      </c>
      <c r="I303" s="5" t="s">
        <v>96</v>
      </c>
      <c r="J303" s="196" t="s">
        <v>160</v>
      </c>
      <c r="K303" s="197"/>
      <c r="L303" s="197" t="s">
        <v>161</v>
      </c>
      <c r="M303" s="197" t="s">
        <v>161</v>
      </c>
      <c r="N303" s="197" t="s">
        <v>161</v>
      </c>
      <c r="O303" s="197" t="s">
        <v>161</v>
      </c>
      <c r="P303" s="198" t="s">
        <v>161</v>
      </c>
      <c r="S303" s="183"/>
      <c r="T303" s="191"/>
      <c r="U303" s="191"/>
      <c r="V303" s="191"/>
    </row>
    <row r="304" spans="1:23" ht="15.75" x14ac:dyDescent="0.25">
      <c r="A304" s="117"/>
      <c r="B304" s="5" t="str">
        <f>IF(J313=TRUE,"Tensión de tracción admisible (Interacción Corte)","Tensión de tracción admisible")</f>
        <v>Tensión de tracción admisible</v>
      </c>
      <c r="C304" s="1"/>
      <c r="D304" s="1"/>
      <c r="E304" s="1"/>
      <c r="F304" s="102" t="s">
        <v>442</v>
      </c>
      <c r="G304" s="47" t="s">
        <v>2</v>
      </c>
      <c r="H304" s="178">
        <f>IF(J313=TRUE,P311,0.8*H300)</f>
        <v>2.024</v>
      </c>
      <c r="I304" s="5" t="s">
        <v>96</v>
      </c>
      <c r="J304" s="52" t="s">
        <v>162</v>
      </c>
      <c r="K304" s="65">
        <v>1</v>
      </c>
      <c r="L304" s="199">
        <v>2.5299999999999998</v>
      </c>
      <c r="M304" s="199">
        <v>4.08</v>
      </c>
      <c r="N304" s="199">
        <f>1.33*0.17*M304</f>
        <v>0.92248800000000009</v>
      </c>
      <c r="O304" s="200">
        <f>0.33*M304*1.33</f>
        <v>1.7907120000000001</v>
      </c>
      <c r="P304" s="201">
        <f>IF(H308&lt;=2.432/1.8,MIN(2.432-1.8*H308,1.87),0)</f>
        <v>0</v>
      </c>
    </row>
    <row r="305" spans="1:21" x14ac:dyDescent="0.2">
      <c r="A305" s="1"/>
      <c r="B305" s="1"/>
      <c r="C305" s="1"/>
      <c r="D305" s="1"/>
      <c r="E305" s="1"/>
      <c r="F305" s="258" t="s">
        <v>443</v>
      </c>
      <c r="G305" s="365" t="s">
        <v>2</v>
      </c>
      <c r="H305" s="366">
        <f>IF(H304&gt;0,H303/H304,"-")</f>
        <v>0.72557290154498555</v>
      </c>
      <c r="I305" s="171" t="str">
        <f>IF(H305="-","Falla Perno",IF(ROUND(H305,2)&lt;=1,"OK","No Cumple"))</f>
        <v>OK</v>
      </c>
      <c r="J305" s="52" t="s">
        <v>345</v>
      </c>
      <c r="K305" s="65">
        <v>2</v>
      </c>
      <c r="L305" s="199">
        <v>2.2999999999999998</v>
      </c>
      <c r="M305" s="199">
        <v>4.22</v>
      </c>
      <c r="N305" s="199">
        <f>1.33*0.17*M305</f>
        <v>0.95414200000000005</v>
      </c>
      <c r="O305" s="200">
        <f>0.33*M305*1.33</f>
        <v>1.8521580000000002</v>
      </c>
      <c r="P305" s="201">
        <f>IF(H308&lt;=2.432/1.8,MIN(2.432-1.8*H308,1.87),0)</f>
        <v>0</v>
      </c>
    </row>
    <row r="306" spans="1:21" ht="13.5" customHeight="1" x14ac:dyDescent="0.2">
      <c r="A306" s="1"/>
      <c r="B306" s="346"/>
      <c r="C306" s="346"/>
      <c r="D306" s="346"/>
      <c r="E306" s="346"/>
      <c r="F306" s="346"/>
      <c r="G306" s="346"/>
      <c r="H306" s="346"/>
      <c r="I306" s="346"/>
      <c r="J306" s="52" t="s">
        <v>346</v>
      </c>
      <c r="K306" s="65">
        <v>3</v>
      </c>
      <c r="L306" s="199">
        <v>4.5999999999999996</v>
      </c>
      <c r="M306" s="199">
        <v>8.44</v>
      </c>
      <c r="N306" s="199">
        <f>1.33*21/14.22</f>
        <v>1.9641350210970463</v>
      </c>
      <c r="O306" s="200">
        <f>44/14.22*1.33</f>
        <v>4.1153305203938118</v>
      </c>
      <c r="P306" s="201">
        <f>IF(H308&lt;=1.33*44/SQRT(2.15)/14.22,SQRT((1.33*44)^2-2.15*(H308*14.22)^2)/14.22,0)</f>
        <v>2.0534175969756223</v>
      </c>
    </row>
    <row r="307" spans="1:21" ht="13.5" customHeight="1" x14ac:dyDescent="0.2">
      <c r="A307" s="1"/>
      <c r="B307" s="345" t="s">
        <v>437</v>
      </c>
      <c r="C307" s="346"/>
      <c r="D307" s="346"/>
      <c r="E307" s="346"/>
      <c r="F307" s="415" t="s">
        <v>577</v>
      </c>
      <c r="G307" s="416" t="s">
        <v>2</v>
      </c>
      <c r="H307" s="417">
        <f>H254/(H296/3)</f>
        <v>27.730281726400623</v>
      </c>
      <c r="I307" s="345" t="s">
        <v>50</v>
      </c>
      <c r="J307" s="52" t="s">
        <v>347</v>
      </c>
      <c r="K307" s="65">
        <v>4</v>
      </c>
      <c r="L307" s="199">
        <v>9.1</v>
      </c>
      <c r="M307" s="199">
        <v>10.55</v>
      </c>
      <c r="N307" s="199">
        <f>1.33*28/14.22</f>
        <v>2.618846694796062</v>
      </c>
      <c r="O307" s="200">
        <f>54/14.22*1.33</f>
        <v>5.0506329113924053</v>
      </c>
      <c r="P307" s="201">
        <f>IF(H308&lt;=1.33*54/SQRT(1.82)/14.22,SQRT((1.33*54)^2-1.82*(H308*14.22)^2)/14.22,0)</f>
        <v>3.8394992688732246</v>
      </c>
    </row>
    <row r="308" spans="1:21" ht="13.5" customHeight="1" x14ac:dyDescent="0.2">
      <c r="A308" s="1"/>
      <c r="B308" s="345" t="s">
        <v>438</v>
      </c>
      <c r="C308" s="346"/>
      <c r="D308" s="346"/>
      <c r="E308" s="346"/>
      <c r="F308" s="418" t="s">
        <v>578</v>
      </c>
      <c r="G308" s="416" t="s">
        <v>2</v>
      </c>
      <c r="H308" s="417">
        <f>H307/H301</f>
        <v>2.432284930573648</v>
      </c>
      <c r="I308" s="345" t="s">
        <v>579</v>
      </c>
      <c r="J308" s="39" t="s">
        <v>335</v>
      </c>
      <c r="K308" s="40">
        <f>K307+1</f>
        <v>5</v>
      </c>
      <c r="L308" s="180">
        <v>2.4</v>
      </c>
      <c r="M308" s="199">
        <v>3.7</v>
      </c>
      <c r="N308" s="199">
        <f>1.33*0.17*M308</f>
        <v>0.83657000000000015</v>
      </c>
      <c r="O308" s="200">
        <f>0.33*M308*1.33</f>
        <v>1.6239300000000001</v>
      </c>
      <c r="P308" s="201">
        <f>MAX(MIN(0.57*M308-1.4*H308,O308),0)</f>
        <v>0</v>
      </c>
    </row>
    <row r="309" spans="1:21" ht="13.5" customHeight="1" x14ac:dyDescent="0.2">
      <c r="A309" s="1"/>
      <c r="B309" s="345" t="s">
        <v>441</v>
      </c>
      <c r="C309" s="346"/>
      <c r="D309" s="346"/>
      <c r="E309" s="346"/>
      <c r="F309" s="418" t="s">
        <v>580</v>
      </c>
      <c r="G309" s="416" t="s">
        <v>2</v>
      </c>
      <c r="H309" s="395">
        <f>N311</f>
        <v>0.92248800000000009</v>
      </c>
      <c r="I309" s="345" t="s">
        <v>579</v>
      </c>
      <c r="J309" s="39" t="s">
        <v>336</v>
      </c>
      <c r="K309" s="40">
        <f>K308+1</f>
        <v>6</v>
      </c>
      <c r="L309" s="180">
        <v>2.7</v>
      </c>
      <c r="M309" s="199">
        <v>4.2</v>
      </c>
      <c r="N309" s="199">
        <f>1.33*0.17*M309</f>
        <v>0.94962000000000013</v>
      </c>
      <c r="O309" s="200">
        <f>0.33*M309*1.33</f>
        <v>1.8433800000000002</v>
      </c>
      <c r="P309" s="201">
        <f>MAX(MIN(0.57*M309-1.4*H308,O309),0)</f>
        <v>0</v>
      </c>
    </row>
    <row r="310" spans="1:21" ht="13.5" customHeight="1" thickBot="1" x14ac:dyDescent="0.25">
      <c r="A310" s="1"/>
      <c r="B310" s="346"/>
      <c r="C310" s="346"/>
      <c r="D310" s="346"/>
      <c r="E310" s="346"/>
      <c r="F310" s="419" t="s">
        <v>581</v>
      </c>
      <c r="G310" s="427" t="s">
        <v>2</v>
      </c>
      <c r="H310" s="426">
        <f>H308/H309</f>
        <v>2.6366575289582603</v>
      </c>
      <c r="I310" s="420" t="str">
        <f>IF(ROUND(H310,2)&lt;=1,"OK","No Cumple")</f>
        <v>No Cumple</v>
      </c>
      <c r="J310" s="147" t="s">
        <v>337</v>
      </c>
      <c r="K310" s="53">
        <f>K309+1</f>
        <v>7</v>
      </c>
      <c r="L310" s="187">
        <v>3.4</v>
      </c>
      <c r="M310" s="202">
        <v>5.2</v>
      </c>
      <c r="N310" s="202">
        <f>1.33*0.17*M310</f>
        <v>1.1757200000000001</v>
      </c>
      <c r="O310" s="203">
        <f>0.33*M310*1.33</f>
        <v>2.2822800000000005</v>
      </c>
      <c r="P310" s="204">
        <f>MAX(MIN(0.57*M310-1.4*H308,O310),0)</f>
        <v>0</v>
      </c>
    </row>
    <row r="311" spans="1:21" ht="13.5" customHeight="1" thickBot="1" x14ac:dyDescent="0.25">
      <c r="A311" s="1"/>
      <c r="B311" s="346"/>
      <c r="C311" s="346"/>
      <c r="D311" s="346"/>
      <c r="E311" s="346"/>
      <c r="F311" s="346"/>
      <c r="G311" s="346"/>
      <c r="H311" s="346"/>
      <c r="I311" s="346"/>
      <c r="J311" s="461">
        <v>1</v>
      </c>
      <c r="M311" s="153"/>
      <c r="N311" s="212">
        <f>LOOKUP($J$311,$K$304:$K$310,N304:N310)</f>
        <v>0.92248800000000009</v>
      </c>
      <c r="P311" s="212">
        <f>LOOKUP($J$311,$K$304:$K$310,P304:P310)</f>
        <v>0</v>
      </c>
    </row>
    <row r="312" spans="1:21" ht="13.5" customHeight="1" x14ac:dyDescent="0.25">
      <c r="A312" s="117" t="s">
        <v>533</v>
      </c>
      <c r="B312" s="1"/>
      <c r="C312" s="1"/>
      <c r="D312" s="1"/>
      <c r="E312" s="1"/>
      <c r="F312" s="1"/>
      <c r="G312" s="1"/>
      <c r="H312" s="1"/>
      <c r="I312" s="1"/>
      <c r="J312" s="216" t="s">
        <v>436</v>
      </c>
      <c r="K312" s="463"/>
      <c r="L312" s="217"/>
    </row>
    <row r="313" spans="1:21" ht="21" customHeight="1" thickBot="1" x14ac:dyDescent="0.25">
      <c r="B313" s="1"/>
      <c r="C313" s="1"/>
      <c r="D313" s="1"/>
      <c r="E313" s="1"/>
      <c r="F313" s="1"/>
      <c r="G313" s="1"/>
      <c r="H313" s="1"/>
      <c r="I313" s="1"/>
      <c r="J313" s="462" t="b">
        <v>0</v>
      </c>
      <c r="K313" s="466"/>
      <c r="L313" s="220"/>
    </row>
    <row r="314" spans="1:21" ht="21" customHeight="1" x14ac:dyDescent="0.25">
      <c r="A314" s="117"/>
      <c r="B314" s="1"/>
      <c r="C314" s="1"/>
      <c r="D314" s="1"/>
      <c r="E314" s="1"/>
      <c r="F314" s="1"/>
      <c r="G314" s="1"/>
      <c r="H314" s="1"/>
      <c r="I314" s="1"/>
    </row>
    <row r="315" spans="1:21" ht="21" customHeight="1" thickBot="1" x14ac:dyDescent="0.3">
      <c r="A315" s="117"/>
      <c r="B315" s="1"/>
      <c r="C315" s="1"/>
      <c r="D315" s="1"/>
      <c r="E315" s="1"/>
      <c r="F315" s="1"/>
      <c r="G315" s="1"/>
      <c r="H315" s="1"/>
      <c r="I315" s="1"/>
      <c r="J315" s="12" t="s">
        <v>414</v>
      </c>
    </row>
    <row r="316" spans="1:21" ht="21" customHeight="1" x14ac:dyDescent="0.25">
      <c r="A316" s="117"/>
      <c r="B316" s="1"/>
      <c r="C316" s="1"/>
      <c r="D316" s="1"/>
      <c r="E316" s="1"/>
      <c r="F316" s="1"/>
      <c r="G316" s="1"/>
      <c r="H316" s="1"/>
      <c r="I316" s="1"/>
      <c r="J316" s="216" t="s">
        <v>157</v>
      </c>
      <c r="K316" s="458">
        <v>1</v>
      </c>
    </row>
    <row r="317" spans="1:21" ht="21" customHeight="1" thickBot="1" x14ac:dyDescent="0.3">
      <c r="A317" s="117"/>
      <c r="B317" s="1"/>
      <c r="C317" s="1"/>
      <c r="D317" s="1"/>
      <c r="E317" s="1"/>
      <c r="F317" s="1"/>
      <c r="G317" s="1"/>
      <c r="H317" s="1"/>
      <c r="I317" s="1"/>
      <c r="J317" s="59" t="s">
        <v>357</v>
      </c>
      <c r="K317" s="459">
        <v>15</v>
      </c>
    </row>
    <row r="318" spans="1:21" ht="21" customHeight="1" thickBot="1" x14ac:dyDescent="0.3">
      <c r="A318" s="117"/>
      <c r="B318" s="1"/>
      <c r="C318" s="1"/>
      <c r="D318" s="1"/>
      <c r="E318" s="1"/>
      <c r="F318" s="1"/>
      <c r="G318" s="1"/>
      <c r="H318" s="1"/>
      <c r="I318" s="1"/>
      <c r="N318" s="5"/>
      <c r="O318" s="1"/>
      <c r="P318" s="1"/>
      <c r="Q318" s="1"/>
      <c r="R318" s="46"/>
      <c r="S318" s="47"/>
      <c r="T318" s="347"/>
      <c r="U318" s="5"/>
    </row>
    <row r="319" spans="1:21" ht="21" customHeight="1" x14ac:dyDescent="0.25">
      <c r="A319" s="117"/>
      <c r="B319" s="1"/>
      <c r="C319" s="1"/>
      <c r="D319" s="1"/>
      <c r="E319" s="1"/>
      <c r="F319" s="1"/>
      <c r="G319" s="1"/>
      <c r="H319" s="1"/>
      <c r="I319" s="1"/>
      <c r="J319" s="216" t="s">
        <v>416</v>
      </c>
      <c r="K319" s="463"/>
      <c r="L319" s="217"/>
      <c r="N319" s="5"/>
      <c r="O319" s="1"/>
      <c r="P319" s="1"/>
      <c r="Q319" s="1"/>
      <c r="R319" s="169"/>
      <c r="S319" s="47"/>
      <c r="T319" s="347"/>
      <c r="U319" s="5"/>
    </row>
    <row r="320" spans="1:21" ht="21" customHeight="1" thickBot="1" x14ac:dyDescent="0.25">
      <c r="A320" s="38"/>
      <c r="B320" s="1"/>
      <c r="C320" s="1"/>
      <c r="D320" s="1"/>
      <c r="E320" s="1"/>
      <c r="F320" s="1"/>
      <c r="G320" s="1"/>
      <c r="H320" s="1"/>
      <c r="I320" s="1"/>
      <c r="J320" s="506" t="b">
        <v>1</v>
      </c>
      <c r="K320" s="466"/>
      <c r="L320" s="220"/>
      <c r="N320" s="5"/>
      <c r="O320" s="1"/>
      <c r="P320" s="1"/>
      <c r="Q320" s="1"/>
      <c r="R320" s="46"/>
      <c r="S320" s="47"/>
      <c r="T320" s="347"/>
      <c r="U320" s="5"/>
    </row>
    <row r="321" spans="1:13" ht="21" customHeight="1" thickBot="1" x14ac:dyDescent="0.25">
      <c r="A321" s="38"/>
      <c r="B321" s="1"/>
      <c r="C321" s="1"/>
      <c r="D321" s="1"/>
      <c r="E321" s="1"/>
      <c r="F321" s="1"/>
      <c r="G321" s="1"/>
      <c r="H321" s="1"/>
      <c r="I321" s="1"/>
    </row>
    <row r="322" spans="1:13" ht="21" customHeight="1" x14ac:dyDescent="0.2">
      <c r="A322" s="38"/>
      <c r="B322" s="1"/>
      <c r="C322" s="1"/>
      <c r="D322" s="1"/>
      <c r="E322" s="1"/>
      <c r="F322" s="1"/>
      <c r="G322" s="1"/>
      <c r="H322" s="1"/>
      <c r="I322" s="1"/>
      <c r="J322" s="30" t="s">
        <v>258</v>
      </c>
      <c r="K322" s="31" t="s">
        <v>158</v>
      </c>
      <c r="L322" s="31" t="s">
        <v>259</v>
      </c>
      <c r="M322" s="32" t="s">
        <v>264</v>
      </c>
    </row>
    <row r="323" spans="1:13" ht="21" customHeight="1" x14ac:dyDescent="0.2">
      <c r="A323" s="75" t="s">
        <v>571</v>
      </c>
      <c r="B323" s="1"/>
      <c r="C323" s="1"/>
      <c r="D323" s="1"/>
      <c r="E323" s="1"/>
      <c r="F323" s="1"/>
      <c r="G323" s="1"/>
      <c r="H323" s="1"/>
      <c r="I323" s="1"/>
      <c r="J323" s="139" t="s">
        <v>160</v>
      </c>
      <c r="K323" s="140"/>
      <c r="L323" s="140" t="s">
        <v>260</v>
      </c>
      <c r="M323" s="206" t="s">
        <v>161</v>
      </c>
    </row>
    <row r="324" spans="1:13" ht="14.25" customHeight="1" x14ac:dyDescent="0.2">
      <c r="A324" s="1"/>
      <c r="B324" s="19"/>
      <c r="C324" s="19"/>
      <c r="D324" s="19"/>
      <c r="E324" s="19"/>
      <c r="F324" s="19"/>
      <c r="G324" s="19"/>
      <c r="H324" s="19"/>
      <c r="I324" s="19"/>
      <c r="J324" s="39" t="s">
        <v>261</v>
      </c>
      <c r="K324" s="40">
        <v>1</v>
      </c>
      <c r="L324" s="40">
        <v>160</v>
      </c>
      <c r="M324" s="207">
        <f>47*SQRT(L324/10)</f>
        <v>188</v>
      </c>
    </row>
    <row r="325" spans="1:13" ht="15" customHeight="1" x14ac:dyDescent="0.2">
      <c r="A325" s="1"/>
      <c r="B325" s="5" t="s">
        <v>421</v>
      </c>
      <c r="F325" s="46" t="s">
        <v>302</v>
      </c>
      <c r="G325" s="47" t="s">
        <v>2</v>
      </c>
      <c r="H325" s="476">
        <v>70</v>
      </c>
      <c r="I325" s="5" t="s">
        <v>96</v>
      </c>
      <c r="J325" s="39" t="s">
        <v>262</v>
      </c>
      <c r="K325" s="40">
        <f>K324+1</f>
        <v>2</v>
      </c>
      <c r="L325" s="40">
        <v>200</v>
      </c>
      <c r="M325" s="207">
        <f>47*SQRT(L325/10)</f>
        <v>210.19038988498025</v>
      </c>
    </row>
    <row r="326" spans="1:13" ht="15" customHeight="1" thickBot="1" x14ac:dyDescent="0.25">
      <c r="A326" s="1"/>
      <c r="B326" s="5" t="s">
        <v>422</v>
      </c>
      <c r="C326" s="1"/>
      <c r="D326" s="1"/>
      <c r="E326" s="1"/>
      <c r="F326" s="46" t="s">
        <v>68</v>
      </c>
      <c r="G326" s="47" t="s">
        <v>2</v>
      </c>
      <c r="H326" s="476">
        <v>130</v>
      </c>
      <c r="I326" s="5" t="s">
        <v>11</v>
      </c>
      <c r="J326" s="147" t="s">
        <v>263</v>
      </c>
      <c r="K326" s="53">
        <f>K325+1</f>
        <v>3</v>
      </c>
      <c r="L326" s="53">
        <v>250</v>
      </c>
      <c r="M326" s="208">
        <f>47*SQRT(L326/10)</f>
        <v>235</v>
      </c>
    </row>
    <row r="327" spans="1:13" ht="15" customHeight="1" thickBot="1" x14ac:dyDescent="0.25">
      <c r="B327" s="5" t="s">
        <v>423</v>
      </c>
      <c r="C327" s="1"/>
      <c r="D327" s="1"/>
      <c r="E327" s="1"/>
      <c r="F327" s="46" t="s">
        <v>424</v>
      </c>
      <c r="G327" s="47" t="s">
        <v>2</v>
      </c>
      <c r="H327" s="476">
        <v>80</v>
      </c>
      <c r="I327" s="5" t="s">
        <v>11</v>
      </c>
      <c r="J327" s="457">
        <v>3</v>
      </c>
    </row>
    <row r="328" spans="1:13" ht="15" customHeight="1" x14ac:dyDescent="0.2">
      <c r="A328" s="1"/>
      <c r="B328" s="76" t="s">
        <v>614</v>
      </c>
      <c r="C328" s="68"/>
      <c r="D328" s="68"/>
      <c r="E328" s="68"/>
      <c r="F328" s="236" t="s">
        <v>283</v>
      </c>
      <c r="G328" s="69" t="s">
        <v>2</v>
      </c>
      <c r="H328" s="476">
        <v>310</v>
      </c>
      <c r="I328" s="5" t="str">
        <f>"mm" &amp; IF(H328&lt;H357*10,", AUMENTAR","")</f>
        <v>mm</v>
      </c>
      <c r="J328" s="65"/>
    </row>
    <row r="329" spans="1:13" ht="15" customHeight="1" thickBot="1" x14ac:dyDescent="0.25">
      <c r="A329" s="1"/>
      <c r="B329" s="5" t="s">
        <v>425</v>
      </c>
      <c r="C329" s="1"/>
      <c r="D329" s="1"/>
      <c r="E329" s="1"/>
      <c r="F329" s="46" t="s">
        <v>55</v>
      </c>
      <c r="G329" s="47" t="s">
        <v>2</v>
      </c>
      <c r="H329" s="184">
        <f>H326-H325</f>
        <v>60</v>
      </c>
      <c r="I329" s="5" t="s">
        <v>11</v>
      </c>
    </row>
    <row r="330" spans="1:13" ht="15" customHeight="1" thickBot="1" x14ac:dyDescent="0.35">
      <c r="A330" s="1"/>
      <c r="B330" s="5" t="s">
        <v>427</v>
      </c>
      <c r="C330" s="47"/>
      <c r="D330" s="47"/>
      <c r="E330" s="47"/>
      <c r="F330" s="47" t="s">
        <v>426</v>
      </c>
      <c r="G330" s="47" t="s">
        <v>2</v>
      </c>
      <c r="H330" s="48">
        <f>(LOOKUP(J300,K293:K299,L293:L299)+1/16)*25.4</f>
        <v>39.6875</v>
      </c>
      <c r="I330" s="5" t="s">
        <v>11</v>
      </c>
      <c r="J330" s="110" t="s">
        <v>348</v>
      </c>
      <c r="K330" s="456" t="b">
        <v>0</v>
      </c>
    </row>
    <row r="331" spans="1:13" ht="15" customHeight="1" thickBot="1" x14ac:dyDescent="0.25">
      <c r="A331" s="1"/>
      <c r="B331" s="5" t="s">
        <v>428</v>
      </c>
      <c r="C331" s="1"/>
      <c r="D331" s="1"/>
      <c r="E331" s="1"/>
      <c r="F331" s="102" t="s">
        <v>429</v>
      </c>
      <c r="G331" s="47" t="s">
        <v>2</v>
      </c>
      <c r="H331" s="47">
        <v>1.25</v>
      </c>
      <c r="I331" s="1"/>
    </row>
    <row r="332" spans="1:13" ht="15" customHeight="1" x14ac:dyDescent="0.2">
      <c r="A332" s="1"/>
      <c r="B332" s="5" t="s">
        <v>354</v>
      </c>
      <c r="C332" s="1"/>
      <c r="D332" s="1"/>
      <c r="E332" s="1"/>
      <c r="F332" s="46" t="s">
        <v>420</v>
      </c>
      <c r="G332" s="47" t="s">
        <v>2</v>
      </c>
      <c r="H332" s="226">
        <f>LOOKUP(K316,K79:K92,L79:L92)</f>
        <v>2.5280326197757392</v>
      </c>
      <c r="I332" s="5" t="s">
        <v>96</v>
      </c>
      <c r="J332" s="216" t="s">
        <v>349</v>
      </c>
      <c r="K332" s="217"/>
    </row>
    <row r="333" spans="1:13" ht="15" customHeight="1" x14ac:dyDescent="0.2">
      <c r="A333" s="1"/>
      <c r="B333" s="5" t="s">
        <v>355</v>
      </c>
      <c r="C333" s="1"/>
      <c r="D333" s="1"/>
      <c r="E333" s="1"/>
      <c r="F333" s="46" t="str">
        <f>IF(J320=TRUE,"ta","tg")</f>
        <v>ta</v>
      </c>
      <c r="G333" s="47" t="s">
        <v>2</v>
      </c>
      <c r="H333" s="47">
        <f>LOOKUP(K317,L157:L173,M157:M173)</f>
        <v>35</v>
      </c>
      <c r="I333" s="5" t="str">
        <f>"mm "&amp;IF(H332&gt;40,"Usar doble placa","")</f>
        <v xml:space="preserve">mm </v>
      </c>
      <c r="J333" s="218" t="s">
        <v>350</v>
      </c>
      <c r="K333" s="219"/>
    </row>
    <row r="334" spans="1:13" ht="15" customHeight="1" thickBot="1" x14ac:dyDescent="0.25">
      <c r="A334" s="1"/>
      <c r="B334" s="5" t="s">
        <v>352</v>
      </c>
      <c r="C334" s="1"/>
      <c r="D334" s="1"/>
      <c r="E334" s="1"/>
      <c r="F334" s="46" t="s">
        <v>353</v>
      </c>
      <c r="G334" s="47" t="s">
        <v>2</v>
      </c>
      <c r="H334" s="178">
        <f>IF(J335=1,H298,IF(J335=2,0.8*H300*H302,H300*H301))</f>
        <v>18.411834144</v>
      </c>
      <c r="I334" s="5" t="s">
        <v>50</v>
      </c>
      <c r="J334" s="59" t="s">
        <v>351</v>
      </c>
      <c r="K334" s="220"/>
    </row>
    <row r="335" spans="1:13" ht="15" customHeight="1" thickBot="1" x14ac:dyDescent="0.35">
      <c r="A335" s="1"/>
      <c r="B335" s="5" t="s">
        <v>430</v>
      </c>
      <c r="C335" s="1"/>
      <c r="D335" s="1"/>
      <c r="E335" s="1"/>
      <c r="F335" s="368" t="s">
        <v>431</v>
      </c>
      <c r="G335" s="47" t="s">
        <v>2</v>
      </c>
      <c r="H335" s="51">
        <f>(H331*H334*H327)/(((H333/10)^2)*(2*MIN(H325,H329)-H330))</f>
        <v>1.8714482414293654</v>
      </c>
      <c r="I335" s="5" t="s">
        <v>96</v>
      </c>
      <c r="J335" s="460">
        <v>2</v>
      </c>
    </row>
    <row r="336" spans="1:13" ht="15" customHeight="1" x14ac:dyDescent="0.2">
      <c r="A336" s="1"/>
      <c r="B336" s="1"/>
      <c r="C336" s="1"/>
      <c r="D336" s="1"/>
      <c r="E336" s="1"/>
      <c r="F336" s="258" t="s">
        <v>432</v>
      </c>
      <c r="G336" s="365" t="s">
        <v>2</v>
      </c>
      <c r="H336" s="366">
        <f>H335/H332</f>
        <v>0.74027851808153522</v>
      </c>
      <c r="I336" s="171" t="str">
        <f>IF(ROUND(H336,2)&lt;=1,"OK","No Cumple")</f>
        <v>OK</v>
      </c>
      <c r="J336" s="153"/>
      <c r="K336" s="153"/>
      <c r="L336" s="153"/>
      <c r="M336" s="153"/>
    </row>
    <row r="337" spans="1:17" ht="15" customHeight="1" x14ac:dyDescent="0.2">
      <c r="A337" s="22"/>
      <c r="B337" s="5"/>
      <c r="C337" s="1"/>
      <c r="D337" s="1"/>
      <c r="E337" s="588"/>
      <c r="F337" s="588"/>
      <c r="G337" s="47"/>
      <c r="H337" s="51"/>
      <c r="I337" s="171"/>
      <c r="J337" s="421"/>
      <c r="K337" s="422"/>
      <c r="L337" s="422"/>
      <c r="M337" s="153"/>
    </row>
    <row r="338" spans="1:17" ht="15" customHeight="1" x14ac:dyDescent="0.2">
      <c r="A338" s="1"/>
      <c r="B338" s="1"/>
      <c r="C338" s="1"/>
      <c r="D338" s="1"/>
      <c r="E338" s="1"/>
      <c r="F338" s="1"/>
      <c r="G338" s="1"/>
      <c r="H338" s="1"/>
      <c r="I338" s="1"/>
      <c r="J338" s="423"/>
      <c r="K338" s="225"/>
      <c r="L338" s="225"/>
      <c r="M338" s="153"/>
      <c r="O338" s="209"/>
      <c r="P338" s="210"/>
      <c r="Q338" s="211"/>
    </row>
    <row r="339" spans="1:17" ht="15" customHeight="1" x14ac:dyDescent="0.2">
      <c r="A339" s="68"/>
      <c r="B339" s="1"/>
      <c r="C339" s="1"/>
      <c r="D339" s="1"/>
      <c r="E339" s="1"/>
      <c r="F339" s="1"/>
      <c r="G339" s="1"/>
      <c r="H339" s="1"/>
      <c r="I339" s="1"/>
      <c r="J339" s="423"/>
      <c r="K339" s="225"/>
      <c r="L339" s="225"/>
      <c r="M339" s="153"/>
    </row>
    <row r="340" spans="1:17" x14ac:dyDescent="0.2">
      <c r="A340" s="38" t="s">
        <v>572</v>
      </c>
      <c r="B340" s="68"/>
      <c r="C340" s="68"/>
      <c r="D340" s="68"/>
      <c r="E340" s="68"/>
      <c r="F340" s="68"/>
      <c r="G340" s="68"/>
      <c r="H340" s="68"/>
      <c r="I340" s="68"/>
      <c r="J340" s="423"/>
      <c r="K340" s="225"/>
      <c r="L340" s="225"/>
      <c r="M340" s="153"/>
    </row>
    <row r="341" spans="1:17" x14ac:dyDescent="0.2">
      <c r="A341" s="128"/>
      <c r="B341" s="1"/>
      <c r="C341" s="1"/>
      <c r="D341" s="1"/>
      <c r="E341" s="166"/>
      <c r="F341" s="1"/>
      <c r="G341" s="22"/>
      <c r="H341" s="1"/>
      <c r="I341" s="1"/>
      <c r="J341" s="423"/>
      <c r="K341" s="225"/>
      <c r="L341" s="225"/>
      <c r="M341" s="153"/>
    </row>
    <row r="342" spans="1:17" x14ac:dyDescent="0.2">
      <c r="A342" s="1"/>
      <c r="B342" s="5" t="s">
        <v>355</v>
      </c>
      <c r="C342" s="1"/>
      <c r="D342" s="1"/>
      <c r="E342" s="1"/>
      <c r="F342" s="46" t="s">
        <v>106</v>
      </c>
      <c r="G342" s="47" t="s">
        <v>2</v>
      </c>
      <c r="H342" s="184">
        <f>LOOKUP(K363,L157:L173,M157:M173)</f>
        <v>8</v>
      </c>
      <c r="I342" s="5" t="str">
        <f>"mm "&amp;IF(OR(H342&lt;2/3*H181,H342&lt;H180),"Aumentar","")</f>
        <v xml:space="preserve">mm </v>
      </c>
      <c r="J342" s="423"/>
      <c r="K342" s="225"/>
      <c r="L342" s="225"/>
      <c r="M342" s="153"/>
    </row>
    <row r="343" spans="1:17" x14ac:dyDescent="0.2">
      <c r="A343" s="1"/>
      <c r="B343" s="5" t="s">
        <v>375</v>
      </c>
      <c r="C343" s="1"/>
      <c r="D343" s="1"/>
      <c r="E343" s="1"/>
      <c r="F343" s="169" t="s">
        <v>651</v>
      </c>
      <c r="G343" s="47" t="s">
        <v>2</v>
      </c>
      <c r="H343" s="184">
        <f>H181+3*H342-1.5*H100-H99</f>
        <v>27</v>
      </c>
      <c r="I343" s="5" t="s">
        <v>376</v>
      </c>
      <c r="J343" s="423"/>
      <c r="K343" s="225"/>
      <c r="L343" s="225"/>
      <c r="M343" s="153"/>
      <c r="O343" s="209"/>
      <c r="P343" s="212"/>
      <c r="Q343" s="213"/>
    </row>
    <row r="344" spans="1:17" x14ac:dyDescent="0.2">
      <c r="A344" s="1"/>
      <c r="B344" s="5" t="s">
        <v>379</v>
      </c>
      <c r="C344" s="1"/>
      <c r="D344" s="1"/>
      <c r="E344" s="1"/>
      <c r="F344" s="102" t="s">
        <v>377</v>
      </c>
      <c r="G344" s="47" t="s">
        <v>2</v>
      </c>
      <c r="H344" s="205">
        <f>IF(H270="-","-",H271*H181/H343)</f>
        <v>7.0837731881689611E-2</v>
      </c>
      <c r="I344" s="5" t="s">
        <v>96</v>
      </c>
      <c r="J344" s="224"/>
      <c r="K344" s="153"/>
      <c r="L344" s="153"/>
      <c r="M344" s="153"/>
      <c r="O344" s="209"/>
      <c r="P344" s="212"/>
      <c r="Q344" s="213"/>
    </row>
    <row r="345" spans="1:17" x14ac:dyDescent="0.2">
      <c r="A345" s="128"/>
      <c r="B345" s="5" t="s">
        <v>378</v>
      </c>
      <c r="C345" s="1"/>
      <c r="D345" s="1"/>
      <c r="E345" s="1"/>
      <c r="F345" s="46" t="s">
        <v>380</v>
      </c>
      <c r="G345" s="47" t="s">
        <v>2</v>
      </c>
      <c r="H345" s="351">
        <f>0.65*LOOKUP(J327,K324:K326,L324:L326)/1000</f>
        <v>0.16250000000000001</v>
      </c>
      <c r="I345" s="5" t="s">
        <v>96</v>
      </c>
      <c r="O345" s="209"/>
      <c r="P345" s="212"/>
      <c r="Q345" s="213"/>
    </row>
    <row r="346" spans="1:17" x14ac:dyDescent="0.2">
      <c r="A346" s="1"/>
      <c r="B346" s="5" t="s">
        <v>354</v>
      </c>
      <c r="C346" s="1"/>
      <c r="D346" s="1"/>
      <c r="E346" s="1"/>
      <c r="F346" s="258" t="s">
        <v>494</v>
      </c>
      <c r="G346" s="365" t="s">
        <v>2</v>
      </c>
      <c r="H346" s="366">
        <f>IF(H344="-","-",H344/H345)</f>
        <v>0.43592450388732068</v>
      </c>
      <c r="I346" s="171" t="str">
        <f>IF(H346="-","ANCLAR",IF(ROUND(H346,2)&lt;=1,"OK","No Cumple"))</f>
        <v>OK</v>
      </c>
      <c r="O346" s="209"/>
      <c r="P346" s="212"/>
      <c r="Q346" s="213"/>
    </row>
    <row r="347" spans="1:17" x14ac:dyDescent="0.2">
      <c r="A347" s="38" t="s">
        <v>573</v>
      </c>
      <c r="B347" s="1"/>
      <c r="C347" s="1"/>
      <c r="D347" s="1"/>
      <c r="E347" s="1"/>
      <c r="F347" s="1"/>
      <c r="G347" s="1"/>
      <c r="H347" s="1"/>
      <c r="I347" s="1"/>
      <c r="O347" s="209"/>
      <c r="P347" s="212"/>
      <c r="Q347" s="213"/>
    </row>
    <row r="348" spans="1:17" x14ac:dyDescent="0.2">
      <c r="A348" s="1"/>
      <c r="B348" s="1"/>
      <c r="C348" s="1"/>
      <c r="D348" s="1"/>
      <c r="E348" s="1"/>
      <c r="F348" s="345"/>
      <c r="G348" s="346"/>
      <c r="H348" s="346"/>
      <c r="I348" s="346"/>
      <c r="O348" s="209"/>
      <c r="P348" s="212"/>
      <c r="Q348" s="213"/>
    </row>
    <row r="349" spans="1:17" x14ac:dyDescent="0.2">
      <c r="A349" s="1"/>
      <c r="B349" s="5" t="s">
        <v>234</v>
      </c>
      <c r="C349" s="1"/>
      <c r="D349" s="28"/>
      <c r="E349" s="1"/>
      <c r="F349" s="169" t="s">
        <v>238</v>
      </c>
      <c r="G349" s="47" t="s">
        <v>2</v>
      </c>
      <c r="H349" s="184">
        <f>MAX(215*H342/(H87*H91)^0.5,600)</f>
        <v>600</v>
      </c>
      <c r="I349" s="5" t="s">
        <v>11</v>
      </c>
      <c r="O349" s="209"/>
      <c r="P349" s="212"/>
      <c r="Q349" s="213"/>
    </row>
    <row r="350" spans="1:17" x14ac:dyDescent="0.2">
      <c r="A350" s="1"/>
      <c r="B350" s="5" t="s">
        <v>237</v>
      </c>
      <c r="C350" s="1"/>
      <c r="D350" s="1"/>
      <c r="E350" s="1"/>
      <c r="F350" s="169" t="s">
        <v>239</v>
      </c>
      <c r="G350" s="47" t="s">
        <v>2</v>
      </c>
      <c r="H350" s="184">
        <f>0.1745*H261/(H87*H91)*10000</f>
        <v>410.42399999999998</v>
      </c>
      <c r="I350" s="5" t="s">
        <v>11</v>
      </c>
      <c r="O350" s="209"/>
      <c r="P350" s="212"/>
      <c r="Q350" s="213"/>
    </row>
    <row r="351" spans="1:17" x14ac:dyDescent="0.2">
      <c r="A351" s="1"/>
      <c r="B351" s="5" t="s">
        <v>235</v>
      </c>
      <c r="C351" s="1"/>
      <c r="D351" s="1"/>
      <c r="E351" s="1"/>
      <c r="F351" s="169" t="s">
        <v>232</v>
      </c>
      <c r="G351" s="47" t="s">
        <v>2</v>
      </c>
      <c r="H351" s="184">
        <v>50</v>
      </c>
      <c r="I351" s="5" t="s">
        <v>11</v>
      </c>
      <c r="O351" s="209"/>
      <c r="P351" s="212"/>
      <c r="Q351" s="213"/>
    </row>
    <row r="352" spans="1:17" x14ac:dyDescent="0.2">
      <c r="A352" s="1"/>
      <c r="B352" s="5" t="s">
        <v>240</v>
      </c>
      <c r="C352" s="1"/>
      <c r="D352" s="1"/>
      <c r="E352" s="169" t="s">
        <v>265</v>
      </c>
      <c r="F352" s="47" t="s">
        <v>2</v>
      </c>
      <c r="G352" s="477">
        <f>H349+H326</f>
        <v>730</v>
      </c>
      <c r="H352" s="5" t="s">
        <v>11</v>
      </c>
      <c r="I352" s="171" t="str">
        <f>IF(G352-G353&gt;=MAX(H349,H350),"OK","No Cumple")</f>
        <v>OK</v>
      </c>
      <c r="O352" s="209"/>
      <c r="P352" s="212"/>
      <c r="Q352" s="213"/>
    </row>
    <row r="353" spans="1:23" x14ac:dyDescent="0.2">
      <c r="A353" s="1"/>
      <c r="B353" s="5" t="s">
        <v>236</v>
      </c>
      <c r="C353" s="1"/>
      <c r="D353" s="1"/>
      <c r="E353" s="169" t="s">
        <v>233</v>
      </c>
      <c r="F353" s="47" t="s">
        <v>2</v>
      </c>
      <c r="G353" s="184">
        <f>H326</f>
        <v>130</v>
      </c>
      <c r="H353" s="5" t="s">
        <v>11</v>
      </c>
      <c r="I353" s="171" t="str">
        <f>IF(G353&gt;=H351,"OK","No Cumple")</f>
        <v>OK</v>
      </c>
      <c r="O353" s="209"/>
      <c r="P353" s="212"/>
      <c r="Q353" s="213"/>
    </row>
    <row r="354" spans="1:23" x14ac:dyDescent="0.2">
      <c r="A354" s="75" t="s">
        <v>574</v>
      </c>
      <c r="B354" s="1"/>
      <c r="C354" s="1"/>
      <c r="D354" s="1"/>
      <c r="E354" s="1"/>
      <c r="F354" s="1"/>
      <c r="G354" s="1"/>
      <c r="H354" s="1"/>
      <c r="I354" s="1"/>
    </row>
    <row r="355" spans="1:23" x14ac:dyDescent="0.2">
      <c r="A355" s="68"/>
      <c r="B355" s="68"/>
      <c r="C355" s="68"/>
      <c r="D355" s="68"/>
      <c r="E355" s="235"/>
      <c r="F355" s="68"/>
      <c r="G355" s="68"/>
      <c r="H355" s="68"/>
      <c r="I355" s="68"/>
      <c r="P355" s="212"/>
    </row>
    <row r="356" spans="1:23" x14ac:dyDescent="0.2">
      <c r="A356" s="68"/>
      <c r="B356" s="76" t="s">
        <v>244</v>
      </c>
      <c r="C356" s="68"/>
      <c r="D356" s="68"/>
      <c r="E356" s="68"/>
      <c r="F356" s="236" t="s">
        <v>67</v>
      </c>
      <c r="G356" s="69" t="s">
        <v>2</v>
      </c>
      <c r="H356" s="237">
        <f>H326/10</f>
        <v>13</v>
      </c>
      <c r="I356" s="76" t="s">
        <v>63</v>
      </c>
      <c r="P356" s="212"/>
    </row>
    <row r="357" spans="1:23" x14ac:dyDescent="0.2">
      <c r="A357" s="68"/>
      <c r="B357" s="76" t="s">
        <v>245</v>
      </c>
      <c r="C357" s="68"/>
      <c r="D357" s="68"/>
      <c r="E357" s="68"/>
      <c r="F357" s="236" t="s">
        <v>247</v>
      </c>
      <c r="G357" s="69" t="s">
        <v>2</v>
      </c>
      <c r="H357" s="237">
        <f>MAX(25,8*LOOKUP(J300,K293:K299,L293:L299)*2.54)</f>
        <v>30.48</v>
      </c>
      <c r="I357" s="76" t="s">
        <v>63</v>
      </c>
      <c r="P357" s="212"/>
    </row>
    <row r="358" spans="1:23" ht="13.5" thickBot="1" x14ac:dyDescent="0.25">
      <c r="A358" s="68"/>
      <c r="B358" s="76" t="s">
        <v>639</v>
      </c>
      <c r="C358" s="68"/>
      <c r="D358" s="68"/>
      <c r="E358" s="68"/>
      <c r="F358" s="236" t="s">
        <v>640</v>
      </c>
      <c r="G358" s="69" t="s">
        <v>2</v>
      </c>
      <c r="H358" s="237">
        <f>(H328-H342-H333)/10</f>
        <v>26.7</v>
      </c>
      <c r="I358" s="76" t="s">
        <v>63</v>
      </c>
      <c r="P358" s="212"/>
    </row>
    <row r="359" spans="1:23" ht="13.5" thickBot="1" x14ac:dyDescent="0.25">
      <c r="A359" s="68"/>
      <c r="B359" s="76" t="s">
        <v>65</v>
      </c>
      <c r="C359" s="68"/>
      <c r="D359" s="68"/>
      <c r="E359" s="68"/>
      <c r="F359" s="236" t="str">
        <f>IF(T318&gt;=H297*100,"P","P/2")</f>
        <v>P/2</v>
      </c>
      <c r="G359" s="69" t="s">
        <v>2</v>
      </c>
      <c r="H359" s="238">
        <f>IF(T318&gt;=H297*100,H334,H334/2)</f>
        <v>9.2059170720000001</v>
      </c>
      <c r="I359" s="76" t="s">
        <v>50</v>
      </c>
      <c r="J359" s="110" t="s">
        <v>370</v>
      </c>
      <c r="K359" s="456" t="b">
        <v>1</v>
      </c>
      <c r="P359" s="212"/>
      <c r="U359" s="214"/>
      <c r="V359" s="214"/>
      <c r="W359" s="214"/>
    </row>
    <row r="360" spans="1:23" x14ac:dyDescent="0.2">
      <c r="A360" s="68"/>
      <c r="B360" s="5" t="s">
        <v>354</v>
      </c>
      <c r="C360" s="1"/>
      <c r="D360" s="1"/>
      <c r="E360" s="1"/>
      <c r="F360" s="236"/>
      <c r="G360" s="69"/>
      <c r="H360" s="238"/>
      <c r="I360" s="76"/>
      <c r="N360" s="215"/>
      <c r="O360" s="215"/>
    </row>
    <row r="361" spans="1:23" ht="13.5" thickBot="1" x14ac:dyDescent="0.25">
      <c r="A361" s="68"/>
      <c r="B361" s="5" t="s">
        <v>355</v>
      </c>
      <c r="C361" s="1"/>
      <c r="D361" s="1"/>
      <c r="E361" s="1"/>
      <c r="F361" s="236" t="s">
        <v>605</v>
      </c>
      <c r="G361" s="69" t="s">
        <v>2</v>
      </c>
      <c r="H361" s="69">
        <f>LOOKUP(K367,L157:L173,M157:M173)</f>
        <v>10</v>
      </c>
      <c r="I361" s="76" t="s">
        <v>11</v>
      </c>
      <c r="N361" s="66"/>
      <c r="O361" s="66"/>
    </row>
    <row r="362" spans="1:23" ht="12.75" customHeight="1" x14ac:dyDescent="0.2">
      <c r="A362" s="245"/>
      <c r="B362" s="76" t="s">
        <v>64</v>
      </c>
      <c r="C362" s="68"/>
      <c r="D362" s="68"/>
      <c r="E362" s="68"/>
      <c r="F362" s="241" t="s">
        <v>104</v>
      </c>
      <c r="G362" s="69" t="s">
        <v>2</v>
      </c>
      <c r="H362" s="242">
        <f>H359/H356/H361*10</f>
        <v>0.708147467076923</v>
      </c>
      <c r="I362" s="243" t="s">
        <v>102</v>
      </c>
      <c r="J362" s="216" t="s">
        <v>157</v>
      </c>
      <c r="K362" s="458">
        <v>6</v>
      </c>
      <c r="N362" s="66"/>
      <c r="O362" s="66"/>
    </row>
    <row r="363" spans="1:23" ht="13.5" thickBot="1" x14ac:dyDescent="0.25">
      <c r="A363" s="245"/>
      <c r="B363" s="68"/>
      <c r="C363" s="241" t="s">
        <v>267</v>
      </c>
      <c r="D363" s="246">
        <f>H361/SQRT(12)/10</f>
        <v>0.28867513459481292</v>
      </c>
      <c r="E363" s="247" t="s">
        <v>63</v>
      </c>
      <c r="F363" s="241" t="s">
        <v>358</v>
      </c>
      <c r="G363" s="69" t="s">
        <v>2</v>
      </c>
      <c r="H363" s="242">
        <f>MAX(0,1.33*LOOKUP(K366,K79:K92,L79:L92)*(1-0.5*(D364/K370)^2)/(5/3+3/8*D364/K370-1/8*(D364/K370)^3))</f>
        <v>1.5508180999155099</v>
      </c>
      <c r="I363" s="243" t="s">
        <v>102</v>
      </c>
      <c r="J363" s="59" t="s">
        <v>357</v>
      </c>
      <c r="K363" s="459">
        <v>4</v>
      </c>
    </row>
    <row r="364" spans="1:23" x14ac:dyDescent="0.2">
      <c r="A364" s="245"/>
      <c r="B364" s="68"/>
      <c r="C364" s="248" t="s">
        <v>268</v>
      </c>
      <c r="D364" s="249">
        <f>0.75*H358/D363</f>
        <v>69.36863484313352</v>
      </c>
      <c r="E364" s="247" t="str">
        <f>IF(D364&gt;K370,"Muy Esbelto","")</f>
        <v/>
      </c>
      <c r="F364" s="352" t="s">
        <v>495</v>
      </c>
      <c r="G364" s="389" t="s">
        <v>2</v>
      </c>
      <c r="H364" s="390">
        <f>IF(H363=0,"-",H362/H363)</f>
        <v>0.45662832224843364</v>
      </c>
      <c r="I364" s="171" t="str">
        <f>IF(H364="-","Subir Espesor",IF(ROUND(H364,2)&lt;=1,"OK","No Cumple"))</f>
        <v>OK</v>
      </c>
      <c r="Q364" s="221"/>
    </row>
    <row r="365" spans="1:23" ht="13.5" thickBot="1" x14ac:dyDescent="0.25">
      <c r="A365" s="245"/>
      <c r="B365" s="68"/>
      <c r="C365" s="68"/>
      <c r="D365" s="68"/>
      <c r="E365" s="245"/>
      <c r="F365" s="1"/>
      <c r="G365" s="1"/>
      <c r="H365" s="1"/>
      <c r="I365" s="1"/>
      <c r="Q365" s="221"/>
    </row>
    <row r="366" spans="1:23" x14ac:dyDescent="0.2">
      <c r="A366" s="128"/>
      <c r="B366" s="68"/>
      <c r="C366" s="68"/>
      <c r="D366" s="68"/>
      <c r="E366" s="245"/>
      <c r="F366" s="241"/>
      <c r="G366" s="69"/>
      <c r="H366" s="252"/>
      <c r="I366" s="253"/>
      <c r="J366" s="216" t="s">
        <v>157</v>
      </c>
      <c r="K366" s="458">
        <v>1</v>
      </c>
      <c r="L366" s="70"/>
    </row>
    <row r="367" spans="1:23" ht="13.5" thickBot="1" x14ac:dyDescent="0.25">
      <c r="A367" s="1"/>
      <c r="B367" s="162"/>
      <c r="C367" s="1"/>
      <c r="D367" s="1"/>
      <c r="E367" s="1"/>
      <c r="F367" s="1"/>
      <c r="G367" s="1"/>
      <c r="H367" s="1"/>
      <c r="I367" s="1"/>
      <c r="J367" s="59" t="s">
        <v>357</v>
      </c>
      <c r="K367" s="459">
        <v>5</v>
      </c>
      <c r="L367" s="70"/>
      <c r="M367" s="222"/>
    </row>
    <row r="368" spans="1:23" x14ac:dyDescent="0.2">
      <c r="B368" s="254"/>
      <c r="C368" s="260">
        <f>H326</f>
        <v>130</v>
      </c>
      <c r="D368" s="256">
        <f>+H181</f>
        <v>8</v>
      </c>
      <c r="E368" s="259">
        <f>H296</f>
        <v>36</v>
      </c>
      <c r="F368" s="255" t="s">
        <v>366</v>
      </c>
      <c r="G368" s="257" t="str">
        <f>LOOKUP(J300,K293:K299,J293:J299)</f>
        <v>1 1/2"</v>
      </c>
      <c r="H368" s="1"/>
      <c r="I368" s="1"/>
      <c r="J368" s="244"/>
      <c r="K368" s="70"/>
      <c r="L368" s="70"/>
    </row>
    <row r="369" spans="1:18" ht="13.5" thickBot="1" x14ac:dyDescent="0.25">
      <c r="A369" s="1"/>
      <c r="C369" s="254"/>
      <c r="D369" s="254"/>
      <c r="E369" s="254"/>
      <c r="F369" s="1"/>
      <c r="G369" s="1"/>
      <c r="H369" s="1"/>
      <c r="I369" s="1"/>
      <c r="J369" s="244"/>
      <c r="K369" s="70"/>
      <c r="L369" s="70"/>
      <c r="R369" s="223"/>
    </row>
    <row r="370" spans="1:18" ht="13.5" thickBot="1" x14ac:dyDescent="0.25">
      <c r="A370" s="1"/>
      <c r="B370" s="254"/>
      <c r="C370" s="254"/>
      <c r="D370" s="254"/>
      <c r="E370" s="254"/>
      <c r="F370" s="1"/>
      <c r="G370" s="1"/>
      <c r="H370" s="1"/>
      <c r="I370" s="1"/>
      <c r="J370" s="250" t="s">
        <v>316</v>
      </c>
      <c r="K370" s="251">
        <f>SQRT(2*PI()^2*2100/H93)</f>
        <v>128.05106096814617</v>
      </c>
      <c r="L370" s="70"/>
      <c r="R370" s="223"/>
    </row>
    <row r="371" spans="1:18" x14ac:dyDescent="0.2">
      <c r="A371" s="1"/>
      <c r="B371" s="254">
        <f>+H333</f>
        <v>35</v>
      </c>
      <c r="C371" s="254"/>
      <c r="D371" s="254"/>
      <c r="E371" s="258">
        <f>H361</f>
        <v>10</v>
      </c>
      <c r="F371" s="1"/>
      <c r="G371" s="1"/>
      <c r="H371" s="1"/>
      <c r="I371" s="1"/>
    </row>
    <row r="372" spans="1:18" x14ac:dyDescent="0.2">
      <c r="A372" s="1"/>
      <c r="B372" s="254"/>
      <c r="C372" s="254"/>
      <c r="D372" s="254"/>
      <c r="E372" s="254"/>
      <c r="F372" s="1"/>
      <c r="G372" s="1"/>
      <c r="H372" s="1"/>
      <c r="I372" s="1"/>
      <c r="R372" s="223"/>
    </row>
    <row r="373" spans="1:18" x14ac:dyDescent="0.2">
      <c r="A373" s="1"/>
      <c r="B373" s="259">
        <f>H328-B371-B375</f>
        <v>267</v>
      </c>
      <c r="C373" s="254"/>
      <c r="D373" s="254"/>
      <c r="E373" s="254"/>
      <c r="F373" s="1"/>
      <c r="G373" s="1"/>
      <c r="H373" s="1"/>
      <c r="I373" s="1"/>
      <c r="M373" s="225"/>
    </row>
    <row r="374" spans="1:18" x14ac:dyDescent="0.2">
      <c r="A374" s="1"/>
      <c r="B374" s="254"/>
      <c r="C374" s="254"/>
      <c r="D374" s="254"/>
      <c r="E374" s="254"/>
      <c r="F374" s="256">
        <f>H180</f>
        <v>8</v>
      </c>
      <c r="G374" s="1"/>
      <c r="H374" s="1"/>
      <c r="I374" s="1"/>
    </row>
    <row r="375" spans="1:18" x14ac:dyDescent="0.2">
      <c r="A375" s="1"/>
      <c r="B375" s="259">
        <f>H342</f>
        <v>8</v>
      </c>
      <c r="C375" s="254"/>
      <c r="D375" s="254"/>
      <c r="E375" s="254"/>
      <c r="F375" s="1"/>
      <c r="G375" s="1"/>
      <c r="H375" s="166"/>
      <c r="I375" s="1"/>
    </row>
    <row r="376" spans="1:18" x14ac:dyDescent="0.2">
      <c r="A376" s="1"/>
      <c r="B376" s="254"/>
      <c r="C376" s="254"/>
      <c r="D376" s="254"/>
      <c r="E376" s="254"/>
      <c r="F376" s="1"/>
      <c r="G376" s="1"/>
      <c r="H376" s="1"/>
      <c r="I376" s="1"/>
    </row>
    <row r="377" spans="1:18" x14ac:dyDescent="0.2">
      <c r="A377" s="1"/>
      <c r="B377" s="254"/>
      <c r="C377" s="254"/>
      <c r="D377" s="260">
        <f>G352-G353</f>
        <v>600</v>
      </c>
      <c r="E377" s="254"/>
      <c r="F377" s="1"/>
      <c r="G377" s="1"/>
      <c r="H377" s="1"/>
      <c r="I377" s="1"/>
    </row>
    <row r="378" spans="1:18" x14ac:dyDescent="0.2">
      <c r="A378" s="1"/>
      <c r="B378" s="254"/>
      <c r="C378" s="254"/>
      <c r="D378" s="254"/>
      <c r="E378" s="254"/>
      <c r="F378" s="1"/>
      <c r="G378" s="1"/>
      <c r="H378" s="1"/>
      <c r="I378" s="1"/>
      <c r="J378" s="350"/>
      <c r="K378" s="350"/>
    </row>
    <row r="379" spans="1:18" ht="39" customHeight="1" x14ac:dyDescent="0.2">
      <c r="A379" s="408" t="s">
        <v>534</v>
      </c>
      <c r="B379" s="254"/>
      <c r="C379" s="254"/>
      <c r="D379" s="254"/>
      <c r="E379" s="254"/>
      <c r="F379" s="1"/>
      <c r="G379" s="1"/>
      <c r="H379" s="1"/>
      <c r="I379" s="1"/>
      <c r="J379" s="349"/>
      <c r="K379" s="349"/>
    </row>
    <row r="380" spans="1:18" x14ac:dyDescent="0.2">
      <c r="A380" s="75" t="s">
        <v>664</v>
      </c>
      <c r="B380" s="254"/>
      <c r="C380" s="254"/>
      <c r="D380" s="254"/>
      <c r="E380" s="254"/>
      <c r="F380" s="1"/>
      <c r="G380" s="1"/>
      <c r="H380" s="1"/>
      <c r="I380" s="1"/>
      <c r="J380" s="349"/>
      <c r="K380" s="349"/>
    </row>
    <row r="381" spans="1:18" x14ac:dyDescent="0.2">
      <c r="A381" s="1"/>
      <c r="B381" s="5"/>
      <c r="C381" s="5"/>
      <c r="D381" s="5"/>
      <c r="E381" s="5"/>
      <c r="F381" s="1"/>
      <c r="G381" s="1"/>
      <c r="H381" s="1"/>
      <c r="I381" s="1"/>
    </row>
    <row r="382" spans="1:18" x14ac:dyDescent="0.2">
      <c r="A382" s="1"/>
      <c r="B382" s="5" t="s">
        <v>595</v>
      </c>
      <c r="C382" s="5"/>
      <c r="D382" s="5"/>
      <c r="E382" s="5"/>
      <c r="F382" s="102" t="s">
        <v>402</v>
      </c>
      <c r="G382" s="47" t="s">
        <v>2</v>
      </c>
      <c r="H382" s="51">
        <f>H86*(H87-0.3)*H91/(20*(H181-H99))</f>
        <v>1.0699999999999998</v>
      </c>
      <c r="I382" s="243" t="s">
        <v>102</v>
      </c>
    </row>
    <row r="383" spans="1:18" x14ac:dyDescent="0.2">
      <c r="A383" s="1"/>
      <c r="B383" s="5" t="s">
        <v>384</v>
      </c>
      <c r="C383" s="5"/>
      <c r="D383" s="5"/>
      <c r="E383" s="5"/>
      <c r="F383" s="102" t="s">
        <v>592</v>
      </c>
      <c r="G383" s="47" t="s">
        <v>2</v>
      </c>
      <c r="H383" s="63">
        <f>180/H296</f>
        <v>5</v>
      </c>
      <c r="I383" s="424" t="s">
        <v>386</v>
      </c>
    </row>
    <row r="384" spans="1:18" x14ac:dyDescent="0.2">
      <c r="A384" s="1"/>
      <c r="B384" s="5" t="s">
        <v>591</v>
      </c>
      <c r="C384" s="5"/>
      <c r="D384" s="5"/>
      <c r="E384" s="5"/>
      <c r="F384" s="102" t="s">
        <v>140</v>
      </c>
      <c r="G384" s="47" t="s">
        <v>2</v>
      </c>
      <c r="H384" s="51">
        <f>MIN(2.2,MAX(1,0.3*(H383+1)*(H87/H86)^(1/3)))</f>
        <v>1.7485430049754367</v>
      </c>
      <c r="I384" s="243"/>
    </row>
    <row r="385" spans="1:11" x14ac:dyDescent="0.2">
      <c r="A385" s="1"/>
      <c r="B385" s="5" t="s">
        <v>593</v>
      </c>
      <c r="C385" s="5"/>
      <c r="D385" s="5"/>
      <c r="E385" s="5"/>
      <c r="F385" s="102" t="s">
        <v>594</v>
      </c>
      <c r="G385" s="47" t="s">
        <v>2</v>
      </c>
      <c r="H385" s="51">
        <f>MAX((H391/(2*SIN(RADIANS(H383))*(H181-H99)*SQRT(H86*1000*(H181-H99))/100))*H384*0.79+0.29,H382)</f>
        <v>2.1649278449673539</v>
      </c>
      <c r="I385" s="243" t="s">
        <v>102</v>
      </c>
    </row>
    <row r="386" spans="1:11" x14ac:dyDescent="0.2">
      <c r="A386" s="1"/>
      <c r="B386" s="5" t="s">
        <v>623</v>
      </c>
      <c r="C386" s="5"/>
      <c r="D386" s="5"/>
      <c r="E386" s="5"/>
      <c r="F386" s="46" t="s">
        <v>606</v>
      </c>
      <c r="G386" s="47" t="s">
        <v>2</v>
      </c>
      <c r="H386" s="51">
        <f>1.5*E150</f>
        <v>2.3591087811271301</v>
      </c>
      <c r="I386" s="243" t="s">
        <v>102</v>
      </c>
    </row>
    <row r="387" spans="1:11" x14ac:dyDescent="0.2">
      <c r="A387" s="1"/>
      <c r="B387" s="5"/>
      <c r="C387" s="5"/>
      <c r="D387" s="5"/>
      <c r="E387" s="5"/>
      <c r="F387" s="352" t="s">
        <v>404</v>
      </c>
      <c r="G387" s="365" t="s">
        <v>2</v>
      </c>
      <c r="H387" s="390">
        <f>H385/H386</f>
        <v>0.91768885872782824</v>
      </c>
      <c r="I387" s="253" t="str">
        <f>IF(ROUND(H387,2)&lt;=1,"OK","No Cumple")</f>
        <v>OK</v>
      </c>
    </row>
    <row r="388" spans="1:11" x14ac:dyDescent="0.2">
      <c r="A388" s="1"/>
      <c r="B388" s="5"/>
      <c r="C388" s="5"/>
      <c r="D388" s="5"/>
      <c r="E388" s="5"/>
      <c r="F388" s="102"/>
      <c r="G388" s="47"/>
      <c r="H388" s="51"/>
      <c r="I388" s="243"/>
    </row>
    <row r="389" spans="1:11" x14ac:dyDescent="0.2">
      <c r="A389" s="1"/>
      <c r="B389" s="5" t="s">
        <v>583</v>
      </c>
      <c r="C389" s="5"/>
      <c r="D389" s="5"/>
      <c r="E389" s="5"/>
      <c r="F389" s="102" t="s">
        <v>409</v>
      </c>
      <c r="G389" s="47" t="s">
        <v>2</v>
      </c>
      <c r="H389" s="51">
        <f>H293/(10*(H181-H99))</f>
        <v>0.2126171244283068</v>
      </c>
      <c r="I389" s="243" t="s">
        <v>102</v>
      </c>
    </row>
    <row r="390" spans="1:11" x14ac:dyDescent="0.2">
      <c r="A390" s="1"/>
      <c r="B390" s="5" t="s">
        <v>584</v>
      </c>
      <c r="C390" s="5"/>
      <c r="D390" s="5"/>
      <c r="E390" s="5"/>
      <c r="F390" s="102" t="s">
        <v>585</v>
      </c>
      <c r="G390" s="47" t="s">
        <v>2</v>
      </c>
      <c r="H390" s="51">
        <f>MAX(H298/( (H327+H361+7*(H181-H99))*(H181-H99)/100)*0.715-0.165,H389)</f>
        <v>1.0410323819038365</v>
      </c>
      <c r="I390" s="243" t="s">
        <v>102</v>
      </c>
      <c r="J390" s="153"/>
      <c r="K390" s="65"/>
    </row>
    <row r="391" spans="1:11" x14ac:dyDescent="0.2">
      <c r="A391" s="1"/>
      <c r="B391" s="5" t="s">
        <v>586</v>
      </c>
      <c r="C391" s="5"/>
      <c r="D391" s="5"/>
      <c r="E391" s="5"/>
      <c r="F391" s="46" t="s">
        <v>587</v>
      </c>
      <c r="G391" s="47" t="s">
        <v>2</v>
      </c>
      <c r="H391" s="51">
        <f>H298*H325/(H358*10-H342/2-H333/2)</f>
        <v>3.8091199779384843</v>
      </c>
      <c r="I391" s="243" t="s">
        <v>50</v>
      </c>
      <c r="J391" s="153"/>
      <c r="K391" s="65"/>
    </row>
    <row r="392" spans="1:11" x14ac:dyDescent="0.2">
      <c r="A392" s="1"/>
      <c r="B392" s="5" t="s">
        <v>588</v>
      </c>
      <c r="C392" s="5"/>
      <c r="D392" s="5"/>
      <c r="E392" s="5"/>
      <c r="F392" s="102" t="s">
        <v>589</v>
      </c>
      <c r="G392" s="47" t="s">
        <v>2</v>
      </c>
      <c r="H392" s="51">
        <f>(H391/((H327+H361)*(H181-H99)/100))*4.16+1.43</f>
        <v>4.3644331681896471</v>
      </c>
      <c r="I392" s="243" t="s">
        <v>102</v>
      </c>
    </row>
    <row r="393" spans="1:11" x14ac:dyDescent="0.2">
      <c r="A393" s="1"/>
      <c r="B393" s="5"/>
      <c r="C393" s="5"/>
      <c r="D393" s="5"/>
      <c r="E393" s="5"/>
      <c r="F393" s="5"/>
      <c r="G393" s="5"/>
      <c r="H393" s="5"/>
      <c r="I393" s="5"/>
    </row>
    <row r="394" spans="1:11" x14ac:dyDescent="0.2">
      <c r="A394" s="1"/>
      <c r="B394" s="5" t="s">
        <v>417</v>
      </c>
      <c r="C394" s="5"/>
      <c r="D394" s="5"/>
      <c r="E394" s="5"/>
      <c r="F394" s="102" t="s">
        <v>590</v>
      </c>
      <c r="G394" s="47" t="s">
        <v>2</v>
      </c>
      <c r="H394" s="51">
        <f>H390+H392</f>
        <v>5.4054655500934832</v>
      </c>
      <c r="I394" s="243" t="s">
        <v>102</v>
      </c>
    </row>
    <row r="395" spans="1:11" x14ac:dyDescent="0.2">
      <c r="A395" s="1"/>
      <c r="B395" s="5" t="s">
        <v>418</v>
      </c>
      <c r="C395" s="5"/>
      <c r="D395" s="5"/>
      <c r="E395" s="5"/>
      <c r="F395" s="46" t="s">
        <v>419</v>
      </c>
      <c r="G395" s="47" t="s">
        <v>2</v>
      </c>
      <c r="H395" s="178">
        <f>2.5*E149</f>
        <v>3.6697247706422025</v>
      </c>
      <c r="I395" s="1"/>
    </row>
    <row r="396" spans="1:11" x14ac:dyDescent="0.2">
      <c r="A396" s="1"/>
      <c r="B396" s="5"/>
      <c r="C396" s="5"/>
      <c r="D396" s="5"/>
      <c r="E396" s="5"/>
      <c r="F396" s="352" t="s">
        <v>406</v>
      </c>
      <c r="G396" s="365" t="s">
        <v>2</v>
      </c>
      <c r="H396" s="390">
        <f>H394/H395</f>
        <v>1.472989362400474</v>
      </c>
      <c r="I396" s="253" t="str">
        <f>IF(ROUND(H396,2)&lt;=1,"OK","No Cumple")</f>
        <v>No Cumple</v>
      </c>
    </row>
    <row r="397" spans="1:11" x14ac:dyDescent="0.2">
      <c r="A397" s="1"/>
      <c r="B397" s="5"/>
      <c r="C397" s="5"/>
      <c r="D397" s="5"/>
      <c r="E397" s="5"/>
      <c r="F397" s="5"/>
      <c r="G397" s="5"/>
      <c r="H397" s="5"/>
      <c r="I397" s="5"/>
    </row>
    <row r="398" spans="1:11" x14ac:dyDescent="0.2">
      <c r="A398" s="1"/>
      <c r="B398" s="5" t="s">
        <v>596</v>
      </c>
      <c r="C398" s="254"/>
      <c r="D398" s="254"/>
      <c r="E398" s="254"/>
      <c r="F398" s="46" t="s">
        <v>597</v>
      </c>
      <c r="G398" s="47" t="s">
        <v>2</v>
      </c>
      <c r="H398" s="425">
        <f>H326*H361/100</f>
        <v>13</v>
      </c>
      <c r="I398" s="243" t="s">
        <v>600</v>
      </c>
    </row>
    <row r="399" spans="1:11" x14ac:dyDescent="0.2">
      <c r="A399" s="1"/>
      <c r="B399" s="5" t="s">
        <v>598</v>
      </c>
      <c r="C399" s="254"/>
      <c r="D399" s="254"/>
      <c r="E399" s="254"/>
      <c r="F399" s="46" t="s">
        <v>599</v>
      </c>
      <c r="G399" s="47" t="s">
        <v>2</v>
      </c>
      <c r="H399" s="425">
        <f>PI()*100*H86/H296*(H181-H99)/10</f>
        <v>62.831853071795855</v>
      </c>
      <c r="I399" s="243" t="s">
        <v>600</v>
      </c>
    </row>
    <row r="400" spans="1:11" x14ac:dyDescent="0.2">
      <c r="A400" s="1"/>
      <c r="B400" s="5" t="s">
        <v>601</v>
      </c>
      <c r="C400" s="254"/>
      <c r="D400" s="254"/>
      <c r="E400" s="254"/>
      <c r="F400" s="46" t="s">
        <v>602</v>
      </c>
      <c r="G400" s="47" t="s">
        <v>2</v>
      </c>
      <c r="H400" s="51">
        <f>H271*(2*H398*H399)/(2*H398+H399)</f>
        <v>4.3966603714611203</v>
      </c>
      <c r="I400" s="243" t="s">
        <v>50</v>
      </c>
    </row>
    <row r="401" spans="1:19" x14ac:dyDescent="0.2">
      <c r="A401" s="1"/>
      <c r="B401" s="5" t="s">
        <v>603</v>
      </c>
      <c r="C401" s="254"/>
      <c r="D401" s="254"/>
      <c r="E401" s="254"/>
      <c r="F401" s="46" t="s">
        <v>604</v>
      </c>
      <c r="G401" s="47" t="s">
        <v>2</v>
      </c>
      <c r="H401" s="51">
        <f>110*H400/((H327+H361-5*(H181-H99))*(H181-H99))+2.97*H382</f>
        <v>4.521324002390898</v>
      </c>
      <c r="I401" s="243" t="s">
        <v>102</v>
      </c>
      <c r="L401" s="153"/>
    </row>
    <row r="402" spans="1:19" x14ac:dyDescent="0.2">
      <c r="A402" s="1"/>
      <c r="B402" s="5" t="s">
        <v>418</v>
      </c>
      <c r="C402" s="254"/>
      <c r="D402" s="254"/>
      <c r="E402" s="254"/>
      <c r="F402" s="46" t="s">
        <v>419</v>
      </c>
      <c r="G402" s="47" t="s">
        <v>2</v>
      </c>
      <c r="H402" s="178">
        <f>2.5*E149</f>
        <v>3.6697247706422025</v>
      </c>
      <c r="I402" s="243" t="s">
        <v>102</v>
      </c>
      <c r="L402" s="153"/>
    </row>
    <row r="403" spans="1:19" x14ac:dyDescent="0.2">
      <c r="A403" s="1"/>
      <c r="B403" s="254"/>
      <c r="C403" s="254"/>
      <c r="D403" s="254"/>
      <c r="E403" s="254"/>
      <c r="F403" s="352" t="s">
        <v>413</v>
      </c>
      <c r="G403" s="365" t="s">
        <v>2</v>
      </c>
      <c r="H403" s="390">
        <f>H401/H402</f>
        <v>1.2320607906515195</v>
      </c>
      <c r="I403" s="253" t="str">
        <f>IF(ROUND(H403,2)&lt;=1,"OK","No Cumple")</f>
        <v>No Cumple</v>
      </c>
      <c r="L403" s="153"/>
    </row>
    <row r="404" spans="1:19" x14ac:dyDescent="0.2">
      <c r="A404" s="1"/>
      <c r="B404" s="254"/>
      <c r="C404" s="254"/>
      <c r="D404" s="254"/>
      <c r="E404" s="254"/>
      <c r="F404" s="1"/>
      <c r="G404" s="1"/>
      <c r="H404" s="1"/>
      <c r="I404" s="1"/>
      <c r="L404" s="153"/>
    </row>
    <row r="405" spans="1:19" x14ac:dyDescent="0.2">
      <c r="A405" s="1"/>
      <c r="B405" s="5" t="s">
        <v>393</v>
      </c>
      <c r="C405" s="5"/>
      <c r="D405" s="5"/>
      <c r="E405" s="5"/>
      <c r="F405" s="46" t="s">
        <v>612</v>
      </c>
      <c r="G405" s="47" t="s">
        <v>2</v>
      </c>
      <c r="H405" s="51">
        <f>1.2*H271</f>
        <v>0.28689281412084289</v>
      </c>
      <c r="I405" s="1"/>
      <c r="L405" s="153"/>
    </row>
    <row r="406" spans="1:19" x14ac:dyDescent="0.2">
      <c r="A406" s="1"/>
      <c r="B406" s="5"/>
      <c r="C406" s="5"/>
      <c r="D406" s="5"/>
      <c r="E406" s="5"/>
      <c r="F406" s="46" t="s">
        <v>98</v>
      </c>
      <c r="G406" s="47" t="s">
        <v>2</v>
      </c>
      <c r="H406" s="178">
        <f>H273</f>
        <v>0.41499999999999998</v>
      </c>
      <c r="I406" s="1"/>
      <c r="L406" s="153"/>
    </row>
    <row r="407" spans="1:19" x14ac:dyDescent="0.2">
      <c r="A407" s="1"/>
      <c r="B407" s="5"/>
      <c r="C407" s="5"/>
      <c r="D407" s="5"/>
      <c r="E407" s="5"/>
      <c r="F407" s="352" t="s">
        <v>607</v>
      </c>
      <c r="G407" s="365" t="s">
        <v>2</v>
      </c>
      <c r="H407" s="390">
        <f>H405/H406</f>
        <v>0.6913079858333564</v>
      </c>
      <c r="I407" s="171" t="str">
        <f>IF(ROUND(H407,2)&lt;=1,"OK","No Cumple")</f>
        <v>OK</v>
      </c>
      <c r="L407" s="153"/>
    </row>
    <row r="408" spans="1:19" x14ac:dyDescent="0.2">
      <c r="A408" s="1"/>
      <c r="B408" s="254"/>
      <c r="C408" s="254"/>
      <c r="D408" s="254"/>
      <c r="E408" s="254"/>
      <c r="F408" s="1"/>
      <c r="G408" s="1"/>
      <c r="H408" s="1"/>
      <c r="I408" s="1"/>
      <c r="L408" s="153"/>
    </row>
    <row r="409" spans="1:19" x14ac:dyDescent="0.2">
      <c r="A409" s="3"/>
      <c r="B409" s="4"/>
      <c r="C409" s="4"/>
      <c r="D409" s="4"/>
      <c r="E409" s="3"/>
      <c r="F409" s="1"/>
      <c r="G409" s="1"/>
      <c r="H409" s="1"/>
      <c r="I409" s="1"/>
      <c r="L409" s="153"/>
    </row>
    <row r="410" spans="1:19" x14ac:dyDescent="0.2">
      <c r="A410" s="1"/>
      <c r="B410" s="3"/>
      <c r="C410" s="4"/>
      <c r="D410" s="4"/>
      <c r="E410" s="1"/>
      <c r="F410" s="1"/>
      <c r="G410" s="1"/>
      <c r="H410" s="1"/>
      <c r="I410" s="1"/>
      <c r="J410" s="153"/>
      <c r="K410" s="153"/>
      <c r="L410" s="153"/>
    </row>
    <row r="411" spans="1:19" s="74" customFormat="1" x14ac:dyDescent="0.2">
      <c r="A411" s="1"/>
      <c r="B411" s="3"/>
      <c r="C411" s="4"/>
      <c r="D411" s="4"/>
      <c r="E411" s="1"/>
      <c r="F411" s="4"/>
      <c r="G411" s="3"/>
      <c r="H411" s="1"/>
      <c r="I411" s="1"/>
      <c r="J411" s="70"/>
      <c r="K411" s="70"/>
      <c r="L411" s="70"/>
      <c r="M411" s="70"/>
      <c r="N411" s="72"/>
      <c r="O411" s="72"/>
      <c r="P411" s="72"/>
      <c r="Q411" s="72"/>
      <c r="R411" s="72"/>
      <c r="S411" s="227"/>
    </row>
    <row r="412" spans="1:19" x14ac:dyDescent="0.2">
      <c r="A412" s="1"/>
      <c r="B412" s="3"/>
      <c r="C412" s="4"/>
      <c r="D412" s="4"/>
      <c r="E412" s="1"/>
      <c r="F412" s="4"/>
      <c r="G412" s="4"/>
      <c r="H412" s="1"/>
      <c r="I412" s="1"/>
    </row>
    <row r="413" spans="1:19" x14ac:dyDescent="0.2">
      <c r="A413" s="1"/>
      <c r="B413" s="3"/>
      <c r="C413" s="4"/>
      <c r="D413" s="4"/>
      <c r="E413" s="1"/>
      <c r="F413" s="4"/>
      <c r="G413" s="4"/>
      <c r="H413" s="1"/>
      <c r="I413" s="1"/>
    </row>
    <row r="414" spans="1:19" x14ac:dyDescent="0.2">
      <c r="A414" s="1"/>
      <c r="B414" s="3"/>
      <c r="C414" s="3"/>
      <c r="D414" s="3"/>
      <c r="E414" s="1"/>
      <c r="F414" s="1"/>
      <c r="G414" s="4"/>
      <c r="H414" s="4"/>
      <c r="I414" s="262">
        <f>H432*1000</f>
        <v>200</v>
      </c>
      <c r="J414" s="65"/>
      <c r="K414" s="65"/>
      <c r="L414" s="65"/>
    </row>
    <row r="415" spans="1:19" x14ac:dyDescent="0.2">
      <c r="A415" s="1"/>
      <c r="B415" s="3"/>
      <c r="C415" s="3"/>
      <c r="D415" s="3"/>
      <c r="E415" s="1"/>
      <c r="F415" s="1"/>
      <c r="G415" s="1"/>
      <c r="H415" s="1"/>
      <c r="J415" s="228"/>
      <c r="K415" s="225"/>
      <c r="L415" s="228"/>
    </row>
    <row r="416" spans="1:19" x14ac:dyDescent="0.2">
      <c r="A416" s="1"/>
      <c r="B416" s="3"/>
      <c r="C416" s="263">
        <f>+H438*2*1000</f>
        <v>9676</v>
      </c>
      <c r="D416" s="3"/>
      <c r="E416" s="1"/>
      <c r="F416" s="1"/>
      <c r="G416" s="1"/>
      <c r="H416" s="1"/>
      <c r="I416" s="262">
        <f>(H431-H434)*1000</f>
        <v>900</v>
      </c>
      <c r="J416" s="228"/>
      <c r="K416" s="228"/>
      <c r="L416" s="228"/>
    </row>
    <row r="417" spans="1:21" x14ac:dyDescent="0.2">
      <c r="A417" s="1"/>
      <c r="B417" s="3"/>
      <c r="C417" s="3"/>
      <c r="D417" s="3"/>
      <c r="E417" s="1"/>
      <c r="F417" s="1"/>
      <c r="G417" s="1"/>
      <c r="H417" s="1"/>
      <c r="I417" s="1"/>
      <c r="J417" s="228"/>
      <c r="K417" s="228"/>
      <c r="L417" s="228"/>
    </row>
    <row r="418" spans="1:21" x14ac:dyDescent="0.2">
      <c r="A418" s="1"/>
      <c r="B418" s="3"/>
      <c r="C418" s="263">
        <f>H86/2*1000+H181+G353</f>
        <v>6138</v>
      </c>
      <c r="D418" s="3"/>
      <c r="E418" s="1"/>
      <c r="F418" s="1"/>
      <c r="G418" s="1"/>
      <c r="H418" s="1"/>
      <c r="J418" s="228"/>
      <c r="K418" s="228"/>
      <c r="L418" s="228"/>
    </row>
    <row r="419" spans="1:21" x14ac:dyDescent="0.2">
      <c r="A419" s="1"/>
      <c r="B419" s="3"/>
      <c r="C419" s="3"/>
      <c r="D419" s="3"/>
      <c r="E419" s="1"/>
      <c r="F419" s="1"/>
      <c r="G419" s="1"/>
      <c r="H419" s="1"/>
      <c r="I419" s="1"/>
      <c r="J419" s="228"/>
      <c r="K419" s="228"/>
      <c r="L419" s="228"/>
    </row>
    <row r="420" spans="1:21" x14ac:dyDescent="0.2">
      <c r="A420" s="1"/>
      <c r="B420" s="3"/>
      <c r="C420" s="3"/>
      <c r="D420" s="3"/>
      <c r="E420" s="1"/>
      <c r="F420" s="1"/>
      <c r="G420" s="1"/>
      <c r="H420" s="3"/>
      <c r="I420" s="262">
        <f>+H434*1000</f>
        <v>600</v>
      </c>
      <c r="J420" s="228"/>
      <c r="K420" s="228"/>
      <c r="L420" s="228"/>
    </row>
    <row r="421" spans="1:21" x14ac:dyDescent="0.2">
      <c r="A421" s="1"/>
      <c r="B421" s="3"/>
      <c r="C421" s="3"/>
      <c r="D421" s="3"/>
      <c r="E421" s="1"/>
      <c r="F421" s="1"/>
      <c r="G421" s="1"/>
      <c r="H421" s="3"/>
      <c r="J421" s="228"/>
      <c r="K421" s="228"/>
      <c r="L421" s="228"/>
    </row>
    <row r="422" spans="1:21" x14ac:dyDescent="0.2">
      <c r="A422" s="1"/>
      <c r="B422" s="3"/>
      <c r="C422" s="3"/>
      <c r="D422" s="3"/>
      <c r="E422" s="1"/>
      <c r="F422" s="1"/>
      <c r="G422" s="1"/>
      <c r="H422" s="3"/>
      <c r="I422" s="3"/>
      <c r="J422" s="228"/>
      <c r="K422" s="228"/>
      <c r="L422" s="228"/>
    </row>
    <row r="423" spans="1:21" x14ac:dyDescent="0.2">
      <c r="A423" s="1"/>
      <c r="B423" s="3"/>
      <c r="C423" s="3"/>
      <c r="D423" s="3"/>
      <c r="E423" s="1"/>
      <c r="F423" s="1"/>
      <c r="G423" s="263">
        <f>+H433*1000</f>
        <v>600</v>
      </c>
      <c r="H423" s="262">
        <f>+H436*1000</f>
        <v>700</v>
      </c>
      <c r="I423" s="1"/>
      <c r="J423" s="228"/>
      <c r="K423" s="228"/>
      <c r="L423" s="228"/>
    </row>
    <row r="424" spans="1:21" x14ac:dyDescent="0.2">
      <c r="A424" s="1"/>
      <c r="B424" s="3"/>
      <c r="C424" s="263">
        <f>+H437*2*1000</f>
        <v>13676</v>
      </c>
      <c r="D424" s="3"/>
      <c r="E424" s="1"/>
      <c r="F424" s="3"/>
      <c r="G424" s="263">
        <f>+H435*1000</f>
        <v>2000</v>
      </c>
      <c r="H424" s="3"/>
      <c r="I424" s="265"/>
      <c r="Q424" s="229"/>
      <c r="R424" s="229"/>
      <c r="S424" s="230"/>
    </row>
    <row r="425" spans="1:21" x14ac:dyDescent="0.2">
      <c r="A425" s="1"/>
      <c r="B425" s="1"/>
      <c r="C425" s="1"/>
      <c r="D425" s="1"/>
      <c r="E425" s="1"/>
      <c r="F425" s="3"/>
      <c r="G425" s="3"/>
      <c r="H425" s="1"/>
      <c r="I425" s="1"/>
      <c r="Q425" s="229"/>
      <c r="R425" s="229"/>
      <c r="S425" s="230"/>
    </row>
    <row r="426" spans="1:21" x14ac:dyDescent="0.2">
      <c r="A426" s="1"/>
      <c r="B426" s="1"/>
      <c r="C426" s="1"/>
      <c r="D426" s="1"/>
      <c r="E426" s="1"/>
      <c r="F426" s="3"/>
      <c r="G426" s="3"/>
      <c r="H426" s="1"/>
      <c r="I426" s="1"/>
      <c r="Q426" s="229"/>
      <c r="R426" s="229"/>
      <c r="S426" s="230"/>
    </row>
    <row r="427" spans="1:21" x14ac:dyDescent="0.2">
      <c r="A427" s="1"/>
      <c r="B427" s="1"/>
      <c r="C427" s="3"/>
      <c r="E427" s="1"/>
      <c r="F427" s="3"/>
      <c r="G427" s="3"/>
      <c r="H427" s="1"/>
      <c r="I427" s="1"/>
      <c r="Q427" s="229"/>
      <c r="R427" s="229"/>
      <c r="S427" s="230"/>
    </row>
    <row r="428" spans="1:21" ht="15.75" x14ac:dyDescent="0.25">
      <c r="A428" s="2" t="s">
        <v>551</v>
      </c>
      <c r="B428" s="3"/>
      <c r="C428" s="3"/>
      <c r="D428" s="3"/>
      <c r="E428" s="3"/>
      <c r="F428" s="4"/>
      <c r="G428" s="3"/>
      <c r="H428" s="3"/>
      <c r="I428" s="1"/>
      <c r="R428" s="229"/>
      <c r="S428" s="231"/>
      <c r="T428" s="232"/>
      <c r="U428" s="232"/>
    </row>
    <row r="429" spans="1:21" x14ac:dyDescent="0.2">
      <c r="A429" s="3"/>
      <c r="B429" s="3"/>
      <c r="C429" s="3"/>
      <c r="D429" s="3"/>
      <c r="E429" s="3"/>
      <c r="F429" s="4"/>
      <c r="G429" s="3"/>
      <c r="H429" s="3"/>
      <c r="I429" s="3"/>
      <c r="Q429" s="229"/>
      <c r="R429" s="229"/>
      <c r="S429" s="231"/>
      <c r="T429" s="232"/>
      <c r="U429" s="232"/>
    </row>
    <row r="430" spans="1:21" s="74" customFormat="1" ht="28.5" customHeight="1" x14ac:dyDescent="0.2">
      <c r="A430" s="306" t="s">
        <v>552</v>
      </c>
      <c r="B430" s="295"/>
      <c r="C430" s="295"/>
      <c r="D430" s="295"/>
      <c r="E430" s="295"/>
      <c r="F430" s="288"/>
      <c r="G430" s="295"/>
      <c r="H430" s="295"/>
      <c r="I430" s="295"/>
      <c r="J430" s="70"/>
      <c r="K430" s="70"/>
      <c r="L430" s="70"/>
      <c r="M430" s="70"/>
      <c r="N430" s="72"/>
      <c r="O430" s="72"/>
      <c r="P430" s="72"/>
      <c r="Q430" s="409"/>
      <c r="R430" s="409"/>
      <c r="S430" s="410"/>
      <c r="T430" s="411"/>
      <c r="U430" s="411"/>
    </row>
    <row r="431" spans="1:21" x14ac:dyDescent="0.2">
      <c r="A431" s="3"/>
      <c r="B431" s="4" t="s">
        <v>298</v>
      </c>
      <c r="C431" s="4"/>
      <c r="D431" s="4"/>
      <c r="E431" s="4"/>
      <c r="F431" s="271" t="s">
        <v>299</v>
      </c>
      <c r="G431" s="272" t="s">
        <v>2</v>
      </c>
      <c r="H431" s="342">
        <v>1.5</v>
      </c>
      <c r="I431" s="3"/>
      <c r="J431" s="271"/>
      <c r="K431" s="272"/>
      <c r="L431" s="509"/>
      <c r="M431" s="3"/>
      <c r="Q431" s="229"/>
      <c r="R431" s="229"/>
      <c r="S431" s="231"/>
      <c r="T431" s="232"/>
      <c r="U431" s="232"/>
    </row>
    <row r="432" spans="1:21" x14ac:dyDescent="0.2">
      <c r="A432" s="3"/>
      <c r="B432" s="4" t="s">
        <v>269</v>
      </c>
      <c r="C432" s="4"/>
      <c r="D432" s="4"/>
      <c r="E432" s="4"/>
      <c r="F432" s="271" t="s">
        <v>283</v>
      </c>
      <c r="G432" s="272" t="s">
        <v>2</v>
      </c>
      <c r="H432" s="342">
        <v>0.2</v>
      </c>
      <c r="I432" s="4" t="s">
        <v>3</v>
      </c>
      <c r="J432" s="271"/>
      <c r="K432" s="272"/>
      <c r="L432" s="508"/>
      <c r="M432" s="4" t="s">
        <v>3</v>
      </c>
      <c r="Q432" s="229"/>
      <c r="R432" s="229"/>
      <c r="S432" s="231"/>
      <c r="T432" s="232"/>
      <c r="U432" s="232"/>
    </row>
    <row r="433" spans="1:27" x14ac:dyDescent="0.2">
      <c r="A433" s="3"/>
      <c r="B433" s="4" t="s">
        <v>270</v>
      </c>
      <c r="C433" s="4"/>
      <c r="D433" s="4"/>
      <c r="E433" s="4"/>
      <c r="F433" s="271" t="s">
        <v>284</v>
      </c>
      <c r="G433" s="272" t="s">
        <v>2</v>
      </c>
      <c r="H433" s="342">
        <v>0.6</v>
      </c>
      <c r="I433" s="4" t="s">
        <v>3</v>
      </c>
      <c r="J433" s="271"/>
      <c r="K433" s="272"/>
      <c r="L433" s="273"/>
      <c r="M433" s="4" t="s">
        <v>3</v>
      </c>
      <c r="Q433" s="229"/>
      <c r="R433" s="229"/>
      <c r="S433" s="231"/>
      <c r="T433" s="232"/>
      <c r="U433" s="232"/>
      <c r="V433" s="232"/>
      <c r="W433" s="234"/>
      <c r="X433" s="234"/>
      <c r="Y433" s="234"/>
      <c r="Z433" s="234"/>
      <c r="AA433" s="234"/>
    </row>
    <row r="434" spans="1:27" x14ac:dyDescent="0.2">
      <c r="A434" s="3"/>
      <c r="B434" s="4" t="s">
        <v>271</v>
      </c>
      <c r="C434" s="4"/>
      <c r="D434" s="4"/>
      <c r="E434" s="4"/>
      <c r="F434" s="271" t="s">
        <v>285</v>
      </c>
      <c r="G434" s="272" t="s">
        <v>2</v>
      </c>
      <c r="H434" s="342">
        <v>0.6</v>
      </c>
      <c r="I434" s="4" t="s">
        <v>3</v>
      </c>
      <c r="J434" s="271"/>
      <c r="K434" s="272"/>
      <c r="L434" s="508"/>
      <c r="M434" s="4" t="s">
        <v>3</v>
      </c>
      <c r="Q434" s="229"/>
      <c r="R434" s="229"/>
      <c r="S434" s="231"/>
      <c r="T434" s="232"/>
      <c r="U434" s="232"/>
      <c r="V434" s="232"/>
      <c r="W434" s="234"/>
      <c r="X434" s="234"/>
      <c r="Y434" s="234"/>
      <c r="Z434" s="234"/>
      <c r="AA434" s="234"/>
    </row>
    <row r="435" spans="1:27" x14ac:dyDescent="0.2">
      <c r="A435" s="3"/>
      <c r="B435" s="4" t="s">
        <v>272</v>
      </c>
      <c r="C435" s="4"/>
      <c r="D435" s="4"/>
      <c r="E435" s="4"/>
      <c r="F435" s="271" t="s">
        <v>286</v>
      </c>
      <c r="G435" s="272" t="s">
        <v>2</v>
      </c>
      <c r="H435" s="342">
        <v>2</v>
      </c>
      <c r="I435" s="4" t="s">
        <v>3</v>
      </c>
      <c r="J435" s="271"/>
      <c r="K435" s="272"/>
      <c r="L435" s="508"/>
      <c r="M435" s="4" t="s">
        <v>3</v>
      </c>
      <c r="Q435" s="229"/>
      <c r="R435" s="229"/>
      <c r="S435" s="231"/>
      <c r="T435" s="232"/>
      <c r="U435" s="232"/>
      <c r="V435" s="232"/>
      <c r="W435" s="234"/>
      <c r="X435" s="234"/>
      <c r="Y435" s="234"/>
      <c r="Z435" s="234"/>
      <c r="AA435" s="234"/>
    </row>
    <row r="436" spans="1:27" x14ac:dyDescent="0.2">
      <c r="A436" s="3"/>
      <c r="B436" s="4"/>
      <c r="C436" s="4"/>
      <c r="D436" s="4"/>
      <c r="E436" s="4"/>
      <c r="F436" s="274" t="s">
        <v>300</v>
      </c>
      <c r="G436" s="272" t="s">
        <v>2</v>
      </c>
      <c r="H436" s="342">
        <v>0.7</v>
      </c>
      <c r="I436" s="4" t="str">
        <f>"m  "&amp;IF(H435&lt;H436+H433,"Aumentar","")</f>
        <v xml:space="preserve">m  </v>
      </c>
      <c r="J436" s="274"/>
      <c r="K436" s="272"/>
      <c r="L436" s="508"/>
      <c r="M436" s="4" t="str">
        <f>"m  "&amp;IF(L435&lt;L436+L433,"Aumentar","")</f>
        <v xml:space="preserve">m  </v>
      </c>
      <c r="Q436" s="229"/>
      <c r="R436" s="229"/>
      <c r="S436" s="231"/>
      <c r="T436" s="232"/>
      <c r="U436" s="232"/>
      <c r="V436" s="232"/>
      <c r="W436" s="234"/>
      <c r="X436" s="234"/>
      <c r="Y436" s="234"/>
      <c r="Z436" s="234"/>
      <c r="AA436" s="234"/>
    </row>
    <row r="437" spans="1:27" x14ac:dyDescent="0.2">
      <c r="A437" s="3"/>
      <c r="B437" s="4" t="s">
        <v>277</v>
      </c>
      <c r="C437" s="3"/>
      <c r="D437" s="3"/>
      <c r="E437" s="3"/>
      <c r="F437" s="275" t="s">
        <v>7</v>
      </c>
      <c r="G437" s="276" t="s">
        <v>2</v>
      </c>
      <c r="H437" s="273">
        <f>H86/2+H181/1000+H326/1000+H436</f>
        <v>6.8380000000000001</v>
      </c>
      <c r="I437" s="4" t="s">
        <v>3</v>
      </c>
      <c r="Q437" s="229"/>
      <c r="R437" s="229"/>
      <c r="S437" s="231"/>
      <c r="T437" s="232"/>
      <c r="U437" s="232"/>
      <c r="V437" s="232"/>
      <c r="W437" s="234"/>
      <c r="X437" s="234"/>
      <c r="Y437" s="234"/>
      <c r="Z437" s="234"/>
      <c r="AA437" s="234"/>
    </row>
    <row r="438" spans="1:27" s="74" customFormat="1" x14ac:dyDescent="0.2">
      <c r="A438" s="3"/>
      <c r="B438" s="4" t="s">
        <v>278</v>
      </c>
      <c r="C438" s="3"/>
      <c r="D438" s="3"/>
      <c r="E438" s="3"/>
      <c r="F438" s="275" t="s">
        <v>294</v>
      </c>
      <c r="G438" s="276" t="s">
        <v>2</v>
      </c>
      <c r="H438" s="273">
        <f>H437-H435</f>
        <v>4.8380000000000001</v>
      </c>
      <c r="I438" s="4" t="s">
        <v>3</v>
      </c>
      <c r="J438" s="70"/>
      <c r="K438" s="70"/>
      <c r="L438" s="70"/>
      <c r="M438" s="70"/>
      <c r="N438" s="72"/>
      <c r="O438" s="72"/>
      <c r="P438" s="72"/>
      <c r="Q438" s="72"/>
      <c r="R438" s="72"/>
      <c r="S438" s="227"/>
    </row>
    <row r="439" spans="1:27" s="74" customFormat="1" x14ac:dyDescent="0.2">
      <c r="A439" s="3"/>
      <c r="B439" s="4"/>
      <c r="C439" s="3"/>
      <c r="D439" s="3"/>
      <c r="E439" s="3"/>
      <c r="F439" s="275" t="s">
        <v>295</v>
      </c>
      <c r="G439" s="276" t="s">
        <v>2</v>
      </c>
      <c r="H439" s="278">
        <f>+H438/H437</f>
        <v>0.70751681778297748</v>
      </c>
      <c r="I439" s="4" t="s">
        <v>3</v>
      </c>
      <c r="J439" s="70"/>
      <c r="K439" s="70"/>
      <c r="L439" s="70"/>
      <c r="M439" s="70"/>
      <c r="N439" s="72"/>
      <c r="O439" s="72"/>
      <c r="P439" s="72"/>
      <c r="Q439" s="72"/>
      <c r="R439" s="72"/>
      <c r="S439" s="227"/>
    </row>
    <row r="440" spans="1:27" s="74" customFormat="1" x14ac:dyDescent="0.2">
      <c r="A440" s="3"/>
      <c r="B440" s="3"/>
      <c r="C440" s="3"/>
      <c r="D440" s="3"/>
      <c r="E440" s="3"/>
      <c r="F440" s="113" t="s">
        <v>303</v>
      </c>
      <c r="G440" s="276" t="s">
        <v>2</v>
      </c>
      <c r="H440" s="279">
        <f>PI()*(H437^2-H438^2)</f>
        <v>73.362471646628833</v>
      </c>
      <c r="I440" s="3"/>
      <c r="J440" s="70"/>
      <c r="K440" s="70"/>
      <c r="L440" s="70"/>
      <c r="M440" s="70"/>
      <c r="N440" s="72"/>
      <c r="O440" s="72"/>
      <c r="P440" s="72"/>
      <c r="Q440" s="72"/>
      <c r="R440" s="72"/>
      <c r="S440" s="227"/>
    </row>
    <row r="441" spans="1:27" s="74" customFormat="1" x14ac:dyDescent="0.2">
      <c r="A441" s="3"/>
      <c r="B441" s="3"/>
      <c r="C441" s="3"/>
      <c r="D441" s="3"/>
      <c r="E441" s="3"/>
      <c r="F441" s="113" t="s">
        <v>293</v>
      </c>
      <c r="G441" s="276" t="s">
        <v>2</v>
      </c>
      <c r="H441" s="279">
        <f>PI()*(H437^4-H438^4)/4/H437</f>
        <v>188.19246349445123</v>
      </c>
      <c r="I441" s="86" t="s">
        <v>304</v>
      </c>
      <c r="J441" s="70"/>
      <c r="K441" s="70"/>
      <c r="L441" s="70"/>
      <c r="M441" s="70"/>
      <c r="N441" s="72"/>
      <c r="O441" s="72"/>
      <c r="P441" s="72"/>
      <c r="Q441" s="72"/>
      <c r="R441" s="72"/>
      <c r="S441" s="227"/>
    </row>
    <row r="442" spans="1:27" s="74" customFormat="1" ht="12.75" customHeight="1" x14ac:dyDescent="0.2">
      <c r="A442" s="3"/>
      <c r="B442" s="4" t="s">
        <v>273</v>
      </c>
      <c r="C442" s="4"/>
      <c r="D442" s="4"/>
      <c r="E442" s="4"/>
      <c r="F442" s="280" t="s">
        <v>140</v>
      </c>
      <c r="G442" s="272" t="s">
        <v>2</v>
      </c>
      <c r="H442" s="342">
        <v>2.5</v>
      </c>
      <c r="I442" s="86" t="s">
        <v>305</v>
      </c>
      <c r="J442" s="239"/>
      <c r="K442" s="70"/>
      <c r="L442" s="70"/>
      <c r="M442" s="70"/>
      <c r="N442" s="72"/>
      <c r="O442" s="240"/>
      <c r="P442" s="72"/>
      <c r="Q442" s="72"/>
      <c r="R442" s="72"/>
      <c r="S442" s="227"/>
    </row>
    <row r="443" spans="1:27" s="74" customFormat="1" ht="12.75" customHeight="1" x14ac:dyDescent="0.2">
      <c r="A443" s="3"/>
      <c r="B443" s="4" t="s">
        <v>274</v>
      </c>
      <c r="C443" s="4"/>
      <c r="D443" s="4"/>
      <c r="E443" s="4"/>
      <c r="F443" s="280" t="s">
        <v>140</v>
      </c>
      <c r="G443" s="272" t="s">
        <v>2</v>
      </c>
      <c r="H443" s="342">
        <v>1.8</v>
      </c>
      <c r="I443" s="4" t="s">
        <v>287</v>
      </c>
      <c r="M443" s="70"/>
      <c r="N443" s="72"/>
      <c r="O443" s="240"/>
      <c r="P443" s="72"/>
      <c r="Q443" s="72"/>
      <c r="R443" s="72"/>
      <c r="S443" s="227"/>
    </row>
    <row r="444" spans="1:27" s="74" customFormat="1" ht="12.75" customHeight="1" x14ac:dyDescent="0.2">
      <c r="A444" s="3"/>
      <c r="B444" s="3"/>
      <c r="C444" s="3"/>
      <c r="D444" s="3"/>
      <c r="E444" s="3"/>
      <c r="F444" s="4"/>
      <c r="G444" s="3"/>
      <c r="H444" s="3"/>
      <c r="I444" s="4" t="s">
        <v>287</v>
      </c>
      <c r="M444" s="70"/>
      <c r="N444" s="72"/>
      <c r="O444" s="240"/>
      <c r="P444" s="72"/>
      <c r="Q444" s="72"/>
      <c r="R444" s="72"/>
      <c r="S444" s="227"/>
    </row>
    <row r="445" spans="1:27" s="74" customFormat="1" ht="12.75" customHeight="1" x14ac:dyDescent="0.2">
      <c r="A445" s="284"/>
      <c r="B445" s="4" t="s">
        <v>359</v>
      </c>
      <c r="C445" s="4"/>
      <c r="D445" s="4"/>
      <c r="E445" s="4"/>
      <c r="F445" s="271" t="s">
        <v>290</v>
      </c>
      <c r="G445" s="272" t="s">
        <v>2</v>
      </c>
      <c r="H445" s="285">
        <f>H253+C241+H446*(H431+H432)</f>
        <v>2098.2609765292045</v>
      </c>
      <c r="I445" s="4"/>
      <c r="M445" s="70"/>
      <c r="N445" s="72"/>
      <c r="O445" s="240"/>
      <c r="P445" s="72"/>
      <c r="Q445" s="72"/>
      <c r="R445" s="72"/>
      <c r="S445" s="227"/>
    </row>
    <row r="446" spans="1:27" s="74" customFormat="1" ht="12.75" customHeight="1" thickBot="1" x14ac:dyDescent="0.25">
      <c r="A446" s="3"/>
      <c r="B446" s="4" t="s">
        <v>360</v>
      </c>
      <c r="C446" s="4"/>
      <c r="D446" s="4"/>
      <c r="E446" s="4"/>
      <c r="F446" s="271" t="s">
        <v>291</v>
      </c>
      <c r="G446" s="272" t="s">
        <v>2</v>
      </c>
      <c r="H446" s="285">
        <f>H254+C244</f>
        <v>332.76338071680749</v>
      </c>
      <c r="I446" s="4" t="s">
        <v>49</v>
      </c>
      <c r="M446" s="70"/>
      <c r="N446" s="72"/>
      <c r="O446" s="240"/>
      <c r="P446" s="72"/>
      <c r="Q446" s="72"/>
      <c r="R446" s="72"/>
      <c r="S446" s="227"/>
    </row>
    <row r="447" spans="1:27" s="74" customFormat="1" ht="12.75" customHeight="1" thickBot="1" x14ac:dyDescent="0.25">
      <c r="A447" s="3"/>
      <c r="B447" s="4" t="s">
        <v>361</v>
      </c>
      <c r="C447" s="4"/>
      <c r="D447" s="4"/>
      <c r="E447" s="4"/>
      <c r="F447" s="271" t="s">
        <v>292</v>
      </c>
      <c r="G447" s="272" t="s">
        <v>2</v>
      </c>
      <c r="H447" s="285">
        <f>H188+H189+H91*H87*PI()*((H86/2)^2-H438^2)+C247</f>
        <v>465.13476919336063</v>
      </c>
      <c r="I447" s="4" t="s">
        <v>50</v>
      </c>
      <c r="J447" s="264" t="s">
        <v>301</v>
      </c>
      <c r="K447" s="81"/>
      <c r="L447" s="81"/>
      <c r="M447" s="81"/>
      <c r="N447" s="81"/>
      <c r="O447" s="81"/>
      <c r="P447" s="81"/>
      <c r="Q447" s="81"/>
      <c r="R447" s="81"/>
      <c r="S447" s="14"/>
      <c r="T447" s="15"/>
      <c r="U447" s="15"/>
      <c r="V447" s="15"/>
      <c r="W447" s="15"/>
      <c r="X447" s="15"/>
      <c r="Y447" s="15"/>
      <c r="Z447" s="15"/>
      <c r="AA447" s="261"/>
    </row>
    <row r="448" spans="1:27" s="74" customFormat="1" ht="12.75" customHeight="1" x14ac:dyDescent="0.2">
      <c r="A448" s="3"/>
      <c r="B448" s="4" t="s">
        <v>362</v>
      </c>
      <c r="C448" s="4"/>
      <c r="D448" s="4"/>
      <c r="E448" s="4"/>
      <c r="F448" s="271" t="s">
        <v>293</v>
      </c>
      <c r="G448" s="272" t="s">
        <v>2</v>
      </c>
      <c r="H448" s="286">
        <f>H442*(H434*PI()*(H437^2-H438^2)+(H431+H432-H434)*PI()*((H437-H436)^2-(H437-H436-H433)^2))+H443*((H431+H432-H434)*PI()*((H437-H436-H433)^2-H438^2)+(H431-H434)*PI()*(H437^2-(H437-H436)^2))</f>
        <v>261.97527509984837</v>
      </c>
      <c r="I448" s="4" t="s">
        <v>50</v>
      </c>
      <c r="J448" s="266" t="s">
        <v>306</v>
      </c>
      <c r="K448" s="78"/>
      <c r="L448" s="79"/>
      <c r="M448" s="79"/>
      <c r="N448" s="79" t="s">
        <v>307</v>
      </c>
      <c r="O448" s="79"/>
      <c r="P448" s="79"/>
      <c r="Q448" s="80"/>
      <c r="R448" s="266" t="str">
        <f>N448</f>
        <v>r1/r</v>
      </c>
      <c r="S448" s="14"/>
      <c r="T448" s="15"/>
      <c r="U448" s="15"/>
      <c r="V448" s="15"/>
      <c r="W448" s="15"/>
      <c r="X448" s="15"/>
      <c r="Y448" s="15"/>
      <c r="Z448" s="15"/>
      <c r="AA448" s="261"/>
    </row>
    <row r="449" spans="1:27" s="74" customFormat="1" ht="12.75" customHeight="1" thickBot="1" x14ac:dyDescent="0.25">
      <c r="A449" s="3"/>
      <c r="B449" s="4" t="s">
        <v>363</v>
      </c>
      <c r="C449" s="4"/>
      <c r="D449" s="4"/>
      <c r="E449" s="4"/>
      <c r="F449" s="271" t="s">
        <v>81</v>
      </c>
      <c r="G449" s="272" t="s">
        <v>2</v>
      </c>
      <c r="H449" s="285">
        <f>SUM(H447:H448)</f>
        <v>727.11004429320906</v>
      </c>
      <c r="I449" s="4" t="s">
        <v>50</v>
      </c>
      <c r="J449" s="98"/>
      <c r="K449" s="88">
        <v>0</v>
      </c>
      <c r="L449" s="89">
        <v>0.5</v>
      </c>
      <c r="M449" s="89">
        <v>0.6</v>
      </c>
      <c r="N449" s="89">
        <v>0.7</v>
      </c>
      <c r="O449" s="89">
        <v>0.8</v>
      </c>
      <c r="P449" s="89">
        <v>0.9</v>
      </c>
      <c r="Q449" s="97">
        <v>1</v>
      </c>
      <c r="R449" s="267">
        <f>H439</f>
        <v>0.70751681778297748</v>
      </c>
      <c r="S449" s="14"/>
      <c r="T449" s="15"/>
      <c r="U449" s="15"/>
      <c r="V449" s="15"/>
      <c r="W449" s="15"/>
      <c r="X449" s="15"/>
      <c r="Y449" s="15"/>
      <c r="Z449" s="15"/>
      <c r="AA449" s="261"/>
    </row>
    <row r="450" spans="1:27" x14ac:dyDescent="0.2">
      <c r="A450" s="3"/>
      <c r="B450" s="3"/>
      <c r="C450" s="3"/>
      <c r="D450" s="3"/>
      <c r="E450" s="3"/>
      <c r="F450" s="3"/>
      <c r="G450" s="262" t="s">
        <v>275</v>
      </c>
      <c r="H450" s="273"/>
      <c r="I450" s="4" t="s">
        <v>50</v>
      </c>
      <c r="J450" s="267">
        <v>0.25</v>
      </c>
      <c r="K450" s="268">
        <v>2</v>
      </c>
      <c r="L450" s="103">
        <v>2</v>
      </c>
      <c r="M450" s="103">
        <v>2</v>
      </c>
      <c r="N450" s="103">
        <v>2</v>
      </c>
      <c r="O450" s="103">
        <v>2</v>
      </c>
      <c r="P450" s="103">
        <v>2</v>
      </c>
      <c r="Q450" s="104">
        <v>2</v>
      </c>
      <c r="R450" s="267">
        <f t="shared" ref="R450:R464" si="32">lininterp($K$449:$Q$449,K450:Q450,$R$449)</f>
        <v>2</v>
      </c>
      <c r="AA450" s="261"/>
    </row>
    <row r="451" spans="1:27" x14ac:dyDescent="0.2">
      <c r="A451" s="261"/>
      <c r="B451" s="3"/>
      <c r="C451" s="3"/>
      <c r="D451" s="3"/>
      <c r="E451" s="3"/>
      <c r="F451" s="3"/>
      <c r="G451" s="3"/>
      <c r="H451" s="273"/>
      <c r="I451" s="3"/>
      <c r="J451" s="267">
        <v>0.3</v>
      </c>
      <c r="K451" s="268">
        <v>1.82</v>
      </c>
      <c r="L451" s="103">
        <v>2</v>
      </c>
      <c r="M451" s="103">
        <v>2</v>
      </c>
      <c r="N451" s="103">
        <v>2</v>
      </c>
      <c r="O451" s="103">
        <v>2</v>
      </c>
      <c r="P451" s="103">
        <v>2</v>
      </c>
      <c r="Q451" s="104">
        <v>2</v>
      </c>
      <c r="R451" s="267">
        <f t="shared" si="32"/>
        <v>2</v>
      </c>
      <c r="S451" s="269"/>
      <c r="T451" s="270"/>
      <c r="U451" s="270"/>
      <c r="V451" s="270"/>
      <c r="W451" s="270"/>
      <c r="X451" s="270"/>
      <c r="Y451" s="270"/>
      <c r="Z451" s="270"/>
      <c r="AA451" s="261"/>
    </row>
    <row r="452" spans="1:27" x14ac:dyDescent="0.2">
      <c r="A452" s="284" t="s">
        <v>553</v>
      </c>
      <c r="B452" s="3"/>
      <c r="C452" s="3"/>
      <c r="D452" s="3"/>
      <c r="E452" s="3"/>
      <c r="F452" s="3"/>
      <c r="G452" s="3"/>
      <c r="H452" s="3"/>
      <c r="I452" s="3"/>
      <c r="J452" s="267">
        <v>0.35</v>
      </c>
      <c r="K452" s="268">
        <v>1.66</v>
      </c>
      <c r="L452" s="103">
        <v>1.89</v>
      </c>
      <c r="M452" s="103">
        <v>1.95</v>
      </c>
      <c r="N452" s="103">
        <v>2</v>
      </c>
      <c r="O452" s="103">
        <v>2</v>
      </c>
      <c r="P452" s="103">
        <v>2</v>
      </c>
      <c r="Q452" s="104">
        <v>2</v>
      </c>
      <c r="R452" s="267">
        <f t="shared" si="32"/>
        <v>2</v>
      </c>
      <c r="S452" s="269"/>
      <c r="T452" s="270"/>
      <c r="U452" s="270"/>
      <c r="V452" s="270"/>
      <c r="W452" s="270"/>
      <c r="X452" s="270"/>
      <c r="Y452" s="270"/>
      <c r="Z452" s="270"/>
      <c r="AA452" s="261"/>
    </row>
    <row r="453" spans="1:27" x14ac:dyDescent="0.2">
      <c r="A453" s="3"/>
      <c r="B453" s="4" t="s">
        <v>364</v>
      </c>
      <c r="C453" s="3"/>
      <c r="D453" s="3"/>
      <c r="E453" s="3"/>
      <c r="F453" s="3"/>
      <c r="G453" s="3"/>
      <c r="H453" s="3"/>
      <c r="I453" s="3"/>
      <c r="J453" s="267">
        <v>0.4</v>
      </c>
      <c r="K453" s="268">
        <v>1.51</v>
      </c>
      <c r="L453" s="103">
        <v>1.75</v>
      </c>
      <c r="M453" s="103">
        <v>1.84</v>
      </c>
      <c r="N453" s="103">
        <v>1.93</v>
      </c>
      <c r="O453" s="103">
        <v>2</v>
      </c>
      <c r="P453" s="103">
        <v>2</v>
      </c>
      <c r="Q453" s="104">
        <v>2</v>
      </c>
      <c r="R453" s="267">
        <f t="shared" si="32"/>
        <v>1.9352617724480843</v>
      </c>
      <c r="S453" s="269"/>
      <c r="T453" s="270"/>
      <c r="U453" s="270"/>
      <c r="V453" s="270"/>
      <c r="W453" s="270"/>
      <c r="X453" s="270"/>
      <c r="Y453" s="270"/>
      <c r="Z453" s="270"/>
      <c r="AA453" s="261"/>
    </row>
    <row r="454" spans="1:27" x14ac:dyDescent="0.2">
      <c r="A454" s="3"/>
      <c r="B454" s="287" t="s">
        <v>289</v>
      </c>
      <c r="C454" s="272" t="s">
        <v>2</v>
      </c>
      <c r="D454" s="343">
        <v>20</v>
      </c>
      <c r="E454" s="288" t="s">
        <v>105</v>
      </c>
      <c r="F454" s="3"/>
      <c r="G454" s="3"/>
      <c r="H454" s="3"/>
      <c r="I454" s="3"/>
      <c r="J454" s="267">
        <v>0.45</v>
      </c>
      <c r="K454" s="268">
        <v>1.37</v>
      </c>
      <c r="L454" s="103">
        <v>1.61</v>
      </c>
      <c r="M454" s="103">
        <v>1.71</v>
      </c>
      <c r="N454" s="103">
        <v>1.81</v>
      </c>
      <c r="O454" s="103">
        <v>1.9</v>
      </c>
      <c r="P454" s="103">
        <v>2</v>
      </c>
      <c r="Q454" s="104">
        <v>2</v>
      </c>
      <c r="R454" s="267">
        <f t="shared" si="32"/>
        <v>1.8167651360046797</v>
      </c>
      <c r="S454" s="269"/>
      <c r="T454" s="270"/>
      <c r="U454" s="270"/>
      <c r="V454" s="270"/>
      <c r="W454" s="270"/>
      <c r="X454" s="270"/>
      <c r="Y454" s="270"/>
      <c r="Z454" s="270"/>
      <c r="AA454" s="261"/>
    </row>
    <row r="455" spans="1:27" x14ac:dyDescent="0.2">
      <c r="A455" s="3"/>
      <c r="B455" s="248" t="s">
        <v>312</v>
      </c>
      <c r="C455" s="272" t="s">
        <v>2</v>
      </c>
      <c r="D455" s="289">
        <f>H449/H440</f>
        <v>9.9111988455833515</v>
      </c>
      <c r="E455" s="288" t="s">
        <v>105</v>
      </c>
      <c r="F455" s="290" t="str">
        <f>IF(D455&lt;=D454,"OK","No Cumple")</f>
        <v>OK</v>
      </c>
      <c r="G455" s="265" t="s">
        <v>279</v>
      </c>
      <c r="H455" s="291" t="s">
        <v>280</v>
      </c>
      <c r="I455" s="3"/>
      <c r="J455" s="267">
        <v>0.5</v>
      </c>
      <c r="K455" s="268">
        <v>1.23</v>
      </c>
      <c r="L455" s="103">
        <v>1.46</v>
      </c>
      <c r="M455" s="103">
        <v>1.56</v>
      </c>
      <c r="N455" s="103">
        <v>1.66</v>
      </c>
      <c r="O455" s="103">
        <v>1.78</v>
      </c>
      <c r="P455" s="103">
        <v>1.89</v>
      </c>
      <c r="Q455" s="104">
        <v>2</v>
      </c>
      <c r="R455" s="267">
        <f t="shared" si="32"/>
        <v>1.6690201813395729</v>
      </c>
      <c r="S455" s="269"/>
      <c r="T455" s="270"/>
      <c r="U455" s="270"/>
      <c r="V455" s="270"/>
      <c r="W455" s="270"/>
      <c r="X455" s="270"/>
      <c r="Y455" s="270"/>
      <c r="Z455" s="270"/>
      <c r="AA455" s="261"/>
    </row>
    <row r="456" spans="1:27" x14ac:dyDescent="0.2">
      <c r="A456" s="3"/>
      <c r="B456" s="3"/>
      <c r="C456" s="3"/>
      <c r="D456" s="3"/>
      <c r="E456" s="3"/>
      <c r="F456" s="3"/>
      <c r="G456" s="3"/>
      <c r="H456" s="3"/>
      <c r="I456" s="3"/>
      <c r="J456" s="267">
        <v>0.55000000000000004</v>
      </c>
      <c r="K456" s="268">
        <v>1.1000000000000001</v>
      </c>
      <c r="L456" s="103">
        <v>1.29</v>
      </c>
      <c r="M456" s="103">
        <v>1.39</v>
      </c>
      <c r="N456" s="103">
        <v>1.5</v>
      </c>
      <c r="O456" s="103">
        <v>1.62</v>
      </c>
      <c r="P456" s="103">
        <v>1.74</v>
      </c>
      <c r="Q456" s="104">
        <v>1.87</v>
      </c>
      <c r="R456" s="267">
        <f t="shared" si="32"/>
        <v>1.5090201813395729</v>
      </c>
      <c r="S456" s="269"/>
      <c r="T456" s="270"/>
      <c r="U456" s="270"/>
      <c r="V456" s="270"/>
      <c r="W456" s="270"/>
      <c r="X456" s="270"/>
      <c r="Y456" s="270"/>
      <c r="Z456" s="270"/>
      <c r="AA456" s="261"/>
    </row>
    <row r="457" spans="1:27" x14ac:dyDescent="0.2">
      <c r="A457" s="3"/>
      <c r="B457" s="3"/>
      <c r="C457" s="3"/>
      <c r="D457" s="3"/>
      <c r="E457" s="3"/>
      <c r="F457" s="3"/>
      <c r="G457" s="3"/>
      <c r="H457" s="3"/>
      <c r="I457" s="3"/>
      <c r="J457" s="267">
        <v>0.6</v>
      </c>
      <c r="K457" s="268">
        <v>0.97</v>
      </c>
      <c r="L457" s="103">
        <v>1.1200000000000001</v>
      </c>
      <c r="M457" s="103">
        <v>1.21</v>
      </c>
      <c r="N457" s="103">
        <v>1.32</v>
      </c>
      <c r="O457" s="103">
        <v>1.45</v>
      </c>
      <c r="P457" s="103">
        <v>1.58</v>
      </c>
      <c r="Q457" s="104">
        <v>1.71</v>
      </c>
      <c r="R457" s="267">
        <f t="shared" si="32"/>
        <v>1.3297718631178708</v>
      </c>
      <c r="S457" s="269"/>
      <c r="T457" s="270"/>
      <c r="U457" s="270"/>
      <c r="V457" s="270"/>
      <c r="W457" s="270"/>
      <c r="X457" s="270"/>
      <c r="Y457" s="270"/>
      <c r="Z457" s="270"/>
      <c r="AA457" s="261"/>
    </row>
    <row r="458" spans="1:27" x14ac:dyDescent="0.2">
      <c r="A458" s="3"/>
      <c r="B458" s="4" t="s">
        <v>365</v>
      </c>
      <c r="C458" s="3"/>
      <c r="D458" s="3"/>
      <c r="E458" s="3"/>
      <c r="F458" s="3"/>
      <c r="G458" s="3"/>
      <c r="H458" s="3"/>
      <c r="I458" s="3"/>
      <c r="J458" s="267">
        <v>0.65</v>
      </c>
      <c r="K458" s="268">
        <v>0.84</v>
      </c>
      <c r="L458" s="103">
        <v>0.94</v>
      </c>
      <c r="M458" s="103">
        <v>1.02</v>
      </c>
      <c r="N458" s="103">
        <v>1.1299999999999999</v>
      </c>
      <c r="O458" s="103">
        <v>1.25</v>
      </c>
      <c r="P458" s="103">
        <v>1.4</v>
      </c>
      <c r="Q458" s="104">
        <v>1.54</v>
      </c>
      <c r="R458" s="267">
        <f t="shared" si="32"/>
        <v>1.1390201813395728</v>
      </c>
      <c r="S458" s="269"/>
      <c r="T458" s="270"/>
      <c r="U458" s="270"/>
      <c r="V458" s="270"/>
      <c r="W458" s="270"/>
      <c r="X458" s="270"/>
      <c r="Y458" s="270"/>
      <c r="Z458" s="270"/>
      <c r="AA458" s="261"/>
    </row>
    <row r="459" spans="1:27" x14ac:dyDescent="0.2">
      <c r="A459" s="3"/>
      <c r="B459" s="287" t="s">
        <v>288</v>
      </c>
      <c r="C459" s="272" t="s">
        <v>2</v>
      </c>
      <c r="D459" s="343">
        <f>1.5*D454</f>
        <v>30</v>
      </c>
      <c r="E459" s="288" t="s">
        <v>105</v>
      </c>
      <c r="F459" s="3"/>
      <c r="G459" s="291" t="s">
        <v>296</v>
      </c>
      <c r="H459" s="291" t="s">
        <v>282</v>
      </c>
      <c r="I459" s="3"/>
      <c r="J459" s="267">
        <v>0.7</v>
      </c>
      <c r="K459" s="268">
        <v>0.72</v>
      </c>
      <c r="L459" s="103">
        <v>0.75</v>
      </c>
      <c r="M459" s="103">
        <v>0.82</v>
      </c>
      <c r="N459" s="103">
        <v>0.93</v>
      </c>
      <c r="O459" s="103">
        <v>1.05</v>
      </c>
      <c r="P459" s="103">
        <v>1.2</v>
      </c>
      <c r="Q459" s="104">
        <v>1.35</v>
      </c>
      <c r="R459" s="267">
        <f t="shared" si="32"/>
        <v>0.9390201813395731</v>
      </c>
      <c r="S459" s="269"/>
      <c r="T459" s="270"/>
      <c r="U459" s="270"/>
      <c r="V459" s="270"/>
      <c r="W459" s="270"/>
      <c r="X459" s="270"/>
      <c r="Y459" s="270"/>
      <c r="Z459" s="270"/>
      <c r="AA459" s="277"/>
    </row>
    <row r="460" spans="1:27" x14ac:dyDescent="0.2">
      <c r="A460" s="292"/>
      <c r="B460" s="3"/>
      <c r="C460" s="3"/>
      <c r="D460" s="3"/>
      <c r="E460" s="3"/>
      <c r="F460" s="3"/>
      <c r="G460" s="272"/>
      <c r="H460" s="293"/>
      <c r="I460" s="3"/>
      <c r="J460" s="267">
        <v>0.75</v>
      </c>
      <c r="K460" s="268">
        <v>0.59</v>
      </c>
      <c r="L460" s="103">
        <v>0.6</v>
      </c>
      <c r="M460" s="103">
        <v>0.64</v>
      </c>
      <c r="N460" s="103">
        <v>0.72</v>
      </c>
      <c r="O460" s="103">
        <v>0.85</v>
      </c>
      <c r="P460" s="103">
        <v>0.98</v>
      </c>
      <c r="Q460" s="104">
        <v>1.1499999999999999</v>
      </c>
      <c r="R460" s="267">
        <f t="shared" si="32"/>
        <v>0.72977186311787079</v>
      </c>
      <c r="S460" s="269"/>
      <c r="T460" s="270"/>
      <c r="U460" s="270"/>
      <c r="V460" s="270"/>
      <c r="W460" s="270"/>
      <c r="X460" s="270"/>
      <c r="Y460" s="270"/>
      <c r="Z460" s="270"/>
      <c r="AA460" s="277"/>
    </row>
    <row r="461" spans="1:27" x14ac:dyDescent="0.2">
      <c r="A461" s="3"/>
      <c r="B461" s="3"/>
      <c r="C461" s="3"/>
      <c r="D461" s="3"/>
      <c r="E461" s="3"/>
      <c r="F461" s="3"/>
      <c r="G461" s="3"/>
      <c r="H461" s="3"/>
      <c r="I461" s="3"/>
      <c r="J461" s="267">
        <v>0.8</v>
      </c>
      <c r="K461" s="268">
        <v>0.47</v>
      </c>
      <c r="L461" s="103">
        <v>0.47</v>
      </c>
      <c r="M461" s="103">
        <v>0.48</v>
      </c>
      <c r="N461" s="103">
        <v>0.52</v>
      </c>
      <c r="O461" s="103">
        <v>0.61</v>
      </c>
      <c r="P461" s="103">
        <v>0.77</v>
      </c>
      <c r="Q461" s="104">
        <v>0.94</v>
      </c>
      <c r="R461" s="267">
        <f t="shared" si="32"/>
        <v>0.52676513600467978</v>
      </c>
      <c r="S461" s="269"/>
      <c r="T461" s="270"/>
      <c r="U461" s="270"/>
      <c r="V461" s="270"/>
      <c r="W461" s="270"/>
      <c r="X461" s="270"/>
      <c r="Y461" s="270"/>
      <c r="Z461" s="270"/>
      <c r="AA461" s="277"/>
    </row>
    <row r="462" spans="1:27" x14ac:dyDescent="0.2">
      <c r="A462" s="3"/>
      <c r="B462" s="4"/>
      <c r="C462" s="295"/>
      <c r="D462" s="295"/>
      <c r="E462" s="295"/>
      <c r="F462" s="3"/>
      <c r="G462" s="295"/>
      <c r="H462" s="295"/>
      <c r="I462" s="294" t="s">
        <v>297</v>
      </c>
      <c r="J462" s="267">
        <v>0.85</v>
      </c>
      <c r="K462" s="268">
        <v>0.35</v>
      </c>
      <c r="L462" s="103">
        <f t="shared" ref="L462:M464" si="33">K462</f>
        <v>0.35</v>
      </c>
      <c r="M462" s="103">
        <f t="shared" si="33"/>
        <v>0.35</v>
      </c>
      <c r="N462" s="103">
        <v>0.36</v>
      </c>
      <c r="O462" s="103">
        <v>0.42</v>
      </c>
      <c r="P462" s="103">
        <v>0.55000000000000004</v>
      </c>
      <c r="Q462" s="104">
        <v>0.72</v>
      </c>
      <c r="R462" s="267">
        <f t="shared" si="32"/>
        <v>0.36451009066978651</v>
      </c>
      <c r="S462" s="269"/>
      <c r="T462" s="270"/>
      <c r="U462" s="270"/>
      <c r="V462" s="270"/>
      <c r="W462" s="270"/>
      <c r="X462" s="270"/>
      <c r="Y462" s="270"/>
      <c r="Z462" s="270"/>
      <c r="AA462" s="277"/>
    </row>
    <row r="463" spans="1:27" x14ac:dyDescent="0.2">
      <c r="A463" s="3"/>
      <c r="B463" s="3"/>
      <c r="C463" s="295"/>
      <c r="D463" s="295"/>
      <c r="E463" s="295"/>
      <c r="F463" s="295"/>
      <c r="G463" s="302" t="s">
        <v>275</v>
      </c>
      <c r="H463" s="303" t="s">
        <v>70</v>
      </c>
      <c r="I463" s="295"/>
      <c r="J463" s="267">
        <v>0.9</v>
      </c>
      <c r="K463" s="268">
        <v>0.24</v>
      </c>
      <c r="L463" s="103">
        <f t="shared" si="33"/>
        <v>0.24</v>
      </c>
      <c r="M463" s="103">
        <f t="shared" si="33"/>
        <v>0.24</v>
      </c>
      <c r="N463" s="103">
        <f>M463</f>
        <v>0.24</v>
      </c>
      <c r="O463" s="103">
        <f>N463</f>
        <v>0.24</v>
      </c>
      <c r="P463" s="103">
        <v>0.32</v>
      </c>
      <c r="Q463" s="104">
        <v>0.49</v>
      </c>
      <c r="R463" s="267">
        <f t="shared" si="32"/>
        <v>0.24</v>
      </c>
      <c r="S463" s="269"/>
      <c r="T463" s="270"/>
      <c r="U463" s="270"/>
      <c r="V463" s="270"/>
      <c r="W463" s="270"/>
      <c r="X463" s="270"/>
      <c r="Y463" s="270"/>
      <c r="Z463" s="270"/>
      <c r="AA463" s="277"/>
    </row>
    <row r="464" spans="1:27" ht="13.5" thickBot="1" x14ac:dyDescent="0.25">
      <c r="A464" s="3"/>
      <c r="B464" s="4"/>
      <c r="C464" s="295"/>
      <c r="D464" s="295"/>
      <c r="E464" s="295"/>
      <c r="F464" s="295"/>
      <c r="G464" s="304"/>
      <c r="H464" s="304"/>
      <c r="I464" s="295"/>
      <c r="J464" s="281">
        <v>0.95</v>
      </c>
      <c r="K464" s="282">
        <v>0.12</v>
      </c>
      <c r="L464" s="107">
        <f t="shared" si="33"/>
        <v>0.12</v>
      </c>
      <c r="M464" s="107">
        <f t="shared" si="33"/>
        <v>0.12</v>
      </c>
      <c r="N464" s="107">
        <f>M464</f>
        <v>0.12</v>
      </c>
      <c r="O464" s="107">
        <f>N464</f>
        <v>0.12</v>
      </c>
      <c r="P464" s="107">
        <f>O464</f>
        <v>0.12</v>
      </c>
      <c r="Q464" s="108">
        <v>0.25</v>
      </c>
      <c r="R464" s="281">
        <f t="shared" si="32"/>
        <v>0.12</v>
      </c>
      <c r="S464" s="269"/>
      <c r="T464" s="270"/>
      <c r="U464" s="270"/>
      <c r="V464" s="270"/>
      <c r="W464" s="270"/>
      <c r="X464" s="270"/>
      <c r="Y464" s="270"/>
      <c r="Z464" s="270"/>
      <c r="AA464" s="277"/>
    </row>
    <row r="465" spans="1:29" ht="13.5" thickBot="1" x14ac:dyDescent="0.25">
      <c r="A465" s="295"/>
      <c r="B465" s="295"/>
      <c r="C465" s="295"/>
      <c r="D465" s="295"/>
      <c r="E465" s="295"/>
      <c r="F465" s="295"/>
      <c r="G465" s="295"/>
      <c r="H465" s="295"/>
      <c r="I465" s="304"/>
      <c r="J465" s="81"/>
      <c r="K465" s="81"/>
      <c r="L465" s="81"/>
      <c r="M465" s="81"/>
      <c r="N465" s="81"/>
      <c r="O465" s="81"/>
      <c r="P465" s="81"/>
      <c r="Q465" s="81"/>
      <c r="R465" s="84"/>
      <c r="S465" s="269"/>
      <c r="T465" s="270"/>
      <c r="U465" s="270"/>
      <c r="V465" s="270"/>
      <c r="W465" s="270"/>
      <c r="X465" s="270"/>
      <c r="Y465" s="270"/>
      <c r="Z465" s="270"/>
      <c r="AA465" s="277"/>
    </row>
    <row r="466" spans="1:29" ht="13.5" thickBot="1" x14ac:dyDescent="0.25">
      <c r="A466" s="306" t="s">
        <v>554</v>
      </c>
      <c r="B466" s="295"/>
      <c r="C466" s="295"/>
      <c r="D466" s="295"/>
      <c r="E466" s="295"/>
      <c r="F466" s="295"/>
      <c r="G466" s="295"/>
      <c r="H466" s="295"/>
      <c r="I466" s="295"/>
      <c r="J466" s="283" t="s">
        <v>317</v>
      </c>
      <c r="K466" s="81"/>
      <c r="L466" s="81"/>
      <c r="M466" s="81"/>
      <c r="N466" s="81"/>
      <c r="O466" s="81"/>
      <c r="P466" s="81"/>
      <c r="Q466" s="81"/>
      <c r="R466" s="84"/>
      <c r="S466" s="269"/>
      <c r="T466" s="270"/>
      <c r="U466" s="270"/>
      <c r="V466" s="270"/>
      <c r="W466" s="270"/>
      <c r="X466" s="270"/>
      <c r="Y466" s="270"/>
      <c r="Z466" s="270"/>
      <c r="AA466" s="277"/>
    </row>
    <row r="467" spans="1:29" x14ac:dyDescent="0.2">
      <c r="A467" s="295"/>
      <c r="B467" s="295"/>
      <c r="C467" s="295"/>
      <c r="D467" s="295"/>
      <c r="E467" s="295"/>
      <c r="F467" s="295"/>
      <c r="G467" s="295"/>
      <c r="H467" s="295"/>
      <c r="I467" s="295"/>
      <c r="J467" s="266" t="s">
        <v>306</v>
      </c>
      <c r="K467" s="78"/>
      <c r="L467" s="79"/>
      <c r="M467" s="79"/>
      <c r="N467" s="79" t="s">
        <v>307</v>
      </c>
      <c r="O467" s="79"/>
      <c r="P467" s="79"/>
      <c r="Q467" s="80"/>
      <c r="R467" s="266" t="str">
        <f>N467</f>
        <v>r1/r</v>
      </c>
      <c r="S467" s="269"/>
      <c r="T467" s="270"/>
      <c r="U467" s="270"/>
      <c r="V467" s="270"/>
      <c r="W467" s="270"/>
      <c r="X467" s="270"/>
      <c r="Y467" s="270"/>
      <c r="Z467" s="270"/>
      <c r="AA467" s="277"/>
    </row>
    <row r="468" spans="1:29" ht="13.5" thickBot="1" x14ac:dyDescent="0.25">
      <c r="A468" s="295"/>
      <c r="B468" s="4" t="s">
        <v>368</v>
      </c>
      <c r="C468" s="295"/>
      <c r="D468" s="295"/>
      <c r="E468" s="295"/>
      <c r="F468" s="274" t="s">
        <v>648</v>
      </c>
      <c r="G468" s="272" t="s">
        <v>2</v>
      </c>
      <c r="H468" s="285">
        <f>H447*(1-2/3*H104*H106)+H448</f>
        <v>603.0741058416462</v>
      </c>
      <c r="I468" s="295"/>
      <c r="J468" s="98"/>
      <c r="K468" s="89">
        <v>0</v>
      </c>
      <c r="L468" s="89">
        <v>0.5</v>
      </c>
      <c r="M468" s="89">
        <v>0.6</v>
      </c>
      <c r="N468" s="89">
        <v>0.7</v>
      </c>
      <c r="O468" s="89">
        <v>0.8</v>
      </c>
      <c r="P468" s="89">
        <v>0.9</v>
      </c>
      <c r="Q468" s="97">
        <v>1</v>
      </c>
      <c r="R468" s="267">
        <f>H439</f>
        <v>0.70751681778297748</v>
      </c>
      <c r="S468" s="269"/>
      <c r="T468" s="270"/>
      <c r="U468" s="270"/>
      <c r="V468" s="270"/>
      <c r="W468" s="270"/>
      <c r="X468" s="270"/>
      <c r="Y468" s="270"/>
      <c r="Z468" s="270"/>
      <c r="AA468" s="277"/>
      <c r="AB468" s="261"/>
      <c r="AC468" s="261"/>
    </row>
    <row r="469" spans="1:29" x14ac:dyDescent="0.2">
      <c r="A469" s="288"/>
      <c r="B469" s="4" t="s">
        <v>276</v>
      </c>
      <c r="C469" s="288"/>
      <c r="D469" s="288"/>
      <c r="E469" s="288"/>
      <c r="F469" s="275" t="s">
        <v>649</v>
      </c>
      <c r="G469" s="276" t="s">
        <v>2</v>
      </c>
      <c r="H469" s="273">
        <f>+$H$445/H468</f>
        <v>3.4792755255191823</v>
      </c>
      <c r="I469" s="4" t="s">
        <v>50</v>
      </c>
      <c r="J469" s="267">
        <v>0</v>
      </c>
      <c r="K469" s="103">
        <v>1</v>
      </c>
      <c r="L469" s="103">
        <v>1</v>
      </c>
      <c r="M469" s="103">
        <v>1</v>
      </c>
      <c r="N469" s="103">
        <v>1</v>
      </c>
      <c r="O469" s="103">
        <v>1</v>
      </c>
      <c r="P469" s="103">
        <v>1</v>
      </c>
      <c r="Q469" s="104">
        <v>1</v>
      </c>
      <c r="R469" s="267">
        <f t="shared" ref="R469:R488" si="34">lininterp($K$468:$Q$468,K469:Q469,$R$468)</f>
        <v>1</v>
      </c>
      <c r="S469" s="269"/>
      <c r="T469" s="270"/>
      <c r="U469" s="270"/>
      <c r="V469" s="270"/>
      <c r="W469" s="270"/>
      <c r="X469" s="270"/>
      <c r="Y469" s="270"/>
      <c r="Z469" s="270"/>
      <c r="AA469" s="277"/>
      <c r="AB469" s="261"/>
      <c r="AC469" s="261"/>
    </row>
    <row r="470" spans="1:29" x14ac:dyDescent="0.2">
      <c r="A470" s="3"/>
      <c r="B470" s="3"/>
      <c r="C470" s="3"/>
      <c r="D470" s="3"/>
      <c r="E470" s="3"/>
      <c r="F470" s="275" t="s">
        <v>281</v>
      </c>
      <c r="G470" s="276" t="s">
        <v>2</v>
      </c>
      <c r="H470" s="278">
        <f>+H469/$H$437</f>
        <v>0.50881478875682684</v>
      </c>
      <c r="I470" s="4" t="s">
        <v>3</v>
      </c>
      <c r="J470" s="267">
        <v>0.05</v>
      </c>
      <c r="K470" s="103">
        <v>1.2</v>
      </c>
      <c r="L470" s="103">
        <f t="shared" ref="L470:L476" si="35">L469+0.16</f>
        <v>1.1599999999999999</v>
      </c>
      <c r="M470" s="103">
        <f>M469+0.15</f>
        <v>1.1499999999999999</v>
      </c>
      <c r="N470" s="103">
        <f>N469+0.13</f>
        <v>1.1299999999999999</v>
      </c>
      <c r="O470" s="103">
        <f>O469+0.12</f>
        <v>1.1200000000000001</v>
      </c>
      <c r="P470" s="103">
        <f t="shared" ref="P470:P479" si="36">P469+0.11</f>
        <v>1.1100000000000001</v>
      </c>
      <c r="Q470" s="104">
        <f t="shared" ref="Q470:Q479" si="37">Q469+0.1</f>
        <v>1.1000000000000001</v>
      </c>
      <c r="R470" s="267">
        <f t="shared" si="34"/>
        <v>1.1292483182217021</v>
      </c>
      <c r="S470" s="269"/>
      <c r="T470" s="270"/>
      <c r="U470" s="270"/>
      <c r="V470" s="270"/>
      <c r="W470" s="270"/>
      <c r="X470" s="270"/>
      <c r="Y470" s="270"/>
      <c r="Z470" s="270"/>
      <c r="AA470" s="277"/>
      <c r="AB470" s="261"/>
      <c r="AC470" s="261"/>
    </row>
    <row r="471" spans="1:29" x14ac:dyDescent="0.2">
      <c r="A471" s="3"/>
      <c r="B471" s="584" t="s">
        <v>653</v>
      </c>
      <c r="C471" s="585"/>
      <c r="D471" s="586"/>
      <c r="E471" s="3"/>
      <c r="F471" s="3"/>
      <c r="G471" s="295"/>
      <c r="H471" s="295"/>
      <c r="I471" s="288"/>
      <c r="J471" s="267">
        <v>0.1</v>
      </c>
      <c r="K471" s="103">
        <v>1.4</v>
      </c>
      <c r="L471" s="103">
        <f t="shared" si="35"/>
        <v>1.3199999999999998</v>
      </c>
      <c r="M471" s="103">
        <f>M470+0.15</f>
        <v>1.2999999999999998</v>
      </c>
      <c r="N471" s="103">
        <v>1.27</v>
      </c>
      <c r="O471" s="103">
        <f>O470+0.12</f>
        <v>1.2400000000000002</v>
      </c>
      <c r="P471" s="103">
        <f t="shared" si="36"/>
        <v>1.2200000000000002</v>
      </c>
      <c r="Q471" s="104">
        <f t="shared" si="37"/>
        <v>1.2000000000000002</v>
      </c>
      <c r="R471" s="267">
        <f t="shared" si="34"/>
        <v>1.2677449546651067</v>
      </c>
      <c r="S471" s="269"/>
      <c r="T471" s="270"/>
      <c r="U471" s="270"/>
      <c r="V471" s="270"/>
      <c r="W471" s="270"/>
      <c r="X471" s="270"/>
      <c r="Y471" s="270"/>
      <c r="Z471" s="270"/>
      <c r="AA471" s="277"/>
      <c r="AB471" s="261"/>
      <c r="AC471" s="261"/>
    </row>
    <row r="472" spans="1:29" x14ac:dyDescent="0.2">
      <c r="A472" s="3"/>
      <c r="B472" s="325" t="s">
        <v>367</v>
      </c>
      <c r="C472" s="326">
        <f>lininterp($J$450:$J$464,$R$450:$R$464,H470)</f>
        <v>1.640812857317727</v>
      </c>
      <c r="D472" s="327"/>
      <c r="E472" s="3"/>
      <c r="F472" s="3"/>
      <c r="G472" s="295"/>
      <c r="H472" s="295"/>
      <c r="I472" s="288"/>
      <c r="J472" s="267">
        <v>0.15</v>
      </c>
      <c r="K472" s="103">
        <v>1.6</v>
      </c>
      <c r="L472" s="103">
        <f t="shared" si="35"/>
        <v>1.4799999999999998</v>
      </c>
      <c r="M472" s="103">
        <f>M471+0.15</f>
        <v>1.4499999999999997</v>
      </c>
      <c r="N472" s="103">
        <f>N471+0.13</f>
        <v>1.4</v>
      </c>
      <c r="O472" s="103">
        <v>1.37</v>
      </c>
      <c r="P472" s="103">
        <f t="shared" si="36"/>
        <v>1.3300000000000003</v>
      </c>
      <c r="Q472" s="104">
        <f t="shared" si="37"/>
        <v>1.3000000000000003</v>
      </c>
      <c r="R472" s="267">
        <f t="shared" si="34"/>
        <v>1.3977449546651066</v>
      </c>
      <c r="S472" s="269"/>
      <c r="T472" s="270"/>
      <c r="U472" s="270"/>
      <c r="V472" s="270"/>
      <c r="W472" s="270"/>
      <c r="X472" s="270"/>
      <c r="Y472" s="270"/>
      <c r="Z472" s="270"/>
      <c r="AA472" s="277"/>
      <c r="AB472" s="261"/>
      <c r="AC472" s="261"/>
    </row>
    <row r="473" spans="1:29" x14ac:dyDescent="0.2">
      <c r="A473" s="3"/>
      <c r="B473" s="328" t="s">
        <v>309</v>
      </c>
      <c r="C473" s="326">
        <f>lininterp($J$469:$J$488,$R$469:$R$488,H470)</f>
        <v>2.4508543704355206</v>
      </c>
      <c r="D473" s="327"/>
      <c r="E473" s="1"/>
      <c r="F473" s="241" t="s">
        <v>313</v>
      </c>
      <c r="G473" s="336">
        <f>C477</f>
        <v>0.77287393000610261</v>
      </c>
      <c r="H473" s="288"/>
      <c r="I473" s="290" t="str">
        <f>IF(G473&gt;=0.8,"OK","No Cumple")</f>
        <v>No Cumple</v>
      </c>
      <c r="J473" s="267">
        <v>0.2</v>
      </c>
      <c r="K473" s="103">
        <v>1.8</v>
      </c>
      <c r="L473" s="103">
        <f t="shared" si="35"/>
        <v>1.6399999999999997</v>
      </c>
      <c r="M473" s="103">
        <v>1.59</v>
      </c>
      <c r="N473" s="103">
        <v>1.54</v>
      </c>
      <c r="O473" s="103">
        <f>O472+0.12</f>
        <v>1.4900000000000002</v>
      </c>
      <c r="P473" s="103">
        <f t="shared" si="36"/>
        <v>1.4400000000000004</v>
      </c>
      <c r="Q473" s="104">
        <f t="shared" si="37"/>
        <v>1.4000000000000004</v>
      </c>
      <c r="R473" s="267">
        <f t="shared" si="34"/>
        <v>1.5362415911085112</v>
      </c>
      <c r="S473" s="269"/>
      <c r="T473" s="270"/>
      <c r="U473" s="270"/>
      <c r="V473" s="270"/>
      <c r="W473" s="270"/>
      <c r="X473" s="270"/>
      <c r="Y473" s="270"/>
      <c r="Z473" s="270"/>
      <c r="AA473" s="277"/>
      <c r="AB473" s="261"/>
      <c r="AC473" s="261"/>
    </row>
    <row r="474" spans="1:29" x14ac:dyDescent="0.2">
      <c r="A474" s="295"/>
      <c r="B474" s="325" t="s">
        <v>70</v>
      </c>
      <c r="C474" s="326">
        <f>C472*$H$437</f>
        <v>11.219878318338617</v>
      </c>
      <c r="D474" s="327" t="s">
        <v>3</v>
      </c>
      <c r="E474" s="1"/>
      <c r="F474" s="248" t="s">
        <v>311</v>
      </c>
      <c r="G474" s="337">
        <f>C475</f>
        <v>20.147178452737037</v>
      </c>
      <c r="H474" s="288" t="s">
        <v>105</v>
      </c>
      <c r="I474" s="290" t="str">
        <f>IF(G474&lt;=D459,"OK","No Cumple")</f>
        <v>OK</v>
      </c>
      <c r="J474" s="267">
        <v>0.25</v>
      </c>
      <c r="K474" s="103">
        <v>2</v>
      </c>
      <c r="L474" s="103">
        <f t="shared" si="35"/>
        <v>1.7999999999999996</v>
      </c>
      <c r="M474" s="103">
        <v>1.73</v>
      </c>
      <c r="N474" s="103">
        <f>N473+0.13</f>
        <v>1.67</v>
      </c>
      <c r="O474" s="103">
        <f>O473+0.12</f>
        <v>1.6100000000000003</v>
      </c>
      <c r="P474" s="103">
        <f t="shared" si="36"/>
        <v>1.5500000000000005</v>
      </c>
      <c r="Q474" s="104">
        <f t="shared" si="37"/>
        <v>1.5000000000000004</v>
      </c>
      <c r="R474" s="267">
        <f t="shared" si="34"/>
        <v>1.6654899093302133</v>
      </c>
      <c r="S474" s="269"/>
      <c r="T474" s="270"/>
      <c r="U474" s="270"/>
      <c r="V474" s="270"/>
      <c r="W474" s="270"/>
      <c r="X474" s="270"/>
      <c r="Y474" s="270"/>
      <c r="Z474" s="270"/>
      <c r="AA474" s="277"/>
      <c r="AB474" s="261"/>
      <c r="AC474" s="261"/>
    </row>
    <row r="475" spans="1:29" x14ac:dyDescent="0.2">
      <c r="A475" s="288"/>
      <c r="B475" s="328" t="s">
        <v>308</v>
      </c>
      <c r="C475" s="326">
        <f>C473*K491</f>
        <v>20.147178452737037</v>
      </c>
      <c r="D475" s="324" t="s">
        <v>105</v>
      </c>
      <c r="E475" s="1"/>
      <c r="F475" s="320"/>
      <c r="G475" s="320"/>
      <c r="H475" s="288"/>
      <c r="I475" s="323"/>
      <c r="J475" s="267">
        <v>0.3</v>
      </c>
      <c r="K475" s="103">
        <v>2.23</v>
      </c>
      <c r="L475" s="103">
        <f t="shared" si="35"/>
        <v>1.9599999999999995</v>
      </c>
      <c r="M475" s="103">
        <f>M474+0.15</f>
        <v>1.88</v>
      </c>
      <c r="N475" s="103">
        <v>1.81</v>
      </c>
      <c r="O475" s="103">
        <f>O474+0.12</f>
        <v>1.7300000000000004</v>
      </c>
      <c r="P475" s="103">
        <f t="shared" si="36"/>
        <v>1.6600000000000006</v>
      </c>
      <c r="Q475" s="104">
        <f t="shared" si="37"/>
        <v>1.6000000000000005</v>
      </c>
      <c r="R475" s="267">
        <f t="shared" si="34"/>
        <v>1.8039865457736182</v>
      </c>
      <c r="S475" s="269"/>
      <c r="T475" s="270"/>
      <c r="U475" s="270"/>
      <c r="V475" s="270"/>
      <c r="W475" s="270"/>
      <c r="X475" s="270"/>
      <c r="Y475" s="270"/>
      <c r="Z475" s="270"/>
      <c r="AA475" s="277"/>
      <c r="AB475" s="261"/>
      <c r="AC475" s="261"/>
    </row>
    <row r="476" spans="1:29" x14ac:dyDescent="0.2">
      <c r="A476" s="288"/>
      <c r="B476" s="325" t="s">
        <v>310</v>
      </c>
      <c r="C476" s="329">
        <f>MIN(K497,H440)</f>
        <v>56.699941776491301</v>
      </c>
      <c r="D476" s="331" t="s">
        <v>304</v>
      </c>
      <c r="E476" s="1"/>
      <c r="F476" s="320"/>
      <c r="G476" s="320"/>
      <c r="H476" s="288"/>
      <c r="I476" s="247"/>
      <c r="J476" s="267">
        <v>0.35</v>
      </c>
      <c r="K476" s="103">
        <v>2.4300000000000002</v>
      </c>
      <c r="L476" s="103">
        <f t="shared" si="35"/>
        <v>2.1199999999999997</v>
      </c>
      <c r="M476" s="103">
        <v>2.04</v>
      </c>
      <c r="N476" s="103">
        <f>N475+0.13</f>
        <v>1.94</v>
      </c>
      <c r="O476" s="103">
        <f>O475+0.12</f>
        <v>1.8500000000000005</v>
      </c>
      <c r="P476" s="103">
        <f t="shared" si="36"/>
        <v>1.7700000000000007</v>
      </c>
      <c r="Q476" s="104">
        <f t="shared" si="37"/>
        <v>1.7000000000000006</v>
      </c>
      <c r="R476" s="267">
        <f t="shared" si="34"/>
        <v>1.9332348639953203</v>
      </c>
      <c r="S476" s="269"/>
      <c r="T476" s="270"/>
      <c r="U476" s="270"/>
      <c r="V476" s="270"/>
      <c r="W476" s="270"/>
      <c r="X476" s="270"/>
      <c r="Y476" s="270"/>
      <c r="Z476" s="270"/>
      <c r="AA476" s="277"/>
      <c r="AB476" s="261"/>
      <c r="AC476" s="261"/>
    </row>
    <row r="477" spans="1:29" x14ac:dyDescent="0.2">
      <c r="A477" s="288"/>
      <c r="B477" s="333" t="str">
        <f>IF(C477&gt;=0.8,"OK","No Cumple")</f>
        <v>No Cumple</v>
      </c>
      <c r="C477" s="334">
        <f>C476/$H$440</f>
        <v>0.77287393000610261</v>
      </c>
      <c r="D477" s="335"/>
      <c r="E477" s="1"/>
      <c r="F477" s="320"/>
      <c r="G477" s="320"/>
      <c r="H477" s="288"/>
      <c r="I477" s="321"/>
      <c r="J477" s="267">
        <v>0.4</v>
      </c>
      <c r="K477" s="103">
        <v>2.76</v>
      </c>
      <c r="L477" s="103">
        <v>2.29</v>
      </c>
      <c r="M477" s="103">
        <v>2.2000000000000002</v>
      </c>
      <c r="N477" s="103">
        <f>N476+0.13</f>
        <v>2.0699999999999998</v>
      </c>
      <c r="O477" s="103">
        <v>1.98</v>
      </c>
      <c r="P477" s="103">
        <f t="shared" si="36"/>
        <v>1.8800000000000008</v>
      </c>
      <c r="Q477" s="104">
        <f t="shared" si="37"/>
        <v>1.8000000000000007</v>
      </c>
      <c r="R477" s="267">
        <f t="shared" si="34"/>
        <v>2.0632348639953202</v>
      </c>
      <c r="S477" s="269"/>
      <c r="T477" s="270"/>
      <c r="U477" s="270"/>
      <c r="V477" s="270"/>
      <c r="W477" s="270"/>
      <c r="X477" s="270"/>
      <c r="Y477" s="270"/>
      <c r="Z477" s="270"/>
      <c r="AA477" s="261"/>
      <c r="AB477" s="261"/>
      <c r="AC477" s="261"/>
    </row>
    <row r="478" spans="1:29" x14ac:dyDescent="0.2">
      <c r="A478" s="288"/>
      <c r="B478" s="320"/>
      <c r="C478" s="1"/>
      <c r="D478" s="1"/>
      <c r="E478" s="1"/>
      <c r="F478" s="320"/>
      <c r="G478" s="320"/>
      <c r="H478" s="288"/>
      <c r="I478" s="247"/>
      <c r="J478" s="267">
        <v>0.45</v>
      </c>
      <c r="K478" s="103">
        <v>3.11</v>
      </c>
      <c r="L478" s="103">
        <v>2.5099999999999998</v>
      </c>
      <c r="M478" s="103">
        <v>2.39</v>
      </c>
      <c r="N478" s="103">
        <v>2.23</v>
      </c>
      <c r="O478" s="103">
        <f>O477+0.12</f>
        <v>2.1</v>
      </c>
      <c r="P478" s="103">
        <f t="shared" si="36"/>
        <v>1.9900000000000009</v>
      </c>
      <c r="Q478" s="104">
        <f t="shared" si="37"/>
        <v>1.9000000000000008</v>
      </c>
      <c r="R478" s="267">
        <f t="shared" si="34"/>
        <v>2.2202281368821293</v>
      </c>
      <c r="S478" s="269"/>
      <c r="T478" s="270"/>
      <c r="U478" s="270"/>
      <c r="V478" s="270"/>
      <c r="W478" s="270"/>
      <c r="X478" s="270"/>
      <c r="Y478" s="270"/>
      <c r="Z478" s="270"/>
      <c r="AA478" s="261"/>
      <c r="AB478" s="261"/>
      <c r="AC478" s="261"/>
    </row>
    <row r="479" spans="1:29" x14ac:dyDescent="0.2">
      <c r="A479" s="288"/>
      <c r="B479" s="5"/>
      <c r="C479" s="1"/>
      <c r="D479" s="1"/>
      <c r="E479" s="1"/>
      <c r="F479" s="102"/>
      <c r="G479" s="47"/>
      <c r="H479" s="341"/>
      <c r="I479" s="5"/>
      <c r="J479" s="267">
        <v>0.5</v>
      </c>
      <c r="K479" s="103">
        <v>3.55</v>
      </c>
      <c r="L479" s="103">
        <v>2.8</v>
      </c>
      <c r="M479" s="103">
        <v>2.61</v>
      </c>
      <c r="N479" s="103">
        <v>2.42</v>
      </c>
      <c r="O479" s="103">
        <v>2.2599999999999998</v>
      </c>
      <c r="P479" s="103">
        <f t="shared" si="36"/>
        <v>2.100000000000001</v>
      </c>
      <c r="Q479" s="104">
        <f t="shared" si="37"/>
        <v>2.0000000000000009</v>
      </c>
      <c r="R479" s="267">
        <f t="shared" si="34"/>
        <v>2.4079730915472357</v>
      </c>
      <c r="S479" s="269"/>
      <c r="T479" s="270"/>
      <c r="U479" s="270"/>
      <c r="V479" s="270"/>
      <c r="W479" s="270"/>
      <c r="X479" s="270"/>
      <c r="Y479" s="270"/>
      <c r="Z479" s="270"/>
      <c r="AA479" s="261"/>
      <c r="AB479" s="261"/>
      <c r="AC479" s="261"/>
    </row>
    <row r="480" spans="1:29" x14ac:dyDescent="0.2">
      <c r="A480" s="288"/>
      <c r="B480" s="5"/>
      <c r="C480" s="5"/>
      <c r="D480" s="5"/>
      <c r="E480" s="5"/>
      <c r="F480" s="169"/>
      <c r="G480" s="47"/>
      <c r="H480" s="167"/>
      <c r="I480" s="1"/>
      <c r="J480" s="267">
        <v>0.55000000000000004</v>
      </c>
      <c r="K480" s="103">
        <v>4.1500000000000004</v>
      </c>
      <c r="L480" s="103">
        <v>3.14</v>
      </c>
      <c r="M480" s="103">
        <v>2.89</v>
      </c>
      <c r="N480" s="103">
        <v>2.67</v>
      </c>
      <c r="O480" s="103">
        <v>2.42</v>
      </c>
      <c r="P480" s="103">
        <v>2.25</v>
      </c>
      <c r="Q480" s="104">
        <v>2.17</v>
      </c>
      <c r="R480" s="267">
        <f t="shared" si="34"/>
        <v>2.6512079555425561</v>
      </c>
      <c r="S480" s="269"/>
      <c r="T480" s="270"/>
      <c r="U480" s="270"/>
      <c r="V480" s="270"/>
      <c r="W480" s="270"/>
      <c r="X480" s="270"/>
      <c r="Y480" s="270"/>
      <c r="Z480" s="270"/>
      <c r="AA480" s="261"/>
      <c r="AB480" s="261"/>
      <c r="AC480" s="261"/>
    </row>
    <row r="481" spans="1:29" ht="15" x14ac:dyDescent="0.25">
      <c r="A481" s="288"/>
      <c r="B481" s="5"/>
      <c r="C481" s="5"/>
      <c r="D481" s="5"/>
      <c r="E481" s="5"/>
      <c r="F481" s="169"/>
      <c r="G481" s="47"/>
      <c r="H481" s="383"/>
      <c r="I481" s="171"/>
      <c r="J481" s="267">
        <v>0.6</v>
      </c>
      <c r="K481" s="103">
        <v>4.96</v>
      </c>
      <c r="L481" s="103">
        <v>3.58</v>
      </c>
      <c r="M481" s="103">
        <v>3.24</v>
      </c>
      <c r="N481" s="103">
        <v>2.92</v>
      </c>
      <c r="O481" s="103">
        <v>2.64</v>
      </c>
      <c r="P481" s="103">
        <v>2.42</v>
      </c>
      <c r="Q481" s="104">
        <v>2.2000000000000002</v>
      </c>
      <c r="R481" s="267">
        <f t="shared" si="34"/>
        <v>2.898952910207663</v>
      </c>
      <c r="S481" s="269"/>
      <c r="T481" s="270"/>
      <c r="U481" s="270"/>
      <c r="V481" s="270"/>
      <c r="W481" s="270"/>
      <c r="X481" s="270"/>
      <c r="Y481" s="270"/>
      <c r="Z481" s="270"/>
      <c r="AA481" s="261"/>
      <c r="AB481" s="261"/>
      <c r="AC481" s="261"/>
    </row>
    <row r="482" spans="1:29" x14ac:dyDescent="0.2">
      <c r="A482" s="306" t="s">
        <v>555</v>
      </c>
      <c r="B482" s="3"/>
      <c r="C482" s="3"/>
      <c r="D482" s="3"/>
      <c r="E482" s="3"/>
      <c r="F482" s="3"/>
      <c r="G482" s="3"/>
      <c r="H482" s="295"/>
      <c r="I482" s="4"/>
      <c r="J482" s="267">
        <v>0.65</v>
      </c>
      <c r="K482" s="103">
        <v>6</v>
      </c>
      <c r="L482" s="103">
        <v>4.34</v>
      </c>
      <c r="M482" s="103">
        <v>3.8</v>
      </c>
      <c r="N482" s="103">
        <v>3.3</v>
      </c>
      <c r="O482" s="103">
        <v>2.95</v>
      </c>
      <c r="P482" s="103">
        <v>2.64</v>
      </c>
      <c r="Q482" s="104">
        <v>2.42</v>
      </c>
      <c r="R482" s="267">
        <f t="shared" si="34"/>
        <v>3.2736911377595783</v>
      </c>
      <c r="S482" s="269"/>
      <c r="T482" s="270"/>
      <c r="U482" s="270"/>
      <c r="V482" s="270"/>
      <c r="W482" s="270"/>
      <c r="X482" s="270"/>
      <c r="Y482" s="270"/>
      <c r="Z482" s="270"/>
      <c r="AA482" s="261"/>
      <c r="AB482" s="261"/>
      <c r="AC482" s="261"/>
    </row>
    <row r="483" spans="1:29" x14ac:dyDescent="0.2">
      <c r="A483" s="295"/>
      <c r="B483" s="3"/>
      <c r="C483" s="3"/>
      <c r="D483" s="3"/>
      <c r="E483" s="3"/>
      <c r="F483" s="3"/>
      <c r="G483" s="3"/>
      <c r="H483" s="295"/>
      <c r="I483" s="4"/>
      <c r="J483" s="267">
        <v>0.7</v>
      </c>
      <c r="K483" s="103">
        <v>7.43</v>
      </c>
      <c r="L483" s="103">
        <v>5.4</v>
      </c>
      <c r="M483" s="103">
        <v>4.25</v>
      </c>
      <c r="N483" s="103">
        <v>3.8</v>
      </c>
      <c r="O483" s="103">
        <v>3.33</v>
      </c>
      <c r="P483" s="103">
        <v>2.95</v>
      </c>
      <c r="Q483" s="104">
        <v>2.54</v>
      </c>
      <c r="R483" s="267">
        <f t="shared" si="34"/>
        <v>3.7646709564200056</v>
      </c>
      <c r="S483" s="269"/>
      <c r="T483" s="270"/>
      <c r="U483" s="270"/>
      <c r="V483" s="270"/>
      <c r="W483" s="270"/>
      <c r="X483" s="270"/>
      <c r="Y483" s="270"/>
      <c r="Z483" s="270"/>
      <c r="AA483" s="261"/>
      <c r="AB483" s="261"/>
      <c r="AC483" s="261"/>
    </row>
    <row r="484" spans="1:29" s="261" customFormat="1" x14ac:dyDescent="0.2">
      <c r="A484" s="295"/>
      <c r="B484" s="4" t="s">
        <v>368</v>
      </c>
      <c r="C484" s="295"/>
      <c r="D484" s="295"/>
      <c r="E484" s="295"/>
      <c r="F484" s="274" t="s">
        <v>647</v>
      </c>
      <c r="G484" s="272" t="s">
        <v>2</v>
      </c>
      <c r="H484" s="285">
        <f>H447*(1+2/3*H104*H106)+H448</f>
        <v>851.1459827447718</v>
      </c>
      <c r="I484" s="4"/>
      <c r="J484" s="296">
        <v>0.75</v>
      </c>
      <c r="K484" s="297">
        <v>9.93</v>
      </c>
      <c r="L484" s="297">
        <v>7.23</v>
      </c>
      <c r="M484" s="297">
        <v>5.97</v>
      </c>
      <c r="N484" s="297">
        <v>4.8099999999999996</v>
      </c>
      <c r="O484" s="297">
        <v>3.93</v>
      </c>
      <c r="P484" s="297">
        <v>3.33</v>
      </c>
      <c r="Q484" s="298">
        <v>2.89</v>
      </c>
      <c r="R484" s="296">
        <f t="shared" si="34"/>
        <v>4.7438520035097973</v>
      </c>
      <c r="S484" s="299"/>
      <c r="T484" s="300"/>
      <c r="U484" s="300"/>
      <c r="V484" s="300"/>
      <c r="W484" s="300"/>
      <c r="X484" s="300"/>
      <c r="Y484" s="300"/>
      <c r="Z484" s="300"/>
      <c r="AA484" s="301"/>
    </row>
    <row r="485" spans="1:29" s="261" customFormat="1" x14ac:dyDescent="0.2">
      <c r="A485" s="3"/>
      <c r="B485" s="4" t="s">
        <v>276</v>
      </c>
      <c r="C485" s="288"/>
      <c r="D485" s="288"/>
      <c r="E485" s="288"/>
      <c r="F485" s="275" t="s">
        <v>649</v>
      </c>
      <c r="G485" s="276" t="s">
        <v>2</v>
      </c>
      <c r="H485" s="273">
        <f>+$H$445/H484</f>
        <v>2.4652186805402545</v>
      </c>
      <c r="I485" s="4" t="s">
        <v>50</v>
      </c>
      <c r="J485" s="296">
        <v>0.8</v>
      </c>
      <c r="K485" s="297">
        <v>13.87</v>
      </c>
      <c r="L485" s="297">
        <v>10.050000000000001</v>
      </c>
      <c r="M485" s="297">
        <v>8.82</v>
      </c>
      <c r="N485" s="297">
        <v>6.53</v>
      </c>
      <c r="O485" s="297">
        <v>4.93</v>
      </c>
      <c r="P485" s="297">
        <v>3.96</v>
      </c>
      <c r="Q485" s="298">
        <v>3.27</v>
      </c>
      <c r="R485" s="296">
        <f t="shared" si="34"/>
        <v>6.4097309154723598</v>
      </c>
      <c r="S485" s="299"/>
      <c r="T485" s="300"/>
      <c r="U485" s="300"/>
      <c r="V485" s="300"/>
      <c r="W485" s="300"/>
      <c r="X485" s="300"/>
      <c r="Y485" s="300"/>
      <c r="Z485" s="300"/>
      <c r="AA485" s="301"/>
    </row>
    <row r="486" spans="1:29" s="261" customFormat="1" x14ac:dyDescent="0.2">
      <c r="A486" s="3"/>
      <c r="B486" s="3"/>
      <c r="C486" s="3"/>
      <c r="D486" s="3"/>
      <c r="E486" s="3"/>
      <c r="F486" s="275" t="s">
        <v>281</v>
      </c>
      <c r="G486" s="276" t="s">
        <v>2</v>
      </c>
      <c r="H486" s="278">
        <f>+H485/$H$437</f>
        <v>0.36051750227263152</v>
      </c>
      <c r="I486" s="4" t="s">
        <v>3</v>
      </c>
      <c r="J486" s="296">
        <v>0.85</v>
      </c>
      <c r="K486" s="297">
        <v>21.08</v>
      </c>
      <c r="L486" s="297">
        <v>15.55</v>
      </c>
      <c r="M486" s="297">
        <v>13.32</v>
      </c>
      <c r="N486" s="297">
        <v>10.43</v>
      </c>
      <c r="O486" s="297">
        <v>7.16</v>
      </c>
      <c r="P486" s="297">
        <v>4.9000000000000004</v>
      </c>
      <c r="Q486" s="298">
        <v>3.77</v>
      </c>
      <c r="R486" s="296">
        <f t="shared" si="34"/>
        <v>10.184200058496636</v>
      </c>
      <c r="S486" s="299"/>
      <c r="T486" s="300"/>
      <c r="U486" s="300"/>
      <c r="V486" s="300"/>
      <c r="W486" s="300"/>
      <c r="X486" s="300"/>
      <c r="Y486" s="300"/>
      <c r="Z486" s="300"/>
      <c r="AA486" s="301"/>
    </row>
    <row r="487" spans="1:29" s="261" customFormat="1" x14ac:dyDescent="0.2">
      <c r="A487" s="3"/>
      <c r="B487" s="584" t="s">
        <v>653</v>
      </c>
      <c r="C487" s="585"/>
      <c r="D487" s="586"/>
      <c r="E487" s="3"/>
      <c r="F487" s="3"/>
      <c r="G487" s="295"/>
      <c r="H487" s="295"/>
      <c r="I487" s="288"/>
      <c r="J487" s="298">
        <v>0.9</v>
      </c>
      <c r="K487" s="297">
        <v>38.25</v>
      </c>
      <c r="L487" s="297">
        <v>30.8</v>
      </c>
      <c r="M487" s="297">
        <v>25.8</v>
      </c>
      <c r="N487" s="297">
        <v>19.850000000000001</v>
      </c>
      <c r="O487" s="297">
        <v>14.6</v>
      </c>
      <c r="P487" s="297">
        <v>7.13</v>
      </c>
      <c r="Q487" s="298">
        <v>4.71</v>
      </c>
      <c r="R487" s="296">
        <f t="shared" si="34"/>
        <v>19.455367066393681</v>
      </c>
      <c r="S487" s="305"/>
      <c r="T487" s="301"/>
      <c r="U487" s="301"/>
      <c r="V487" s="301"/>
      <c r="W487" s="301"/>
      <c r="X487" s="301"/>
      <c r="Y487" s="301"/>
      <c r="Z487" s="301"/>
      <c r="AA487" s="301"/>
    </row>
    <row r="488" spans="1:29" s="261" customFormat="1" ht="13.5" thickBot="1" x14ac:dyDescent="0.25">
      <c r="A488" s="3"/>
      <c r="B488" s="325" t="s">
        <v>367</v>
      </c>
      <c r="C488" s="326">
        <f>lininterp($J$450:$J$464,$R$450:$R$464,H486)</f>
        <v>1.9863823108919318</v>
      </c>
      <c r="D488" s="327"/>
      <c r="E488" s="3"/>
      <c r="F488" s="3"/>
      <c r="G488" s="295"/>
      <c r="H488" s="295"/>
      <c r="I488" s="288"/>
      <c r="J488" s="307">
        <v>0.95</v>
      </c>
      <c r="K488" s="308">
        <v>99.1</v>
      </c>
      <c r="L488" s="308">
        <v>72.72</v>
      </c>
      <c r="M488" s="308">
        <v>62.2</v>
      </c>
      <c r="N488" s="308">
        <v>50.2</v>
      </c>
      <c r="O488" s="308">
        <v>34.6</v>
      </c>
      <c r="P488" s="308">
        <v>19.8</v>
      </c>
      <c r="Q488" s="307">
        <v>6.72</v>
      </c>
      <c r="R488" s="309">
        <f t="shared" si="34"/>
        <v>49.027376425855508</v>
      </c>
      <c r="S488" s="305"/>
      <c r="T488" s="301"/>
      <c r="U488" s="301"/>
      <c r="V488" s="301"/>
      <c r="W488" s="301"/>
      <c r="X488" s="301"/>
      <c r="Y488" s="301"/>
      <c r="Z488" s="301"/>
      <c r="AA488" s="301"/>
    </row>
    <row r="489" spans="1:29" s="261" customFormat="1" x14ac:dyDescent="0.2">
      <c r="A489" s="3"/>
      <c r="B489" s="328" t="s">
        <v>309</v>
      </c>
      <c r="C489" s="326">
        <f>lininterp($J$469:$J$488,$R$469:$R$488,H486)</f>
        <v>1.9605803699041622</v>
      </c>
      <c r="D489" s="327"/>
      <c r="E489" s="3"/>
      <c r="F489" s="241" t="s">
        <v>313</v>
      </c>
      <c r="G489" s="336">
        <f>C493</f>
        <v>0.99809408296771662</v>
      </c>
      <c r="H489" s="288"/>
      <c r="I489" s="290" t="str">
        <f>IF(G489&gt;=0.8,"OK","No Cumple")</f>
        <v>OK</v>
      </c>
      <c r="J489" s="301"/>
      <c r="K489" s="301"/>
      <c r="L489" s="301"/>
      <c r="M489" s="310"/>
      <c r="N489" s="310"/>
      <c r="O489" s="310"/>
      <c r="P489" s="310"/>
      <c r="Q489" s="310"/>
      <c r="R489" s="310"/>
      <c r="S489" s="305"/>
      <c r="T489" s="301"/>
      <c r="U489" s="301"/>
      <c r="V489" s="301"/>
      <c r="W489" s="301"/>
      <c r="X489" s="301"/>
      <c r="Y489" s="301"/>
      <c r="Z489" s="301"/>
      <c r="AA489" s="301"/>
    </row>
    <row r="490" spans="1:29" s="261" customFormat="1" ht="13.5" thickBot="1" x14ac:dyDescent="0.25">
      <c r="A490" s="3"/>
      <c r="B490" s="325" t="s">
        <v>70</v>
      </c>
      <c r="C490" s="326">
        <f>C488*$H$437</f>
        <v>13.58288224187903</v>
      </c>
      <c r="D490" s="327" t="s">
        <v>3</v>
      </c>
      <c r="E490" s="3"/>
      <c r="F490" s="248" t="s">
        <v>311</v>
      </c>
      <c r="G490" s="337">
        <f>C491</f>
        <v>22.746508783539173</v>
      </c>
      <c r="H490" s="288" t="s">
        <v>105</v>
      </c>
      <c r="I490" s="290" t="str">
        <f>IF(G490&lt;=D459,"OK","No Cumple")</f>
        <v>OK</v>
      </c>
      <c r="J490" s="301"/>
      <c r="K490" s="301"/>
      <c r="L490" s="301"/>
      <c r="M490" s="310"/>
      <c r="N490" s="310"/>
      <c r="O490" s="310"/>
      <c r="P490" s="310"/>
      <c r="Q490" s="310"/>
      <c r="R490" s="310"/>
      <c r="S490" s="305"/>
      <c r="T490" s="301"/>
      <c r="U490" s="301"/>
      <c r="V490" s="301"/>
      <c r="W490" s="301"/>
      <c r="X490" s="301"/>
      <c r="Y490" s="301"/>
      <c r="Z490" s="301"/>
      <c r="AA490" s="301"/>
    </row>
    <row r="491" spans="1:29" s="261" customFormat="1" x14ac:dyDescent="0.2">
      <c r="A491" s="3"/>
      <c r="B491" s="328" t="s">
        <v>308</v>
      </c>
      <c r="C491" s="326">
        <f>C489*K500</f>
        <v>22.746508783539173</v>
      </c>
      <c r="D491" s="324" t="s">
        <v>105</v>
      </c>
      <c r="E491" s="3"/>
      <c r="F491" s="288"/>
      <c r="G491" s="288"/>
      <c r="H491" s="288"/>
      <c r="I491" s="323"/>
      <c r="J491" s="311" t="s">
        <v>318</v>
      </c>
      <c r="K491" s="312">
        <f>H468/$H$440</f>
        <v>8.2204714795668803</v>
      </c>
      <c r="L491" s="313" t="s">
        <v>136</v>
      </c>
      <c r="M491" s="310"/>
      <c r="N491" s="310"/>
      <c r="O491" s="310"/>
      <c r="P491" s="310"/>
      <c r="Q491" s="310"/>
      <c r="R491" s="310"/>
      <c r="S491" s="305"/>
      <c r="T491" s="310"/>
      <c r="U491" s="310"/>
      <c r="V491" s="310"/>
      <c r="W491" s="310"/>
      <c r="X491" s="310"/>
      <c r="Y491" s="310"/>
      <c r="Z491" s="310"/>
      <c r="AA491" s="310"/>
    </row>
    <row r="492" spans="1:29" s="261" customFormat="1" ht="13.5" thickBot="1" x14ac:dyDescent="0.25">
      <c r="A492" s="3"/>
      <c r="B492" s="325" t="s">
        <v>310</v>
      </c>
      <c r="C492" s="329">
        <f>MIN(K506,H440)</f>
        <v>73.222648862387118</v>
      </c>
      <c r="D492" s="331" t="s">
        <v>304</v>
      </c>
      <c r="E492" s="3"/>
      <c r="F492" s="288"/>
      <c r="G492" s="288"/>
      <c r="H492" s="288"/>
      <c r="I492" s="247"/>
      <c r="J492" s="314" t="s">
        <v>319</v>
      </c>
      <c r="K492" s="315">
        <f>$H$445/$H$441</f>
        <v>11.149548380246751</v>
      </c>
      <c r="L492" s="316" t="s">
        <v>136</v>
      </c>
      <c r="M492" s="310"/>
      <c r="N492" s="310"/>
      <c r="O492" s="310"/>
      <c r="P492" s="310"/>
      <c r="Q492" s="310"/>
      <c r="R492" s="310"/>
      <c r="S492" s="305"/>
      <c r="T492" s="310"/>
      <c r="U492" s="310"/>
      <c r="V492" s="310"/>
      <c r="W492" s="310"/>
      <c r="X492" s="310"/>
      <c r="Y492" s="310"/>
      <c r="Z492" s="310"/>
      <c r="AA492" s="310"/>
      <c r="AB492" s="277"/>
      <c r="AC492" s="277"/>
    </row>
    <row r="493" spans="1:29" s="261" customFormat="1" x14ac:dyDescent="0.2">
      <c r="A493" s="3"/>
      <c r="B493" s="333" t="str">
        <f>IF(C493&gt;=0.8,"OK","No Cumple")</f>
        <v>OK</v>
      </c>
      <c r="C493" s="334">
        <f>C492/$H$440</f>
        <v>0.99809408296771662</v>
      </c>
      <c r="D493" s="335"/>
      <c r="E493" s="3"/>
      <c r="F493" s="288"/>
      <c r="G493" s="288"/>
      <c r="H493" s="288"/>
      <c r="I493" s="321"/>
      <c r="J493" s="317" t="s">
        <v>302</v>
      </c>
      <c r="K493" s="318">
        <f>IF(ABS((C474-$H$437)/$H$437)&gt;1,0,ACOS((C474-$H$437)/$H$437))</f>
        <v>0.87523970293773068</v>
      </c>
      <c r="L493" s="319" t="s">
        <v>266</v>
      </c>
      <c r="M493" s="310"/>
      <c r="N493" s="310"/>
      <c r="O493" s="310"/>
      <c r="P493" s="310"/>
      <c r="Q493" s="310"/>
      <c r="R493" s="310"/>
      <c r="S493" s="305"/>
      <c r="T493" s="310"/>
      <c r="U493" s="310"/>
      <c r="V493" s="310"/>
      <c r="W493" s="310"/>
      <c r="X493" s="310"/>
      <c r="Y493" s="310"/>
      <c r="Z493" s="310"/>
      <c r="AA493" s="310"/>
      <c r="AB493" s="277"/>
      <c r="AC493" s="277"/>
    </row>
    <row r="494" spans="1:29" s="261" customFormat="1" x14ac:dyDescent="0.2">
      <c r="A494" s="22"/>
      <c r="B494" s="295"/>
      <c r="C494" s="3"/>
      <c r="D494" s="3"/>
      <c r="E494" s="3"/>
      <c r="F494" s="288"/>
      <c r="G494" s="288"/>
      <c r="H494" s="288"/>
      <c r="I494" s="247"/>
      <c r="J494" s="317" t="s">
        <v>257</v>
      </c>
      <c r="K494" s="318">
        <f>IF($H$438=0,0,IF(ABS((C474-$H$437)/$H$438)&gt;1,0,ACOS((C474-$H$437)/$H$438)))</f>
        <v>0.43771865020505607</v>
      </c>
      <c r="L494" s="319" t="s">
        <v>266</v>
      </c>
      <c r="M494" s="310"/>
      <c r="N494" s="310"/>
      <c r="O494" s="310"/>
      <c r="P494" s="310"/>
      <c r="Q494" s="310"/>
      <c r="R494" s="310"/>
      <c r="S494" s="305"/>
      <c r="T494" s="310"/>
      <c r="U494" s="310"/>
      <c r="V494" s="310"/>
      <c r="W494" s="310"/>
      <c r="X494" s="310"/>
      <c r="Y494" s="310"/>
      <c r="Z494" s="310"/>
      <c r="AA494" s="310"/>
      <c r="AB494" s="277"/>
      <c r="AC494" s="277"/>
    </row>
    <row r="495" spans="1:29" s="261" customFormat="1" x14ac:dyDescent="0.2">
      <c r="A495" s="22"/>
      <c r="B495" s="295"/>
      <c r="C495" s="3"/>
      <c r="D495" s="3"/>
      <c r="E495" s="3"/>
      <c r="F495" s="288"/>
      <c r="G495" s="288"/>
      <c r="H495" s="288"/>
      <c r="I495" s="323"/>
      <c r="J495" s="322" t="s">
        <v>320</v>
      </c>
      <c r="K495" s="318">
        <f>$H$437^2*(K493-SIN(K493)*COS(K493))</f>
        <v>17.921944531267815</v>
      </c>
      <c r="L495" s="319" t="s">
        <v>304</v>
      </c>
      <c r="M495" s="310"/>
      <c r="N495" s="310"/>
      <c r="O495" s="310"/>
      <c r="P495" s="310"/>
      <c r="Q495" s="310"/>
      <c r="R495" s="310"/>
      <c r="S495" s="305"/>
      <c r="T495" s="310"/>
      <c r="U495" s="310"/>
      <c r="V495" s="310"/>
      <c r="W495" s="310"/>
      <c r="X495" s="310"/>
      <c r="Y495" s="310"/>
      <c r="Z495" s="310"/>
      <c r="AA495" s="310"/>
      <c r="AB495" s="277"/>
      <c r="AC495" s="277"/>
    </row>
    <row r="496" spans="1:29" s="261" customFormat="1" x14ac:dyDescent="0.2">
      <c r="A496" s="22"/>
      <c r="B496" s="288"/>
      <c r="C496" s="3"/>
      <c r="D496" s="3"/>
      <c r="E496" s="3"/>
      <c r="F496" s="3"/>
      <c r="G496" s="288"/>
      <c r="H496" s="288"/>
      <c r="I496" s="288"/>
      <c r="J496" s="322" t="s">
        <v>321</v>
      </c>
      <c r="K496" s="318">
        <f>IF(C474&gt;=$H$437+$H$438,0,$H$438^2*(K494-SIN(K494)*COS(K494)))</f>
        <v>1.2594146611302797</v>
      </c>
      <c r="L496" s="319" t="s">
        <v>304</v>
      </c>
      <c r="M496" s="310"/>
      <c r="N496" s="310"/>
      <c r="O496" s="310"/>
      <c r="P496" s="310"/>
      <c r="Q496" s="310"/>
      <c r="R496" s="310"/>
      <c r="S496" s="305"/>
      <c r="T496" s="310"/>
      <c r="U496" s="310"/>
      <c r="V496" s="310"/>
      <c r="W496" s="310"/>
      <c r="X496" s="310"/>
      <c r="Y496" s="310"/>
      <c r="Z496" s="310"/>
      <c r="AA496" s="310"/>
      <c r="AB496" s="277"/>
      <c r="AC496" s="277"/>
    </row>
    <row r="497" spans="1:29" s="261" customFormat="1" ht="13.5" thickBot="1" x14ac:dyDescent="0.25">
      <c r="A497" s="22"/>
      <c r="B497" s="295"/>
      <c r="C497" s="3"/>
      <c r="D497" s="3"/>
      <c r="E497" s="3"/>
      <c r="F497" s="3"/>
      <c r="G497" s="295"/>
      <c r="H497" s="288"/>
      <c r="I497" s="288"/>
      <c r="J497" s="330" t="s">
        <v>322</v>
      </c>
      <c r="K497" s="315">
        <f>$H$440-K495+K496</f>
        <v>56.699941776491301</v>
      </c>
      <c r="L497" s="316" t="s">
        <v>304</v>
      </c>
      <c r="M497" s="310"/>
      <c r="N497" s="310"/>
      <c r="O497" s="310"/>
      <c r="P497" s="310"/>
      <c r="Q497" s="310"/>
      <c r="R497" s="310"/>
      <c r="S497" s="305"/>
      <c r="T497" s="310"/>
      <c r="U497" s="310"/>
      <c r="V497" s="310"/>
      <c r="W497" s="310"/>
      <c r="X497" s="310"/>
      <c r="Y497" s="310"/>
      <c r="Z497" s="310"/>
      <c r="AA497" s="310"/>
      <c r="AB497" s="277"/>
      <c r="AC497" s="277"/>
    </row>
    <row r="498" spans="1:29" s="261" customFormat="1" x14ac:dyDescent="0.2">
      <c r="A498" s="3"/>
      <c r="B498" s="3"/>
      <c r="C498" s="3"/>
      <c r="D498" s="3"/>
      <c r="E498" s="3"/>
      <c r="F498" s="3"/>
      <c r="G498" s="3"/>
      <c r="H498" s="3"/>
      <c r="I498" s="3"/>
      <c r="AB498" s="277"/>
      <c r="AC498" s="277"/>
    </row>
    <row r="499" spans="1:29" s="261" customFormat="1" ht="13.5" thickBot="1" x14ac:dyDescent="0.25">
      <c r="A499" s="3"/>
      <c r="B499" s="3"/>
      <c r="C499" s="3"/>
      <c r="D499" s="3"/>
      <c r="E499" s="3"/>
      <c r="F499" s="3"/>
      <c r="G499" s="3"/>
      <c r="H499" s="3"/>
      <c r="I499" s="3"/>
      <c r="AB499" s="277"/>
      <c r="AC499" s="277"/>
    </row>
    <row r="500" spans="1:29" s="261" customFormat="1" x14ac:dyDescent="0.2">
      <c r="A500" s="3"/>
      <c r="B500" s="3"/>
      <c r="C500" s="3"/>
      <c r="D500" s="3"/>
      <c r="E500" s="3"/>
      <c r="F500" s="3"/>
      <c r="G500" s="3"/>
      <c r="H500" s="3"/>
      <c r="I500" s="3"/>
      <c r="J500" s="311" t="s">
        <v>318</v>
      </c>
      <c r="K500" s="312">
        <f>H484/$H$440</f>
        <v>11.601926211599821</v>
      </c>
      <c r="L500" s="313" t="s">
        <v>136</v>
      </c>
      <c r="AB500" s="277"/>
      <c r="AC500" s="277"/>
    </row>
    <row r="501" spans="1:29" s="261" customFormat="1" ht="13.5" thickBot="1" x14ac:dyDescent="0.25">
      <c r="A501" s="3"/>
      <c r="B501" s="3"/>
      <c r="C501" s="3"/>
      <c r="D501" s="3"/>
      <c r="E501" s="3"/>
      <c r="F501" s="3"/>
      <c r="G501" s="3"/>
      <c r="H501" s="3"/>
      <c r="I501" s="3"/>
      <c r="J501" s="314" t="s">
        <v>319</v>
      </c>
      <c r="K501" s="315">
        <f>$H$445/$H$441</f>
        <v>11.149548380246751</v>
      </c>
      <c r="L501" s="316" t="s">
        <v>136</v>
      </c>
      <c r="AB501" s="277"/>
      <c r="AC501" s="277"/>
    </row>
    <row r="502" spans="1:29" s="261" customFormat="1" x14ac:dyDescent="0.2">
      <c r="A502" s="3"/>
      <c r="B502" s="3"/>
      <c r="C502" s="3"/>
      <c r="D502" s="3"/>
      <c r="E502" s="3"/>
      <c r="F502" s="3"/>
      <c r="G502" s="3"/>
      <c r="H502" s="3"/>
      <c r="I502" s="3"/>
      <c r="J502" s="317" t="s">
        <v>302</v>
      </c>
      <c r="K502" s="318">
        <f>IF(ABS((C490-$H$437)/$H$437)&gt;1,0,ACOS((C490-$H$437)/$H$437))</f>
        <v>0.16521930120911188</v>
      </c>
      <c r="L502" s="319" t="s">
        <v>266</v>
      </c>
      <c r="AB502" s="277"/>
      <c r="AC502" s="277"/>
    </row>
    <row r="503" spans="1:29" s="261" customFormat="1" x14ac:dyDescent="0.2">
      <c r="A503" s="1"/>
      <c r="B503" s="1"/>
      <c r="C503" s="1"/>
      <c r="D503" s="1"/>
      <c r="E503" s="1"/>
      <c r="F503" s="1"/>
      <c r="G503" s="1"/>
      <c r="H503" s="1"/>
      <c r="I503" s="4"/>
      <c r="J503" s="317" t="s">
        <v>257</v>
      </c>
      <c r="K503" s="318">
        <f>IF($H$438=0,0,IF(ABS((C490-$H$437)/$H$438)&gt;1,0,ACOS((C490-$H$437)/$H$438)))</f>
        <v>0</v>
      </c>
      <c r="L503" s="319" t="s">
        <v>266</v>
      </c>
      <c r="AB503" s="277"/>
      <c r="AC503" s="277"/>
    </row>
    <row r="504" spans="1:29" ht="15.75" x14ac:dyDescent="0.25">
      <c r="A504" s="117" t="s">
        <v>556</v>
      </c>
      <c r="B504" s="254"/>
      <c r="C504" s="254"/>
      <c r="D504" s="254"/>
      <c r="E504" s="254"/>
      <c r="F504" s="1"/>
      <c r="G504" s="1"/>
      <c r="H504" s="1"/>
      <c r="I504" s="1"/>
      <c r="J504" s="322" t="s">
        <v>320</v>
      </c>
      <c r="K504" s="318">
        <f>$H$437^2*(K502-SIN(K502)*COS(K502))</f>
        <v>0.1398227842417169</v>
      </c>
      <c r="L504" s="319" t="s">
        <v>304</v>
      </c>
    </row>
    <row r="505" spans="1:29" ht="15.75" x14ac:dyDescent="0.25">
      <c r="A505" s="117"/>
      <c r="B505" s="254"/>
      <c r="C505" s="254"/>
      <c r="D505" s="254"/>
      <c r="E505" s="254"/>
      <c r="F505" s="1"/>
      <c r="G505" s="1"/>
      <c r="H505" s="1"/>
      <c r="I505" s="1"/>
      <c r="J505" s="322" t="s">
        <v>321</v>
      </c>
      <c r="K505" s="318">
        <f>IF(C490&gt;=$H$437+$H$438,0,$H$438^2*(K503-SIN(K503)*COS(K503)))</f>
        <v>0</v>
      </c>
      <c r="L505" s="319" t="s">
        <v>304</v>
      </c>
    </row>
    <row r="506" spans="1:29" ht="13.5" thickBot="1" x14ac:dyDescent="0.25">
      <c r="A506" s="169">
        <v>1.5</v>
      </c>
      <c r="B506" s="392" t="s">
        <v>568</v>
      </c>
      <c r="C506" s="254"/>
      <c r="D506" s="254"/>
      <c r="E506" s="254"/>
      <c r="F506" s="391" t="s">
        <v>496</v>
      </c>
      <c r="G506" s="162" t="str">
        <f>IF(J124=2,"No Aplica",IF(H129&gt;=H128,"OK","No Cumple"))</f>
        <v>OK</v>
      </c>
      <c r="H506" s="1"/>
      <c r="I506" s="1"/>
      <c r="J506" s="330" t="s">
        <v>322</v>
      </c>
      <c r="K506" s="315">
        <f>$H$440-K504+K505</f>
        <v>73.222648862387118</v>
      </c>
      <c r="L506" s="316" t="s">
        <v>304</v>
      </c>
    </row>
    <row r="507" spans="1:29" x14ac:dyDescent="0.2">
      <c r="A507" s="169">
        <v>3.2</v>
      </c>
      <c r="B507" s="392" t="s">
        <v>498</v>
      </c>
      <c r="C507" s="254"/>
      <c r="D507" s="254"/>
      <c r="E507" s="254"/>
      <c r="F507" s="391" t="s">
        <v>496</v>
      </c>
      <c r="G507" s="162" t="str">
        <f>G210</f>
        <v>Revancha OK</v>
      </c>
      <c r="H507" s="1"/>
      <c r="I507" s="1"/>
    </row>
    <row r="508" spans="1:29" x14ac:dyDescent="0.2">
      <c r="A508" s="169">
        <v>3.5</v>
      </c>
      <c r="B508" s="5" t="s">
        <v>497</v>
      </c>
      <c r="C508" s="254"/>
      <c r="D508" s="254"/>
      <c r="E508" s="254"/>
      <c r="F508" s="391" t="s">
        <v>496</v>
      </c>
      <c r="G508" s="162" t="str">
        <f>H263</f>
        <v>Anclar Estanque</v>
      </c>
      <c r="H508" s="1"/>
      <c r="I508" s="1"/>
    </row>
    <row r="509" spans="1:29" x14ac:dyDescent="0.2">
      <c r="A509" s="169">
        <v>3.6</v>
      </c>
      <c r="B509" s="393" t="s">
        <v>499</v>
      </c>
      <c r="C509" s="254"/>
      <c r="D509" s="254"/>
      <c r="F509" s="391" t="s">
        <v>496</v>
      </c>
      <c r="G509" s="162" t="str">
        <f>H268</f>
        <v>No desliza Estanque</v>
      </c>
      <c r="H509" s="1"/>
      <c r="I509" s="1"/>
    </row>
    <row r="510" spans="1:29" x14ac:dyDescent="0.2">
      <c r="A510" s="169">
        <v>3.7</v>
      </c>
      <c r="B510" s="393" t="s">
        <v>500</v>
      </c>
      <c r="C510" s="254"/>
      <c r="D510" s="254"/>
      <c r="E510" s="254"/>
      <c r="F510" s="258" t="s">
        <v>501</v>
      </c>
      <c r="G510" s="344">
        <f>H274</f>
        <v>0.57608998819446366</v>
      </c>
      <c r="H510" s="162" t="str">
        <f>IF(ROUND(G510,2)&lt;=1,"OK","No Cumple")</f>
        <v>OK</v>
      </c>
      <c r="I510" s="1"/>
    </row>
    <row r="511" spans="1:29" x14ac:dyDescent="0.2">
      <c r="A511" s="413" t="s">
        <v>560</v>
      </c>
      <c r="B511" s="393" t="str">
        <f>IF(J313=TRUE,"- Verificación pernos (Interacción Tracción y Corte)","- Verificación pernos")</f>
        <v>- Verificación pernos</v>
      </c>
      <c r="C511" s="254"/>
      <c r="D511" s="254"/>
      <c r="E511" s="254"/>
      <c r="F511" s="258" t="s">
        <v>501</v>
      </c>
      <c r="G511" s="344">
        <f>IF(J313=TRUE,MAX(H305,H310),H305)</f>
        <v>0.72557290154498555</v>
      </c>
      <c r="H511" s="162" t="str">
        <f>IF(G511="-","Falla Perno",IF(ROUND(G511,2)&lt;=1,"OK","No Cumple"))</f>
        <v>OK</v>
      </c>
      <c r="I511" s="1"/>
    </row>
    <row r="512" spans="1:29" x14ac:dyDescent="0.2">
      <c r="A512" s="413" t="s">
        <v>575</v>
      </c>
      <c r="B512" s="5" t="str">
        <f>"- Verificación placa superior de silla de anclaje"</f>
        <v>- Verificación placa superior de silla de anclaje</v>
      </c>
      <c r="C512" s="254"/>
      <c r="D512" s="254"/>
      <c r="E512" s="254"/>
      <c r="F512" s="258" t="s">
        <v>501</v>
      </c>
      <c r="G512" s="344">
        <f>H336</f>
        <v>0.74027851808153522</v>
      </c>
      <c r="H512" s="162" t="str">
        <f>IF(G512="-","Falla Soporte Pernos",IF(ROUND(G512,2)&lt;=1,"OK","No Cumple"))</f>
        <v>OK</v>
      </c>
      <c r="I512" s="1"/>
    </row>
    <row r="513" spans="1:29" x14ac:dyDescent="0.2">
      <c r="A513" s="169">
        <v>6.2</v>
      </c>
      <c r="B513" s="393" t="s">
        <v>502</v>
      </c>
      <c r="C513" s="254"/>
      <c r="D513" s="254"/>
      <c r="E513" s="254"/>
      <c r="F513" s="258" t="s">
        <v>501</v>
      </c>
      <c r="G513" s="344">
        <f>H346</f>
        <v>0.43592450388732068</v>
      </c>
      <c r="H513" s="162" t="str">
        <f>IF(G513="-","ANCLAR",IF(ROUND(G513,2)&lt;=1,"OK","No Cumple"))</f>
        <v>OK</v>
      </c>
      <c r="I513" s="1"/>
    </row>
    <row r="514" spans="1:29" x14ac:dyDescent="0.2">
      <c r="A514" s="169">
        <v>6.4</v>
      </c>
      <c r="B514" s="393" t="s">
        <v>503</v>
      </c>
      <c r="C514" s="254"/>
      <c r="D514" s="254"/>
      <c r="E514" s="254"/>
      <c r="F514" s="258" t="s">
        <v>501</v>
      </c>
      <c r="G514" s="344">
        <f>H364</f>
        <v>0.45662832224843364</v>
      </c>
      <c r="H514" s="162" t="str">
        <f>IF(ROUND(G514,2)&lt;=1,"OK","No Cumple")</f>
        <v>OK</v>
      </c>
      <c r="I514" s="1"/>
    </row>
    <row r="515" spans="1:29" x14ac:dyDescent="0.2">
      <c r="A515" s="169">
        <v>6.4</v>
      </c>
      <c r="B515" s="393" t="s">
        <v>569</v>
      </c>
      <c r="C515" s="254"/>
      <c r="D515" s="254"/>
      <c r="E515" s="254"/>
      <c r="F515" s="391" t="s">
        <v>496</v>
      </c>
      <c r="G515" s="162" t="str">
        <f>IF(H328/10&gt;=H357,"OK","No Cumple")</f>
        <v>OK</v>
      </c>
      <c r="H515" s="162"/>
      <c r="I515" s="1"/>
    </row>
    <row r="516" spans="1:29" x14ac:dyDescent="0.2">
      <c r="A516" s="169">
        <v>7.1</v>
      </c>
      <c r="B516" s="393" t="s">
        <v>665</v>
      </c>
      <c r="C516" s="254"/>
      <c r="D516" s="254"/>
      <c r="E516" s="254"/>
      <c r="F516" s="258" t="s">
        <v>501</v>
      </c>
      <c r="G516" s="344">
        <f>MAX(H387,H396,H403,H407)</f>
        <v>1.472989362400474</v>
      </c>
      <c r="H516" s="162" t="str">
        <f>IF(ROUND(G516,2)&lt;=1,"OK","No Cumple")</f>
        <v>No Cumple</v>
      </c>
      <c r="I516" s="1"/>
    </row>
    <row r="517" spans="1:29" s="261" customFormat="1" x14ac:dyDescent="0.2">
      <c r="A517" s="413" t="s">
        <v>561</v>
      </c>
      <c r="B517" s="393" t="s">
        <v>557</v>
      </c>
      <c r="C517" s="254"/>
      <c r="D517" s="254"/>
      <c r="E517" s="254"/>
      <c r="F517" s="258" t="s">
        <v>558</v>
      </c>
      <c r="G517" s="412">
        <f>MIN(C477,C493)</f>
        <v>0.77287393000610261</v>
      </c>
      <c r="H517" s="162" t="str">
        <f>IF(ROUND(G517,2)&gt;=0.8,"&gt;=80%, Cumple","&lt;80%, No Cumple")</f>
        <v>&lt;80%, No Cumple</v>
      </c>
      <c r="I517" s="1"/>
      <c r="AB517" s="277"/>
      <c r="AC517" s="277"/>
    </row>
    <row r="518" spans="1:29" s="261" customFormat="1" x14ac:dyDescent="0.2">
      <c r="A518" s="413" t="s">
        <v>561</v>
      </c>
      <c r="B518" s="393" t="s">
        <v>559</v>
      </c>
      <c r="C518" s="1"/>
      <c r="D518" s="1"/>
      <c r="E518" s="1"/>
      <c r="F518" s="258" t="s">
        <v>501</v>
      </c>
      <c r="G518" s="344">
        <f>MAX(G474/D459,G490/D459)</f>
        <v>0.75821695945130574</v>
      </c>
      <c r="H518" s="162" t="str">
        <f>IF(ROUND(G518,2)&lt;=1,"OK","No Cumple")</f>
        <v>OK</v>
      </c>
      <c r="I518" s="1"/>
      <c r="AB518" s="277"/>
      <c r="AC518" s="277"/>
    </row>
    <row r="519" spans="1:29" s="261" customFormat="1" x14ac:dyDescent="0.2">
      <c r="A519" s="3"/>
      <c r="B519" s="3"/>
      <c r="C519" s="3"/>
      <c r="D519" s="3"/>
      <c r="E519" s="3"/>
      <c r="F519" s="3"/>
      <c r="G519" s="3"/>
      <c r="H519" s="3"/>
      <c r="I519" s="3"/>
      <c r="AB519" s="277"/>
      <c r="AC519" s="277"/>
    </row>
    <row r="520" spans="1:29" s="261" customFormat="1" x14ac:dyDescent="0.2">
      <c r="A520" s="1"/>
      <c r="B520" s="1"/>
      <c r="C520" s="1"/>
      <c r="D520" s="1"/>
      <c r="E520" s="1"/>
      <c r="F520" s="1"/>
      <c r="G520" s="1"/>
      <c r="H520" s="1"/>
      <c r="I520" s="1"/>
      <c r="AB520" s="277"/>
      <c r="AC520" s="277"/>
    </row>
    <row r="521" spans="1:29" s="261" customFormat="1" x14ac:dyDescent="0.2">
      <c r="A521" s="1"/>
      <c r="B521" s="1"/>
      <c r="C521" s="1"/>
      <c r="D521" s="1"/>
      <c r="E521" s="1"/>
      <c r="F521" s="1"/>
      <c r="G521" s="1"/>
      <c r="H521" s="1"/>
      <c r="I521" s="1"/>
      <c r="AB521" s="277"/>
      <c r="AC521" s="277"/>
    </row>
    <row r="522" spans="1:29" s="261" customFormat="1" x14ac:dyDescent="0.2">
      <c r="A522" s="1"/>
      <c r="B522" s="1"/>
      <c r="C522" s="1"/>
      <c r="D522" s="1"/>
      <c r="E522" s="1"/>
      <c r="F522" s="1"/>
      <c r="G522" s="1"/>
      <c r="H522" s="1"/>
      <c r="I522" s="1"/>
      <c r="AB522" s="277"/>
      <c r="AC522" s="277"/>
    </row>
    <row r="523" spans="1:29" s="261" customFormat="1" x14ac:dyDescent="0.2">
      <c r="A523" s="15"/>
      <c r="B523" s="15"/>
      <c r="C523" s="15"/>
      <c r="D523" s="15"/>
      <c r="E523" s="15"/>
      <c r="F523" s="15"/>
      <c r="G523" s="15"/>
      <c r="H523" s="15"/>
      <c r="I523" s="15"/>
    </row>
    <row r="524" spans="1:29" s="261" customFormat="1" x14ac:dyDescent="0.2">
      <c r="A524" s="15"/>
      <c r="B524" s="15"/>
      <c r="C524" s="15"/>
      <c r="D524" s="15"/>
      <c r="E524" s="15"/>
      <c r="F524" s="15"/>
      <c r="G524" s="15"/>
      <c r="H524" s="15"/>
      <c r="I524" s="15"/>
    </row>
    <row r="525" spans="1:29" s="261" customFormat="1" x14ac:dyDescent="0.2">
      <c r="A525" s="15"/>
      <c r="B525" s="15"/>
      <c r="C525" s="15"/>
      <c r="D525" s="15"/>
      <c r="E525" s="15"/>
      <c r="F525" s="15"/>
      <c r="G525" s="15"/>
      <c r="H525" s="15"/>
      <c r="I525" s="15"/>
    </row>
    <row r="526" spans="1:29" s="261" customFormat="1" x14ac:dyDescent="0.2">
      <c r="A526" s="15"/>
      <c r="B526" s="15"/>
      <c r="C526" s="15"/>
      <c r="D526" s="15"/>
      <c r="E526" s="15"/>
      <c r="F526" s="15"/>
      <c r="G526" s="15"/>
      <c r="H526" s="15"/>
      <c r="I526" s="15"/>
    </row>
    <row r="527" spans="1:29" s="261" customFormat="1" x14ac:dyDescent="0.2">
      <c r="A527" s="15"/>
      <c r="B527" s="15"/>
      <c r="C527" s="15"/>
      <c r="D527" s="15"/>
      <c r="E527" s="15"/>
      <c r="F527" s="15"/>
      <c r="G527" s="15"/>
      <c r="H527" s="15"/>
      <c r="I527" s="15"/>
    </row>
    <row r="528" spans="1:29" s="261" customFormat="1" x14ac:dyDescent="0.2">
      <c r="A528" s="15"/>
      <c r="B528" s="15"/>
      <c r="C528" s="15"/>
      <c r="D528" s="15"/>
      <c r="E528" s="15"/>
      <c r="F528" s="15"/>
      <c r="G528" s="15"/>
      <c r="H528" s="15"/>
      <c r="I528" s="15"/>
    </row>
    <row r="529" spans="1:19" s="261" customFormat="1" x14ac:dyDescent="0.2">
      <c r="A529" s="15"/>
      <c r="B529" s="15"/>
      <c r="C529" s="15"/>
      <c r="D529" s="15"/>
      <c r="E529" s="15"/>
      <c r="F529" s="15"/>
      <c r="G529" s="15"/>
      <c r="H529" s="15"/>
      <c r="I529" s="15"/>
    </row>
    <row r="530" spans="1:19" s="301" customFormat="1" ht="12.75" customHeight="1" x14ac:dyDescent="0.2">
      <c r="A530" s="15"/>
      <c r="B530" s="15"/>
      <c r="C530" s="15"/>
      <c r="D530" s="15"/>
      <c r="E530" s="15"/>
      <c r="F530" s="15"/>
      <c r="G530" s="15"/>
      <c r="H530" s="15"/>
      <c r="I530" s="15"/>
    </row>
    <row r="531" spans="1:19" s="301" customFormat="1" ht="12.75" customHeight="1" x14ac:dyDescent="0.2">
      <c r="A531" s="15"/>
      <c r="B531" s="15"/>
      <c r="C531" s="15"/>
      <c r="D531" s="15"/>
      <c r="E531" s="15"/>
      <c r="F531" s="15"/>
      <c r="G531" s="15"/>
      <c r="H531" s="15"/>
      <c r="I531" s="15"/>
    </row>
    <row r="532" spans="1:19" s="301" customFormat="1" ht="12.75" customHeight="1" x14ac:dyDescent="0.2">
      <c r="A532" s="15"/>
      <c r="B532" s="15"/>
      <c r="C532" s="15"/>
      <c r="D532" s="15"/>
      <c r="E532" s="15"/>
      <c r="F532" s="15"/>
      <c r="G532" s="15"/>
      <c r="H532" s="15"/>
      <c r="I532" s="15"/>
    </row>
    <row r="533" spans="1:19" s="301" customFormat="1" ht="12.75" customHeight="1" x14ac:dyDescent="0.2">
      <c r="A533" s="15"/>
      <c r="B533" s="15"/>
      <c r="C533" s="15"/>
      <c r="D533" s="15"/>
      <c r="E533" s="15"/>
      <c r="F533" s="15"/>
      <c r="G533" s="15"/>
      <c r="H533" s="15"/>
      <c r="I533" s="15"/>
    </row>
    <row r="534" spans="1:19" s="301" customFormat="1" ht="12.75" customHeight="1" x14ac:dyDescent="0.2">
      <c r="A534" s="1"/>
      <c r="B534" s="1"/>
      <c r="C534" s="1"/>
      <c r="D534" s="1"/>
      <c r="E534" s="1"/>
      <c r="F534" s="1"/>
      <c r="G534" s="1"/>
      <c r="H534" s="1"/>
      <c r="I534" s="15"/>
    </row>
    <row r="535" spans="1:19" s="301" customFormat="1" ht="12.75" customHeight="1" x14ac:dyDescent="0.2">
      <c r="A535" s="1"/>
      <c r="B535" s="1"/>
      <c r="C535" s="1"/>
      <c r="D535" s="1"/>
      <c r="E535" s="1"/>
      <c r="F535" s="1"/>
      <c r="G535" s="1"/>
      <c r="H535" s="1"/>
      <c r="I535" s="1"/>
    </row>
    <row r="536" spans="1:19" s="301" customFormat="1" ht="12.75" customHeight="1" x14ac:dyDescent="0.2">
      <c r="A536" s="1"/>
      <c r="B536" s="1"/>
      <c r="C536" s="1"/>
      <c r="D536" s="1"/>
      <c r="E536" s="1"/>
      <c r="F536" s="1"/>
      <c r="G536" s="1"/>
      <c r="H536" s="1"/>
      <c r="I536" s="1"/>
    </row>
    <row r="537" spans="1:19" s="310" customFormat="1" ht="12.75" customHeight="1" x14ac:dyDescent="0.2">
      <c r="A537" s="1"/>
      <c r="B537" s="1"/>
      <c r="C537" s="1"/>
      <c r="D537" s="1"/>
      <c r="E537" s="1"/>
      <c r="F537" s="1"/>
      <c r="G537" s="1"/>
      <c r="H537" s="1"/>
      <c r="I537" s="1"/>
    </row>
    <row r="538" spans="1:19" s="310" customFormat="1" ht="12.75" customHeight="1" x14ac:dyDescent="0.2">
      <c r="A538" s="1"/>
      <c r="B538" s="1"/>
      <c r="C538" s="1"/>
      <c r="D538" s="1"/>
      <c r="E538" s="1"/>
      <c r="F538" s="1"/>
      <c r="G538" s="1"/>
      <c r="H538" s="1"/>
      <c r="I538" s="1"/>
    </row>
    <row r="539" spans="1:19" s="310" customFormat="1" ht="12.75" customHeight="1" x14ac:dyDescent="0.2">
      <c r="A539" s="1"/>
      <c r="B539" s="1"/>
      <c r="C539" s="1"/>
      <c r="D539" s="1"/>
      <c r="E539" s="1"/>
      <c r="F539" s="1"/>
      <c r="G539" s="1"/>
      <c r="H539" s="1"/>
      <c r="I539" s="1"/>
    </row>
    <row r="540" spans="1:19" s="310" customFormat="1" ht="12.75" customHeight="1" x14ac:dyDescent="0.2">
      <c r="A540" s="1"/>
      <c r="B540" s="1"/>
      <c r="C540" s="1"/>
      <c r="D540" s="1"/>
      <c r="E540" s="1"/>
      <c r="F540" s="1"/>
      <c r="G540" s="1"/>
      <c r="H540" s="1"/>
      <c r="I540" s="1"/>
    </row>
    <row r="541" spans="1:19" s="310" customFormat="1" ht="12.75" customHeight="1" x14ac:dyDescent="0.2">
      <c r="A541" s="1"/>
      <c r="B541" s="1"/>
      <c r="C541" s="1"/>
      <c r="D541" s="1"/>
      <c r="E541" s="1"/>
      <c r="F541" s="1"/>
      <c r="G541" s="1"/>
      <c r="H541" s="1"/>
      <c r="I541" s="1"/>
    </row>
    <row r="542" spans="1:19" s="310" customFormat="1" ht="12.75" customHeight="1" x14ac:dyDescent="0.2">
      <c r="A542" s="1"/>
      <c r="B542" s="1"/>
      <c r="C542" s="1"/>
      <c r="D542" s="1"/>
      <c r="E542" s="1"/>
      <c r="F542" s="1"/>
      <c r="G542" s="1"/>
      <c r="H542" s="1"/>
      <c r="I542" s="1"/>
    </row>
    <row r="543" spans="1:19" s="310" customFormat="1" ht="12.75" customHeight="1" x14ac:dyDescent="0.2">
      <c r="A543" s="1"/>
      <c r="B543" s="1"/>
      <c r="C543" s="1"/>
      <c r="D543" s="1"/>
      <c r="E543" s="1"/>
      <c r="F543" s="1"/>
      <c r="G543" s="1"/>
      <c r="H543" s="1"/>
      <c r="I543" s="1"/>
    </row>
    <row r="544" spans="1:19" s="310" customFormat="1" ht="12.75" customHeight="1" x14ac:dyDescent="0.2">
      <c r="A544" s="1"/>
      <c r="B544" s="1"/>
      <c r="C544" s="1"/>
      <c r="D544" s="1"/>
      <c r="E544" s="1"/>
      <c r="F544" s="1"/>
      <c r="G544" s="1"/>
      <c r="H544" s="1"/>
      <c r="I544" s="1"/>
      <c r="S544" s="305"/>
    </row>
    <row r="545" spans="1:19" s="310" customFormat="1" ht="12.75" customHeight="1" x14ac:dyDescent="0.2">
      <c r="A545" s="1"/>
      <c r="B545" s="1"/>
      <c r="C545" s="1"/>
      <c r="D545" s="1"/>
      <c r="E545" s="1"/>
      <c r="F545" s="1"/>
      <c r="G545" s="1"/>
      <c r="H545" s="1"/>
      <c r="I545" s="1"/>
      <c r="S545" s="305"/>
    </row>
    <row r="546" spans="1:19" s="301" customFormat="1" ht="12.75" customHeight="1" x14ac:dyDescent="0.2">
      <c r="A546" s="1"/>
      <c r="B546" s="1"/>
      <c r="C546" s="1"/>
      <c r="D546" s="1"/>
      <c r="E546" s="1"/>
      <c r="F546" s="1"/>
      <c r="G546" s="1"/>
      <c r="H546" s="1"/>
      <c r="I546" s="1"/>
      <c r="J546" s="310"/>
      <c r="K546" s="332"/>
      <c r="L546" s="310"/>
      <c r="M546" s="310"/>
      <c r="N546" s="310"/>
      <c r="O546" s="310"/>
      <c r="P546" s="310"/>
      <c r="Q546" s="310"/>
      <c r="R546" s="310"/>
      <c r="S546" s="305"/>
    </row>
    <row r="547" spans="1:19" s="301" customFormat="1" ht="12.75" customHeight="1" x14ac:dyDescent="0.2">
      <c r="A547" s="1"/>
      <c r="B547" s="1"/>
      <c r="C547" s="1"/>
      <c r="D547" s="1"/>
      <c r="E547" s="1"/>
      <c r="F547" s="1"/>
      <c r="G547" s="1"/>
      <c r="H547" s="1"/>
      <c r="I547" s="1"/>
      <c r="J547" s="310"/>
      <c r="K547" s="310"/>
      <c r="L547" s="310"/>
      <c r="M547" s="310"/>
      <c r="N547" s="310"/>
      <c r="O547" s="310"/>
      <c r="P547" s="310"/>
      <c r="Q547" s="310"/>
      <c r="R547" s="310"/>
      <c r="S547" s="305"/>
    </row>
    <row r="548" spans="1:19" s="301" customFormat="1" ht="12.75" customHeight="1" x14ac:dyDescent="0.2">
      <c r="A548" s="1"/>
      <c r="B548" s="1"/>
      <c r="C548" s="1"/>
      <c r="D548" s="1"/>
      <c r="E548" s="1"/>
      <c r="F548" s="1"/>
      <c r="G548" s="1"/>
      <c r="H548" s="1"/>
      <c r="I548" s="1"/>
      <c r="J548" s="310"/>
      <c r="K548" s="310"/>
      <c r="L548" s="310"/>
      <c r="M548" s="310"/>
      <c r="N548" s="310"/>
      <c r="O548" s="310"/>
      <c r="P548" s="310"/>
      <c r="Q548" s="310"/>
      <c r="R548" s="310"/>
      <c r="S548" s="305"/>
    </row>
    <row r="549" spans="1:19" s="261" customFormat="1" x14ac:dyDescent="0.2">
      <c r="A549" s="1"/>
      <c r="B549" s="1"/>
      <c r="C549" s="1"/>
      <c r="D549" s="1"/>
      <c r="E549" s="1"/>
      <c r="F549" s="1"/>
      <c r="G549" s="1"/>
      <c r="H549" s="1"/>
      <c r="I549" s="1"/>
      <c r="J549" s="277"/>
      <c r="K549" s="277"/>
      <c r="L549" s="277"/>
      <c r="M549" s="277"/>
      <c r="N549" s="277"/>
      <c r="O549" s="277"/>
      <c r="P549" s="277"/>
      <c r="Q549" s="277"/>
      <c r="R549" s="277"/>
      <c r="S549" s="338"/>
    </row>
    <row r="550" spans="1:19" s="261" customFormat="1" x14ac:dyDescent="0.2">
      <c r="A550" s="1"/>
      <c r="B550" s="1"/>
      <c r="C550" s="1"/>
      <c r="D550" s="1"/>
      <c r="E550" s="1"/>
      <c r="F550" s="1"/>
      <c r="G550" s="1"/>
      <c r="H550" s="1"/>
      <c r="I550" s="1"/>
      <c r="J550" s="277"/>
      <c r="K550" s="277"/>
      <c r="L550" s="277"/>
      <c r="M550" s="277"/>
      <c r="N550" s="277"/>
      <c r="O550" s="277"/>
      <c r="P550" s="277"/>
      <c r="Q550" s="277"/>
      <c r="R550" s="277"/>
      <c r="S550" s="338"/>
    </row>
    <row r="551" spans="1:19" s="261" customFormat="1" x14ac:dyDescent="0.2">
      <c r="A551" s="1"/>
      <c r="B551" s="1"/>
      <c r="C551" s="1"/>
      <c r="D551" s="1"/>
      <c r="E551" s="1"/>
      <c r="F551" s="1"/>
      <c r="G551" s="1"/>
      <c r="H551" s="1"/>
      <c r="I551" s="1"/>
      <c r="J551" s="277"/>
      <c r="K551" s="277"/>
      <c r="L551" s="277"/>
      <c r="M551" s="277"/>
      <c r="N551" s="277"/>
      <c r="O551" s="277"/>
      <c r="P551" s="277"/>
      <c r="Q551" s="277"/>
      <c r="R551" s="277"/>
      <c r="S551" s="338"/>
    </row>
    <row r="552" spans="1:19" s="261" customFormat="1" x14ac:dyDescent="0.2">
      <c r="A552" s="1"/>
      <c r="B552" s="1"/>
      <c r="C552" s="1"/>
      <c r="D552" s="1"/>
      <c r="E552" s="1"/>
      <c r="F552" s="1"/>
      <c r="G552" s="1"/>
      <c r="H552" s="1"/>
      <c r="I552" s="1"/>
      <c r="J552" s="277"/>
      <c r="K552" s="277"/>
      <c r="L552" s="277"/>
      <c r="M552" s="277"/>
      <c r="N552" s="277"/>
      <c r="O552" s="277"/>
      <c r="P552" s="277"/>
      <c r="Q552" s="277"/>
      <c r="R552" s="277"/>
      <c r="S552" s="338"/>
    </row>
    <row r="553" spans="1:19" s="261" customFormat="1" x14ac:dyDescent="0.2">
      <c r="A553" s="1"/>
      <c r="B553" s="1"/>
      <c r="C553" s="1"/>
      <c r="D553" s="1"/>
      <c r="E553" s="1"/>
      <c r="F553" s="1"/>
      <c r="G553" s="1"/>
      <c r="H553" s="1"/>
      <c r="I553" s="1"/>
      <c r="J553" s="277"/>
      <c r="K553" s="277"/>
      <c r="L553" s="277"/>
      <c r="M553" s="277"/>
      <c r="N553" s="277"/>
      <c r="O553" s="277"/>
      <c r="P553" s="277"/>
      <c r="Q553" s="277"/>
      <c r="R553" s="277"/>
      <c r="S553" s="338"/>
    </row>
    <row r="554" spans="1:19" s="261" customFormat="1" x14ac:dyDescent="0.2">
      <c r="A554" s="1"/>
      <c r="B554" s="1"/>
      <c r="C554" s="1"/>
      <c r="D554" s="1"/>
      <c r="E554" s="1"/>
      <c r="F554" s="1"/>
      <c r="G554" s="1"/>
      <c r="H554" s="1"/>
      <c r="I554" s="1"/>
      <c r="J554" s="277"/>
      <c r="K554" s="277"/>
      <c r="L554" s="277"/>
      <c r="M554" s="277"/>
      <c r="N554" s="277"/>
      <c r="O554" s="277"/>
      <c r="P554" s="277"/>
      <c r="Q554" s="277"/>
      <c r="R554" s="277"/>
      <c r="S554" s="338"/>
    </row>
    <row r="555" spans="1:19" s="261" customFormat="1" x14ac:dyDescent="0.2">
      <c r="A555" s="1"/>
      <c r="B555" s="1"/>
      <c r="C555" s="1"/>
      <c r="D555" s="1"/>
      <c r="E555" s="1"/>
      <c r="F555" s="1"/>
      <c r="G555" s="1"/>
      <c r="H555" s="1"/>
      <c r="I555" s="1"/>
      <c r="J555" s="277"/>
      <c r="K555" s="277"/>
      <c r="L555" s="277"/>
      <c r="M555" s="277"/>
      <c r="N555" s="277"/>
      <c r="O555" s="277"/>
      <c r="P555" s="277"/>
      <c r="Q555" s="277"/>
      <c r="R555" s="277"/>
      <c r="S555" s="338"/>
    </row>
    <row r="556" spans="1:19" s="261" customFormat="1" x14ac:dyDescent="0.2">
      <c r="A556" s="1"/>
      <c r="B556" s="1"/>
      <c r="C556" s="1"/>
      <c r="D556" s="1"/>
      <c r="E556" s="1"/>
      <c r="F556" s="1"/>
      <c r="G556" s="1"/>
      <c r="H556" s="1"/>
      <c r="I556" s="1"/>
      <c r="J556" s="277"/>
      <c r="K556" s="277"/>
      <c r="L556" s="277"/>
      <c r="M556" s="277"/>
      <c r="N556" s="277"/>
      <c r="O556" s="277"/>
      <c r="P556" s="277"/>
      <c r="Q556" s="277"/>
      <c r="R556" s="277"/>
      <c r="S556" s="338"/>
    </row>
    <row r="557" spans="1:19" s="261" customFormat="1" x14ac:dyDescent="0.2">
      <c r="A557" s="1"/>
      <c r="B557" s="1"/>
      <c r="C557" s="1"/>
      <c r="D557" s="1"/>
      <c r="E557" s="1"/>
      <c r="F557" s="1"/>
      <c r="G557" s="1"/>
      <c r="H557" s="1"/>
      <c r="I557" s="1"/>
      <c r="J557" s="301"/>
      <c r="K557" s="301"/>
      <c r="L557" s="301"/>
      <c r="M557" s="277"/>
      <c r="N557" s="277"/>
      <c r="O557" s="277"/>
      <c r="P557" s="277"/>
      <c r="Q557" s="277"/>
      <c r="R557" s="277"/>
      <c r="S557" s="338"/>
    </row>
    <row r="558" spans="1:19" s="261" customFormat="1" x14ac:dyDescent="0.2">
      <c r="A558" s="1"/>
      <c r="B558" s="1"/>
      <c r="C558" s="1"/>
      <c r="D558" s="1"/>
      <c r="E558" s="1"/>
      <c r="F558" s="1"/>
      <c r="G558" s="1"/>
      <c r="H558" s="1"/>
      <c r="I558" s="1"/>
      <c r="M558" s="277"/>
      <c r="N558" s="277"/>
      <c r="O558" s="277"/>
      <c r="P558" s="277"/>
      <c r="Q558" s="277"/>
      <c r="R558" s="277"/>
      <c r="S558" s="338"/>
    </row>
    <row r="559" spans="1:19" s="261" customFormat="1" x14ac:dyDescent="0.2">
      <c r="A559" s="1"/>
      <c r="B559" s="1"/>
      <c r="C559" s="1"/>
      <c r="D559" s="1"/>
      <c r="E559" s="1"/>
      <c r="F559" s="1"/>
      <c r="G559" s="1"/>
      <c r="H559" s="1"/>
      <c r="I559" s="1"/>
      <c r="M559" s="277"/>
      <c r="N559" s="277"/>
      <c r="O559" s="277"/>
      <c r="P559" s="277"/>
      <c r="Q559" s="277"/>
      <c r="R559" s="277"/>
      <c r="S559" s="338"/>
    </row>
    <row r="560" spans="1:19" s="261" customFormat="1" x14ac:dyDescent="0.2">
      <c r="A560" s="1"/>
      <c r="B560" s="1"/>
      <c r="C560" s="1"/>
      <c r="D560" s="1"/>
      <c r="E560" s="1"/>
      <c r="F560" s="1"/>
      <c r="G560" s="1"/>
      <c r="H560" s="1"/>
      <c r="I560" s="1"/>
      <c r="M560" s="277"/>
      <c r="N560" s="277"/>
      <c r="O560" s="277"/>
      <c r="P560" s="277"/>
      <c r="Q560" s="277"/>
      <c r="R560" s="277"/>
      <c r="S560" s="338"/>
    </row>
    <row r="561" spans="1:64" s="261" customFormat="1" x14ac:dyDescent="0.2">
      <c r="A561" s="15"/>
      <c r="B561" s="15"/>
      <c r="C561" s="15"/>
      <c r="D561" s="15"/>
      <c r="E561" s="15"/>
      <c r="F561" s="15"/>
      <c r="G561" s="15"/>
      <c r="H561" s="15"/>
      <c r="I561" s="1"/>
      <c r="M561" s="277"/>
      <c r="N561" s="277"/>
      <c r="O561" s="277"/>
      <c r="P561" s="277"/>
      <c r="Q561" s="277"/>
      <c r="R561" s="277"/>
      <c r="S561" s="338"/>
    </row>
    <row r="562" spans="1:64" s="261" customFormat="1" x14ac:dyDescent="0.2">
      <c r="A562" s="15"/>
      <c r="B562" s="15"/>
      <c r="C562" s="15"/>
      <c r="D562" s="15"/>
      <c r="E562" s="15"/>
      <c r="F562" s="15"/>
      <c r="G562" s="15"/>
      <c r="H562" s="15"/>
      <c r="I562" s="15"/>
      <c r="M562" s="277"/>
      <c r="N562" s="277"/>
      <c r="O562" s="277"/>
      <c r="P562" s="277"/>
      <c r="Q562" s="277"/>
      <c r="R562" s="277"/>
      <c r="S562" s="338"/>
    </row>
    <row r="563" spans="1:64" s="261" customFormat="1" x14ac:dyDescent="0.2">
      <c r="A563" s="15"/>
      <c r="B563" s="15"/>
      <c r="C563" s="15"/>
      <c r="D563" s="15"/>
      <c r="E563" s="15"/>
      <c r="F563" s="15"/>
      <c r="G563" s="15"/>
      <c r="H563" s="15"/>
      <c r="I563" s="15"/>
      <c r="M563" s="277"/>
      <c r="N563" s="277"/>
      <c r="O563" s="277"/>
      <c r="P563" s="277"/>
      <c r="Q563" s="277"/>
      <c r="R563" s="277"/>
      <c r="S563" s="338"/>
    </row>
    <row r="564" spans="1:64" s="261" customFormat="1" x14ac:dyDescent="0.2">
      <c r="A564" s="15"/>
      <c r="B564" s="15"/>
      <c r="C564" s="15"/>
      <c r="D564" s="15"/>
      <c r="E564" s="15"/>
      <c r="F564" s="15"/>
      <c r="G564" s="15"/>
      <c r="H564" s="15"/>
      <c r="I564" s="15"/>
      <c r="M564" s="277"/>
      <c r="N564" s="277"/>
      <c r="O564" s="277"/>
      <c r="P564" s="277"/>
      <c r="Q564" s="277"/>
      <c r="R564" s="277"/>
      <c r="S564" s="338"/>
    </row>
    <row r="565" spans="1:64" s="261" customFormat="1" x14ac:dyDescent="0.2">
      <c r="A565" s="15"/>
      <c r="B565" s="15"/>
      <c r="C565" s="15"/>
      <c r="D565" s="15"/>
      <c r="E565" s="15"/>
      <c r="F565" s="15"/>
      <c r="G565" s="15"/>
      <c r="H565" s="15"/>
      <c r="I565" s="15"/>
      <c r="J565" s="310"/>
      <c r="K565" s="310"/>
      <c r="L565" s="310"/>
      <c r="M565" s="277"/>
      <c r="N565" s="277"/>
      <c r="O565" s="277"/>
      <c r="P565" s="277"/>
      <c r="Q565" s="277"/>
      <c r="R565" s="277"/>
      <c r="S565" s="338"/>
    </row>
    <row r="566" spans="1:64" s="261" customFormat="1" x14ac:dyDescent="0.2">
      <c r="A566" s="15"/>
      <c r="B566" s="15"/>
      <c r="C566" s="15"/>
      <c r="D566" s="15"/>
      <c r="E566" s="15"/>
      <c r="F566" s="15"/>
      <c r="G566" s="15"/>
      <c r="H566" s="15"/>
      <c r="I566" s="15"/>
      <c r="J566" s="310"/>
      <c r="K566" s="310"/>
      <c r="L566" s="310"/>
      <c r="M566" s="277"/>
      <c r="N566" s="277"/>
      <c r="O566" s="277"/>
      <c r="P566" s="277"/>
      <c r="Q566" s="277"/>
      <c r="R566" s="277"/>
      <c r="S566" s="338"/>
    </row>
    <row r="567" spans="1:64" s="166" customFormat="1" x14ac:dyDescent="0.2">
      <c r="A567" s="15"/>
      <c r="B567" s="15"/>
      <c r="C567" s="15"/>
      <c r="D567" s="15"/>
      <c r="E567" s="15"/>
      <c r="F567" s="15"/>
      <c r="G567" s="15"/>
      <c r="H567" s="15"/>
      <c r="I567" s="15"/>
      <c r="J567" s="310"/>
      <c r="K567" s="332"/>
      <c r="L567" s="310"/>
      <c r="M567" s="81"/>
      <c r="N567" s="81"/>
      <c r="O567" s="81"/>
      <c r="P567" s="81"/>
      <c r="Q567" s="81"/>
      <c r="R567" s="81"/>
      <c r="S567" s="269"/>
      <c r="T567" s="270"/>
      <c r="U567" s="270"/>
      <c r="V567" s="270"/>
      <c r="W567" s="270"/>
      <c r="X567" s="270"/>
      <c r="Y567" s="270"/>
      <c r="Z567" s="270"/>
      <c r="AA567" s="270"/>
      <c r="AB567" s="270"/>
      <c r="AC567" s="270"/>
      <c r="AD567" s="270"/>
      <c r="AE567" s="270"/>
      <c r="AF567" s="270"/>
      <c r="AG567" s="270"/>
      <c r="AH567" s="270"/>
      <c r="AI567" s="270"/>
      <c r="AJ567" s="270"/>
      <c r="AK567" s="270"/>
      <c r="AL567" s="270"/>
      <c r="AM567" s="270"/>
      <c r="AN567" s="270"/>
      <c r="AO567" s="270"/>
      <c r="AP567" s="270"/>
      <c r="AQ567" s="270"/>
      <c r="AR567" s="270"/>
      <c r="AS567" s="270"/>
      <c r="AT567" s="270"/>
      <c r="AU567" s="270"/>
      <c r="AV567" s="270"/>
      <c r="AW567" s="270"/>
      <c r="AX567" s="270"/>
      <c r="AY567" s="270"/>
      <c r="AZ567" s="270"/>
      <c r="BA567" s="270"/>
      <c r="BB567" s="270"/>
      <c r="BC567" s="270"/>
      <c r="BD567" s="270"/>
      <c r="BE567" s="270"/>
      <c r="BF567" s="270"/>
      <c r="BG567" s="22"/>
      <c r="BH567" s="22"/>
      <c r="BI567" s="22"/>
      <c r="BJ567" s="22"/>
      <c r="BK567" s="22"/>
      <c r="BL567" s="22"/>
    </row>
    <row r="568" spans="1:64" s="166" customFormat="1" x14ac:dyDescent="0.2">
      <c r="A568" s="15"/>
      <c r="B568" s="15"/>
      <c r="C568" s="15"/>
      <c r="D568" s="15"/>
      <c r="E568" s="15"/>
      <c r="F568" s="15"/>
      <c r="G568" s="15"/>
      <c r="H568" s="15"/>
      <c r="I568" s="15"/>
      <c r="J568" s="310"/>
      <c r="K568" s="310"/>
      <c r="L568" s="310"/>
      <c r="M568" s="81"/>
      <c r="N568" s="81"/>
      <c r="O568" s="81"/>
      <c r="P568" s="81"/>
      <c r="Q568" s="81"/>
      <c r="R568" s="81"/>
      <c r="S568" s="269"/>
      <c r="T568" s="270"/>
      <c r="U568" s="270"/>
      <c r="V568" s="270"/>
      <c r="W568" s="270"/>
      <c r="X568" s="270"/>
      <c r="Y568" s="270"/>
      <c r="Z568" s="270"/>
      <c r="AA568" s="270"/>
      <c r="AB568" s="270"/>
      <c r="AC568" s="270"/>
      <c r="AD568" s="270"/>
      <c r="AE568" s="270"/>
      <c r="AF568" s="270"/>
      <c r="AG568" s="270"/>
      <c r="AH568" s="270"/>
      <c r="AI568" s="270"/>
      <c r="AJ568" s="270"/>
      <c r="AK568" s="270"/>
      <c r="AL568" s="270"/>
      <c r="AM568" s="270"/>
      <c r="AN568" s="270"/>
      <c r="AO568" s="270"/>
      <c r="AP568" s="270"/>
      <c r="AQ568" s="270"/>
      <c r="AR568" s="270"/>
      <c r="AS568" s="270"/>
      <c r="AT568" s="270"/>
      <c r="AU568" s="270"/>
      <c r="AV568" s="270"/>
      <c r="AW568" s="270"/>
      <c r="AX568" s="270"/>
      <c r="AY568" s="270"/>
      <c r="AZ568" s="270"/>
      <c r="BA568" s="270"/>
      <c r="BB568" s="270"/>
      <c r="BC568" s="270"/>
      <c r="BD568" s="270"/>
      <c r="BE568" s="270"/>
      <c r="BF568" s="270"/>
      <c r="BG568" s="22"/>
      <c r="BH568" s="22"/>
      <c r="BI568" s="22"/>
      <c r="BJ568" s="22"/>
      <c r="BK568" s="22"/>
      <c r="BL568" s="22"/>
    </row>
    <row r="569" spans="1:64" s="166" customFormat="1" x14ac:dyDescent="0.2">
      <c r="A569" s="15"/>
      <c r="B569" s="15"/>
      <c r="C569" s="15"/>
      <c r="D569" s="15"/>
      <c r="E569" s="15"/>
      <c r="F569" s="15"/>
      <c r="G569" s="15"/>
      <c r="H569" s="15"/>
      <c r="I569" s="15"/>
      <c r="J569" s="310"/>
      <c r="K569" s="310"/>
      <c r="L569" s="310"/>
      <c r="M569" s="81"/>
      <c r="N569" s="81"/>
      <c r="O569" s="81"/>
      <c r="P569" s="81"/>
      <c r="Q569" s="81"/>
      <c r="R569" s="81"/>
      <c r="S569" s="269"/>
      <c r="T569" s="270"/>
      <c r="U569" s="270"/>
      <c r="V569" s="270"/>
      <c r="W569" s="270"/>
      <c r="X569" s="270"/>
      <c r="Y569" s="270"/>
      <c r="Z569" s="270"/>
      <c r="AA569" s="270"/>
      <c r="AB569" s="270"/>
      <c r="AC569" s="270"/>
      <c r="AD569" s="270"/>
      <c r="AE569" s="270"/>
      <c r="AF569" s="270"/>
      <c r="AG569" s="270"/>
      <c r="AH569" s="270"/>
      <c r="AI569" s="270"/>
      <c r="AJ569" s="270"/>
      <c r="AK569" s="270"/>
      <c r="AL569" s="270"/>
      <c r="AM569" s="270"/>
      <c r="AN569" s="270"/>
      <c r="AO569" s="270"/>
      <c r="AP569" s="270"/>
      <c r="AQ569" s="270"/>
      <c r="AR569" s="270"/>
      <c r="AS569" s="270"/>
      <c r="AT569" s="270"/>
      <c r="AU569" s="270"/>
      <c r="AV569" s="270"/>
      <c r="AW569" s="270"/>
      <c r="AX569" s="270"/>
      <c r="AY569" s="270"/>
      <c r="AZ569" s="270"/>
      <c r="BA569" s="270"/>
      <c r="BB569" s="270"/>
      <c r="BC569" s="270"/>
      <c r="BD569" s="270"/>
      <c r="BE569" s="270"/>
      <c r="BF569" s="270"/>
      <c r="BG569" s="22"/>
      <c r="BH569" s="22"/>
      <c r="BI569" s="22"/>
      <c r="BJ569" s="22"/>
      <c r="BK569" s="22"/>
      <c r="BL569" s="22"/>
    </row>
    <row r="570" spans="1:64" s="166" customFormat="1" x14ac:dyDescent="0.2">
      <c r="A570" s="15"/>
      <c r="B570" s="15"/>
      <c r="C570" s="15"/>
      <c r="D570" s="15"/>
      <c r="E570" s="15"/>
      <c r="F570" s="15"/>
      <c r="G570" s="15"/>
      <c r="H570" s="15"/>
      <c r="I570" s="15"/>
      <c r="J570" s="277"/>
      <c r="K570" s="277"/>
      <c r="L570" s="277"/>
      <c r="M570" s="81"/>
      <c r="N570" s="81"/>
      <c r="O570" s="81"/>
      <c r="P570" s="81"/>
      <c r="Q570" s="81"/>
      <c r="R570" s="81"/>
      <c r="S570" s="269"/>
      <c r="T570" s="270"/>
      <c r="U570" s="270"/>
      <c r="V570" s="270"/>
      <c r="W570" s="270"/>
      <c r="X570" s="270"/>
      <c r="Y570" s="270"/>
      <c r="Z570" s="270"/>
      <c r="AA570" s="270"/>
      <c r="AB570" s="270"/>
      <c r="AC570" s="270"/>
      <c r="AD570" s="270"/>
      <c r="AE570" s="270"/>
      <c r="AF570" s="270"/>
      <c r="AG570" s="270"/>
      <c r="AH570" s="270"/>
      <c r="AI570" s="270"/>
      <c r="AJ570" s="270"/>
      <c r="AK570" s="270"/>
      <c r="AL570" s="270"/>
      <c r="AM570" s="270"/>
      <c r="AN570" s="270"/>
      <c r="AO570" s="270"/>
      <c r="AP570" s="270"/>
      <c r="AQ570" s="270"/>
      <c r="AR570" s="270"/>
      <c r="AS570" s="270"/>
      <c r="AT570" s="270"/>
      <c r="AU570" s="270"/>
      <c r="AV570" s="270"/>
      <c r="AW570" s="270"/>
      <c r="AX570" s="270"/>
      <c r="AY570" s="270"/>
      <c r="AZ570" s="270"/>
      <c r="BA570" s="270"/>
      <c r="BB570" s="270"/>
      <c r="BC570" s="270"/>
      <c r="BD570" s="270"/>
      <c r="BE570" s="270"/>
      <c r="BF570" s="270"/>
      <c r="BG570" s="22"/>
      <c r="BH570" s="22"/>
      <c r="BI570" s="22"/>
      <c r="BJ570" s="22"/>
      <c r="BK570" s="22"/>
      <c r="BL570" s="22"/>
    </row>
  </sheetData>
  <sheetProtection algorithmName="SHA-512" hashValue="BT0qd2rIjjyw30F57M62Q0YYP/9YEz9xVe43hK8czGsCbFIlcryQ9JNCrydUIP9k6QaS6ukoJJzAKdo+7z+K2g==" saltValue="nP65LK/NbehZzHi3orOn/g==" spinCount="100000" sheet="1" objects="1" scenarios="1" formatCells="0"/>
  <mergeCells count="44">
    <mergeCell ref="B487:D487"/>
    <mergeCell ref="S290:U290"/>
    <mergeCell ref="E337:F337"/>
    <mergeCell ref="B471:D471"/>
    <mergeCell ref="C175:D175"/>
    <mergeCell ref="C176:D176"/>
    <mergeCell ref="C177:D177"/>
    <mergeCell ref="C178:D178"/>
    <mergeCell ref="H263:I263"/>
    <mergeCell ref="H268:I268"/>
    <mergeCell ref="C174:D174"/>
    <mergeCell ref="E49:I49"/>
    <mergeCell ref="A81:I81"/>
    <mergeCell ref="O77:S77"/>
    <mergeCell ref="B155:B157"/>
    <mergeCell ref="C155:G155"/>
    <mergeCell ref="D156:F156"/>
    <mergeCell ref="B154:C154"/>
    <mergeCell ref="C171:D171"/>
    <mergeCell ref="E171:H171"/>
    <mergeCell ref="C172:D172"/>
    <mergeCell ref="F172:G172"/>
    <mergeCell ref="C173:D173"/>
    <mergeCell ref="A34:C34"/>
    <mergeCell ref="A27:I27"/>
    <mergeCell ref="E43:I43"/>
    <mergeCell ref="E44:I44"/>
    <mergeCell ref="E45:I45"/>
    <mergeCell ref="A26:I26"/>
    <mergeCell ref="A28:I28"/>
    <mergeCell ref="A29:I29"/>
    <mergeCell ref="U77:Y77"/>
    <mergeCell ref="O78:S78"/>
    <mergeCell ref="U78:Y78"/>
    <mergeCell ref="E36:I36"/>
    <mergeCell ref="E37:I37"/>
    <mergeCell ref="E38:I38"/>
    <mergeCell ref="E39:I39"/>
    <mergeCell ref="E40:I40"/>
    <mergeCell ref="E41:I41"/>
    <mergeCell ref="E42:I42"/>
    <mergeCell ref="E48:I48"/>
    <mergeCell ref="E46:I46"/>
    <mergeCell ref="E47:I47"/>
  </mergeCells>
  <phoneticPr fontId="30" type="noConversion"/>
  <conditionalFormatting sqref="E151">
    <cfRule type="expression" dxfId="3" priority="1" stopIfTrue="1">
      <formula>$K$149=FALSE</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11" manualBreakCount="11">
    <brk id="32" max="16383" man="1"/>
    <brk id="80" max="8" man="1"/>
    <brk id="132" max="8" man="1"/>
    <brk id="183" max="8" man="1"/>
    <brk id="236" max="8" man="1"/>
    <brk id="289" max="8" man="1"/>
    <brk id="337" max="8" man="1"/>
    <brk id="378" max="8" man="1"/>
    <brk id="408" max="8" man="1"/>
    <brk id="464" max="8" man="1"/>
    <brk id="502" max="8" man="1"/>
  </rowBreaks>
  <drawing r:id="rId2"/>
  <legacyDrawing r:id="rId3"/>
  <oleObjects>
    <mc:AlternateContent xmlns:mc="http://schemas.openxmlformats.org/markup-compatibility/2006">
      <mc:Choice Requires="x14">
        <oleObject progId="Equation.3" shapeId="15397" r:id="rId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5397" r:id="rId4"/>
      </mc:Fallback>
    </mc:AlternateContent>
    <mc:AlternateContent xmlns:mc="http://schemas.openxmlformats.org/markup-compatibility/2006">
      <mc:Choice Requires="x14">
        <oleObject progId="Equation.3" shapeId="15398" r:id="rId6">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5398" r:id="rId6"/>
      </mc:Fallback>
    </mc:AlternateContent>
    <mc:AlternateContent xmlns:mc="http://schemas.openxmlformats.org/markup-compatibility/2006">
      <mc:Choice Requires="x14">
        <oleObject progId="Equation.3" shapeId="15399" r:id="rId8">
          <objectPr defaultSize="0" autoPict="0" r:id="rId9">
            <anchor moveWithCells="1" sizeWithCells="1">
              <from>
                <xdr:col>5</xdr:col>
                <xdr:colOff>57150</xdr:colOff>
                <xdr:row>210</xdr:row>
                <xdr:rowOff>95250</xdr:rowOff>
              </from>
              <to>
                <xdr:col>8</xdr:col>
                <xdr:colOff>57150</xdr:colOff>
                <xdr:row>212</xdr:row>
                <xdr:rowOff>152400</xdr:rowOff>
              </to>
            </anchor>
          </objectPr>
        </oleObject>
      </mc:Choice>
      <mc:Fallback>
        <oleObject progId="Equation.3" shapeId="15399" r:id="rId8"/>
      </mc:Fallback>
    </mc:AlternateContent>
    <mc:AlternateContent xmlns:mc="http://schemas.openxmlformats.org/markup-compatibility/2006">
      <mc:Choice Requires="x14">
        <oleObject progId="Equation.3" shapeId="15400" r:id="rId10">
          <objectPr defaultSize="0" autoPict="0" r:id="rId11">
            <anchor moveWithCells="1" sizeWithCells="1">
              <from>
                <xdr:col>1</xdr:col>
                <xdr:colOff>438150</xdr:colOff>
                <xdr:row>232</xdr:row>
                <xdr:rowOff>0</xdr:rowOff>
              </from>
              <to>
                <xdr:col>2</xdr:col>
                <xdr:colOff>428625</xdr:colOff>
                <xdr:row>233</xdr:row>
                <xdr:rowOff>0</xdr:rowOff>
              </to>
            </anchor>
          </objectPr>
        </oleObject>
      </mc:Choice>
      <mc:Fallback>
        <oleObject progId="Equation.3" shapeId="15400" r:id="rId10"/>
      </mc:Fallback>
    </mc:AlternateContent>
    <mc:AlternateContent xmlns:mc="http://schemas.openxmlformats.org/markup-compatibility/2006">
      <mc:Choice Requires="x14">
        <oleObject progId="Equation.3" shapeId="15401" r:id="rId12">
          <objectPr defaultSize="0" autoPict="0" r:id="rId13">
            <anchor moveWithCells="1" sizeWithCells="1">
              <from>
                <xdr:col>4</xdr:col>
                <xdr:colOff>0</xdr:colOff>
                <xdr:row>249</xdr:row>
                <xdr:rowOff>133350</xdr:rowOff>
              </from>
              <to>
                <xdr:col>7</xdr:col>
                <xdr:colOff>552450</xdr:colOff>
                <xdr:row>250</xdr:row>
                <xdr:rowOff>142875</xdr:rowOff>
              </to>
            </anchor>
          </objectPr>
        </oleObject>
      </mc:Choice>
      <mc:Fallback>
        <oleObject progId="Equation.3" shapeId="15401" r:id="rId12"/>
      </mc:Fallback>
    </mc:AlternateContent>
    <mc:AlternateContent xmlns:mc="http://schemas.openxmlformats.org/markup-compatibility/2006">
      <mc:Choice Requires="x14">
        <oleObject progId="Equation.3" shapeId="15402" r:id="rId14">
          <objectPr defaultSize="0" autoPict="0" r:id="rId15">
            <anchor moveWithCells="1" sizeWithCells="1">
              <from>
                <xdr:col>4</xdr:col>
                <xdr:colOff>47625</xdr:colOff>
                <xdr:row>250</xdr:row>
                <xdr:rowOff>114300</xdr:rowOff>
              </from>
              <to>
                <xdr:col>6</xdr:col>
                <xdr:colOff>628650</xdr:colOff>
                <xdr:row>252</xdr:row>
                <xdr:rowOff>0</xdr:rowOff>
              </to>
            </anchor>
          </objectPr>
        </oleObject>
      </mc:Choice>
      <mc:Fallback>
        <oleObject progId="Equation.3" shapeId="15402" r:id="rId14"/>
      </mc:Fallback>
    </mc:AlternateContent>
    <mc:AlternateContent xmlns:mc="http://schemas.openxmlformats.org/markup-compatibility/2006">
      <mc:Choice Requires="x14">
        <oleObject progId="Equation.3" shapeId="15403" r:id="rId16">
          <objectPr defaultSize="0" autoPict="0" r:id="rId17">
            <anchor moveWithCells="1" sizeWithCells="1">
              <from>
                <xdr:col>1</xdr:col>
                <xdr:colOff>247650</xdr:colOff>
                <xdr:row>210</xdr:row>
                <xdr:rowOff>142875</xdr:rowOff>
              </from>
              <to>
                <xdr:col>2</xdr:col>
                <xdr:colOff>600075</xdr:colOff>
                <xdr:row>214</xdr:row>
                <xdr:rowOff>104775</xdr:rowOff>
              </to>
            </anchor>
          </objectPr>
        </oleObject>
      </mc:Choice>
      <mc:Fallback>
        <oleObject progId="Equation.3" shapeId="15403" r:id="rId16"/>
      </mc:Fallback>
    </mc:AlternateContent>
    <mc:AlternateContent xmlns:mc="http://schemas.openxmlformats.org/markup-compatibility/2006">
      <mc:Choice Requires="x14">
        <oleObject progId="Equation.3" shapeId="15404" r:id="rId18">
          <objectPr defaultSize="0" autoPict="0" r:id="rId19">
            <anchor moveWithCells="1" sizeWithCells="1">
              <from>
                <xdr:col>1</xdr:col>
                <xdr:colOff>219075</xdr:colOff>
                <xdr:row>215</xdr:row>
                <xdr:rowOff>38100</xdr:rowOff>
              </from>
              <to>
                <xdr:col>3</xdr:col>
                <xdr:colOff>485775</xdr:colOff>
                <xdr:row>217</xdr:row>
                <xdr:rowOff>95250</xdr:rowOff>
              </to>
            </anchor>
          </objectPr>
        </oleObject>
      </mc:Choice>
      <mc:Fallback>
        <oleObject progId="Equation.3" shapeId="15404" r:id="rId18"/>
      </mc:Fallback>
    </mc:AlternateContent>
    <mc:AlternateContent xmlns:mc="http://schemas.openxmlformats.org/markup-compatibility/2006">
      <mc:Choice Requires="x14">
        <oleObject progId="Equation.3" shapeId="15405" r:id="rId20">
          <objectPr defaultSize="0" autoPict="0" r:id="rId21">
            <anchor moveWithCells="1" sizeWithCells="1">
              <from>
                <xdr:col>1</xdr:col>
                <xdr:colOff>142875</xdr:colOff>
                <xdr:row>218</xdr:row>
                <xdr:rowOff>85725</xdr:rowOff>
              </from>
              <to>
                <xdr:col>3</xdr:col>
                <xdr:colOff>400050</xdr:colOff>
                <xdr:row>222</xdr:row>
                <xdr:rowOff>47625</xdr:rowOff>
              </to>
            </anchor>
          </objectPr>
        </oleObject>
      </mc:Choice>
      <mc:Fallback>
        <oleObject progId="Equation.3" shapeId="15405" r:id="rId20"/>
      </mc:Fallback>
    </mc:AlternateContent>
    <mc:AlternateContent xmlns:mc="http://schemas.openxmlformats.org/markup-compatibility/2006">
      <mc:Choice Requires="x14">
        <oleObject progId="Equation.3" shapeId="15406" r:id="rId22">
          <objectPr defaultSize="0" autoPict="0" r:id="rId23">
            <anchor moveWithCells="1" sizeWithCells="1">
              <from>
                <xdr:col>1</xdr:col>
                <xdr:colOff>142875</xdr:colOff>
                <xdr:row>223</xdr:row>
                <xdr:rowOff>9525</xdr:rowOff>
              </from>
              <to>
                <xdr:col>3</xdr:col>
                <xdr:colOff>257175</xdr:colOff>
                <xdr:row>227</xdr:row>
                <xdr:rowOff>0</xdr:rowOff>
              </to>
            </anchor>
          </objectPr>
        </oleObject>
      </mc:Choice>
      <mc:Fallback>
        <oleObject progId="Equation.3" shapeId="15406" r:id="rId22"/>
      </mc:Fallback>
    </mc:AlternateContent>
    <mc:AlternateContent xmlns:mc="http://schemas.openxmlformats.org/markup-compatibility/2006">
      <mc:Choice Requires="x14">
        <oleObject progId="Equation.3" shapeId="15407" r:id="rId24">
          <objectPr defaultSize="0" autoPict="0" r:id="rId25">
            <anchor moveWithCells="1" sizeWithCells="1">
              <from>
                <xdr:col>5</xdr:col>
                <xdr:colOff>133350</xdr:colOff>
                <xdr:row>213</xdr:row>
                <xdr:rowOff>123825</xdr:rowOff>
              </from>
              <to>
                <xdr:col>7</xdr:col>
                <xdr:colOff>676275</xdr:colOff>
                <xdr:row>216</xdr:row>
                <xdr:rowOff>38100</xdr:rowOff>
              </to>
            </anchor>
          </objectPr>
        </oleObject>
      </mc:Choice>
      <mc:Fallback>
        <oleObject progId="Equation.3" shapeId="15407" r:id="rId24"/>
      </mc:Fallback>
    </mc:AlternateContent>
    <mc:AlternateContent xmlns:mc="http://schemas.openxmlformats.org/markup-compatibility/2006">
      <mc:Choice Requires="x14">
        <oleObject progId="Equation.3" shapeId="15408" r:id="rId26">
          <objectPr defaultSize="0" autoPict="0" r:id="rId27">
            <anchor moveWithCells="1" sizeWithCells="1">
              <from>
                <xdr:col>1</xdr:col>
                <xdr:colOff>104775</xdr:colOff>
                <xdr:row>228</xdr:row>
                <xdr:rowOff>85725</xdr:rowOff>
              </from>
              <to>
                <xdr:col>3</xdr:col>
                <xdr:colOff>304800</xdr:colOff>
                <xdr:row>231</xdr:row>
                <xdr:rowOff>47625</xdr:rowOff>
              </to>
            </anchor>
          </objectPr>
        </oleObject>
      </mc:Choice>
      <mc:Fallback>
        <oleObject progId="Equation.3" shapeId="15408" r:id="rId26"/>
      </mc:Fallback>
    </mc:AlternateContent>
    <mc:AlternateContent xmlns:mc="http://schemas.openxmlformats.org/markup-compatibility/2006">
      <mc:Choice Requires="x14">
        <oleObject progId="Equation.3" shapeId="15409" r:id="rId28">
          <objectPr defaultSize="0" autoPict="0" r:id="rId29">
            <anchor moveWithCells="1" sizeWithCells="1">
              <from>
                <xdr:col>4</xdr:col>
                <xdr:colOff>95250</xdr:colOff>
                <xdr:row>255</xdr:row>
                <xdr:rowOff>123825</xdr:rowOff>
              </from>
              <to>
                <xdr:col>5</xdr:col>
                <xdr:colOff>371475</xdr:colOff>
                <xdr:row>257</xdr:row>
                <xdr:rowOff>142875</xdr:rowOff>
              </to>
            </anchor>
          </objectPr>
        </oleObject>
      </mc:Choice>
      <mc:Fallback>
        <oleObject progId="Equation.3" shapeId="15409" r:id="rId28"/>
      </mc:Fallback>
    </mc:AlternateContent>
    <mc:AlternateContent xmlns:mc="http://schemas.openxmlformats.org/markup-compatibility/2006">
      <mc:Choice Requires="x14">
        <oleObject progId="Equation.3" shapeId="15410" r:id="rId30">
          <objectPr defaultSize="0" autoPict="0" r:id="rId31">
            <anchor moveWithCells="1" sizeWithCells="1">
              <from>
                <xdr:col>4</xdr:col>
                <xdr:colOff>104775</xdr:colOff>
                <xdr:row>258</xdr:row>
                <xdr:rowOff>0</xdr:rowOff>
              </from>
              <to>
                <xdr:col>7</xdr:col>
                <xdr:colOff>314325</xdr:colOff>
                <xdr:row>259</xdr:row>
                <xdr:rowOff>47625</xdr:rowOff>
              </to>
            </anchor>
          </objectPr>
        </oleObject>
      </mc:Choice>
      <mc:Fallback>
        <oleObject progId="Equation.3" shapeId="15410" r:id="rId30"/>
      </mc:Fallback>
    </mc:AlternateContent>
    <mc:AlternateContent xmlns:mc="http://schemas.openxmlformats.org/markup-compatibility/2006">
      <mc:Choice Requires="x14">
        <oleObject progId="Equation.3" shapeId="15411" r:id="rId32">
          <objectPr defaultSize="0" autoPict="0" r:id="rId33">
            <anchor moveWithCells="1" sizeWithCells="1">
              <from>
                <xdr:col>5</xdr:col>
                <xdr:colOff>219075</xdr:colOff>
                <xdr:row>277</xdr:row>
                <xdr:rowOff>85725</xdr:rowOff>
              </from>
              <to>
                <xdr:col>8</xdr:col>
                <xdr:colOff>514350</xdr:colOff>
                <xdr:row>281</xdr:row>
                <xdr:rowOff>85725</xdr:rowOff>
              </to>
            </anchor>
          </objectPr>
        </oleObject>
      </mc:Choice>
      <mc:Fallback>
        <oleObject progId="Equation.3" shapeId="15411" r:id="rId32"/>
      </mc:Fallback>
    </mc:AlternateContent>
    <mc:AlternateContent xmlns:mc="http://schemas.openxmlformats.org/markup-compatibility/2006">
      <mc:Choice Requires="x14">
        <oleObject progId="Equation.3" shapeId="15412" r:id="rId34">
          <objectPr defaultSize="0" autoPict="0" r:id="rId35">
            <anchor moveWithCells="1" sizeWithCells="1">
              <from>
                <xdr:col>0</xdr:col>
                <xdr:colOff>371475</xdr:colOff>
                <xdr:row>273</xdr:row>
                <xdr:rowOff>57150</xdr:rowOff>
              </from>
              <to>
                <xdr:col>4</xdr:col>
                <xdr:colOff>619125</xdr:colOff>
                <xdr:row>279</xdr:row>
                <xdr:rowOff>0</xdr:rowOff>
              </to>
            </anchor>
          </objectPr>
        </oleObject>
      </mc:Choice>
      <mc:Fallback>
        <oleObject progId="Equation.3" shapeId="15412" r:id="rId34"/>
      </mc:Fallback>
    </mc:AlternateContent>
    <mc:AlternateContent xmlns:mc="http://schemas.openxmlformats.org/markup-compatibility/2006">
      <mc:Choice Requires="x14">
        <oleObject progId="Equation.3" shapeId="15416" r:id="rId36">
          <objectPr defaultSize="0" autoPict="0" r:id="rId37">
            <anchor moveWithCells="1" sizeWithCells="1">
              <from>
                <xdr:col>5</xdr:col>
                <xdr:colOff>447675</xdr:colOff>
                <xdr:row>281</xdr:row>
                <xdr:rowOff>133350</xdr:rowOff>
              </from>
              <to>
                <xdr:col>6</xdr:col>
                <xdr:colOff>438150</xdr:colOff>
                <xdr:row>284</xdr:row>
                <xdr:rowOff>19050</xdr:rowOff>
              </to>
            </anchor>
          </objectPr>
        </oleObject>
      </mc:Choice>
      <mc:Fallback>
        <oleObject progId="Equation.3" shapeId="15416" r:id="rId36"/>
      </mc:Fallback>
    </mc:AlternateContent>
    <mc:AlternateContent xmlns:mc="http://schemas.openxmlformats.org/markup-compatibility/2006">
      <mc:Choice Requires="x14">
        <oleObject progId="Equation.3" shapeId="15475" r:id="rId38">
          <objectPr defaultSize="0" autoPict="0" r:id="rId39">
            <anchor moveWithCells="1" sizeWithCells="1">
              <from>
                <xdr:col>10</xdr:col>
                <xdr:colOff>85725</xdr:colOff>
                <xdr:row>413</xdr:row>
                <xdr:rowOff>76200</xdr:rowOff>
              </from>
              <to>
                <xdr:col>12</xdr:col>
                <xdr:colOff>438150</xdr:colOff>
                <xdr:row>416</xdr:row>
                <xdr:rowOff>47625</xdr:rowOff>
              </to>
            </anchor>
          </objectPr>
        </oleObject>
      </mc:Choice>
      <mc:Fallback>
        <oleObject progId="Equation.3" shapeId="15475" r:id="rId38"/>
      </mc:Fallback>
    </mc:AlternateContent>
    <mc:AlternateContent xmlns:mc="http://schemas.openxmlformats.org/markup-compatibility/2006">
      <mc:Choice Requires="x14">
        <oleObject progId="Equation.3" shapeId="15480" r:id="rId40">
          <objectPr defaultSize="0" autoPict="0" r:id="rId41">
            <anchor moveWithCells="1" sizeWithCells="1">
              <from>
                <xdr:col>5</xdr:col>
                <xdr:colOff>85725</xdr:colOff>
                <xdr:row>291</xdr:row>
                <xdr:rowOff>66675</xdr:rowOff>
              </from>
              <to>
                <xdr:col>5</xdr:col>
                <xdr:colOff>666750</xdr:colOff>
                <xdr:row>293</xdr:row>
                <xdr:rowOff>28575</xdr:rowOff>
              </to>
            </anchor>
          </objectPr>
        </oleObject>
      </mc:Choice>
      <mc:Fallback>
        <oleObject progId="Equation.3" shapeId="15480" r:id="rId40"/>
      </mc:Fallback>
    </mc:AlternateContent>
    <mc:AlternateContent xmlns:mc="http://schemas.openxmlformats.org/markup-compatibility/2006">
      <mc:Choice Requires="x14">
        <oleObject progId="Equation.3" shapeId="15541" r:id="rId42">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5541" r:id="rId42"/>
      </mc:Fallback>
    </mc:AlternateContent>
    <mc:AlternateContent xmlns:mc="http://schemas.openxmlformats.org/markup-compatibility/2006">
      <mc:Choice Requires="x14">
        <oleObject progId="Equation.3" shapeId="15542" r:id="rId43">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5542" r:id="rId43"/>
      </mc:Fallback>
    </mc:AlternateContent>
  </oleObjects>
  <mc:AlternateContent xmlns:mc="http://schemas.openxmlformats.org/markup-compatibility/2006">
    <mc:Choice Requires="x14">
      <controls>
        <mc:AlternateContent xmlns:mc="http://schemas.openxmlformats.org/markup-compatibility/2006">
          <mc:Choice Requires="x14">
            <control shapeId="15390" r:id="rId44" name="Drop Down 30">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5391" r:id="rId45" name="Drop Down 31">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5392" r:id="rId46" name="Drop Down 32">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5393" r:id="rId47" name="Drop Down 33">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5413" r:id="rId48" name="Drop Down 53">
              <controlPr defaultSize="0" autoLine="0" autoPict="0">
                <anchor moveWithCells="1">
                  <from>
                    <xdr:col>3</xdr:col>
                    <xdr:colOff>628650</xdr:colOff>
                    <xdr:row>299</xdr:row>
                    <xdr:rowOff>9525</xdr:rowOff>
                  </from>
                  <to>
                    <xdr:col>5</xdr:col>
                    <xdr:colOff>219075</xdr:colOff>
                    <xdr:row>300</xdr:row>
                    <xdr:rowOff>38100</xdr:rowOff>
                  </to>
                </anchor>
              </controlPr>
            </control>
          </mc:Choice>
        </mc:AlternateContent>
        <mc:AlternateContent xmlns:mc="http://schemas.openxmlformats.org/markup-compatibility/2006">
          <mc:Choice Requires="x14">
            <control shapeId="15479" r:id="rId49" name="Check Box 119">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5481" r:id="rId50" name="Drop Down 121">
              <controlPr defaultSize="0" autoLine="0" autoPict="0">
                <anchor moveWithCells="1">
                  <from>
                    <xdr:col>3</xdr:col>
                    <xdr:colOff>628650</xdr:colOff>
                    <xdr:row>297</xdr:row>
                    <xdr:rowOff>142875</xdr:rowOff>
                  </from>
                  <to>
                    <xdr:col>5</xdr:col>
                    <xdr:colOff>219075</xdr:colOff>
                    <xdr:row>299</xdr:row>
                    <xdr:rowOff>9525</xdr:rowOff>
                  </to>
                </anchor>
              </controlPr>
            </control>
          </mc:Choice>
        </mc:AlternateContent>
        <mc:AlternateContent xmlns:mc="http://schemas.openxmlformats.org/markup-compatibility/2006">
          <mc:Choice Requires="x14">
            <control shapeId="15482" r:id="rId51" name="Drop Down 122">
              <controlPr defaultSize="0" autoLine="0" autoPict="0">
                <anchor moveWithCells="1">
                  <from>
                    <xdr:col>3</xdr:col>
                    <xdr:colOff>180975</xdr:colOff>
                    <xdr:row>333</xdr:row>
                    <xdr:rowOff>9525</xdr:rowOff>
                  </from>
                  <to>
                    <xdr:col>5</xdr:col>
                    <xdr:colOff>0</xdr:colOff>
                    <xdr:row>334</xdr:row>
                    <xdr:rowOff>28575</xdr:rowOff>
                  </to>
                </anchor>
              </controlPr>
            </control>
          </mc:Choice>
        </mc:AlternateContent>
        <mc:AlternateContent xmlns:mc="http://schemas.openxmlformats.org/markup-compatibility/2006">
          <mc:Choice Requires="x14">
            <control shapeId="15483" r:id="rId52" name="Drop Down 123">
              <controlPr defaultSize="0" autoLine="0" autoPict="0">
                <anchor moveWithCells="1">
                  <from>
                    <xdr:col>3</xdr:col>
                    <xdr:colOff>400050</xdr:colOff>
                    <xdr:row>331</xdr:row>
                    <xdr:rowOff>0</xdr:rowOff>
                  </from>
                  <to>
                    <xdr:col>4</xdr:col>
                    <xdr:colOff>704850</xdr:colOff>
                    <xdr:row>332</xdr:row>
                    <xdr:rowOff>9525</xdr:rowOff>
                  </to>
                </anchor>
              </controlPr>
            </control>
          </mc:Choice>
        </mc:AlternateContent>
        <mc:AlternateContent xmlns:mc="http://schemas.openxmlformats.org/markup-compatibility/2006">
          <mc:Choice Requires="x14">
            <control shapeId="15484" r:id="rId53" name="Drop Down 124">
              <controlPr defaultSize="0" autoLine="0" autoPict="0">
                <anchor moveWithCells="1">
                  <from>
                    <xdr:col>3</xdr:col>
                    <xdr:colOff>400050</xdr:colOff>
                    <xdr:row>332</xdr:row>
                    <xdr:rowOff>0</xdr:rowOff>
                  </from>
                  <to>
                    <xdr:col>4</xdr:col>
                    <xdr:colOff>704850</xdr:colOff>
                    <xdr:row>333</xdr:row>
                    <xdr:rowOff>9525</xdr:rowOff>
                  </to>
                </anchor>
              </controlPr>
            </control>
          </mc:Choice>
        </mc:AlternateContent>
        <mc:AlternateContent xmlns:mc="http://schemas.openxmlformats.org/markup-compatibility/2006">
          <mc:Choice Requires="x14">
            <control shapeId="15485" r:id="rId54" name="Drop Down 125">
              <controlPr defaultSize="0" autoLine="0" autoPict="0">
                <anchor moveWithCells="1">
                  <from>
                    <xdr:col>3</xdr:col>
                    <xdr:colOff>400050</xdr:colOff>
                    <xdr:row>341</xdr:row>
                    <xdr:rowOff>19050</xdr:rowOff>
                  </from>
                  <to>
                    <xdr:col>4</xdr:col>
                    <xdr:colOff>704850</xdr:colOff>
                    <xdr:row>342</xdr:row>
                    <xdr:rowOff>57150</xdr:rowOff>
                  </to>
                </anchor>
              </controlPr>
            </control>
          </mc:Choice>
        </mc:AlternateContent>
        <mc:AlternateContent xmlns:mc="http://schemas.openxmlformats.org/markup-compatibility/2006">
          <mc:Choice Requires="x14">
            <control shapeId="15487" r:id="rId55" name="Drop Down 127">
              <controlPr defaultSize="0" autoLine="0" autoPict="0">
                <anchor moveWithCells="1">
                  <from>
                    <xdr:col>3</xdr:col>
                    <xdr:colOff>400050</xdr:colOff>
                    <xdr:row>358</xdr:row>
                    <xdr:rowOff>123825</xdr:rowOff>
                  </from>
                  <to>
                    <xdr:col>4</xdr:col>
                    <xdr:colOff>704850</xdr:colOff>
                    <xdr:row>359</xdr:row>
                    <xdr:rowOff>152400</xdr:rowOff>
                  </to>
                </anchor>
              </controlPr>
            </control>
          </mc:Choice>
        </mc:AlternateContent>
        <mc:AlternateContent xmlns:mc="http://schemas.openxmlformats.org/markup-compatibility/2006">
          <mc:Choice Requires="x14">
            <control shapeId="15488" r:id="rId56" name="Drop Down 128">
              <controlPr defaultSize="0" autoLine="0" autoPict="0">
                <anchor moveWithCells="1">
                  <from>
                    <xdr:col>3</xdr:col>
                    <xdr:colOff>400050</xdr:colOff>
                    <xdr:row>360</xdr:row>
                    <xdr:rowOff>0</xdr:rowOff>
                  </from>
                  <to>
                    <xdr:col>4</xdr:col>
                    <xdr:colOff>704850</xdr:colOff>
                    <xdr:row>361</xdr:row>
                    <xdr:rowOff>28575</xdr:rowOff>
                  </to>
                </anchor>
              </controlPr>
            </control>
          </mc:Choice>
        </mc:AlternateContent>
        <mc:AlternateContent xmlns:mc="http://schemas.openxmlformats.org/markup-compatibility/2006">
          <mc:Choice Requires="x14">
            <control shapeId="15497" r:id="rId57" name="Drop Down 137">
              <controlPr defaultSize="0" autoLine="0" autoPict="0">
                <anchor moveWithCells="1">
                  <from>
                    <xdr:col>3</xdr:col>
                    <xdr:colOff>381000</xdr:colOff>
                    <xdr:row>343</xdr:row>
                    <xdr:rowOff>152400</xdr:rowOff>
                  </from>
                  <to>
                    <xdr:col>4</xdr:col>
                    <xdr:colOff>685800</xdr:colOff>
                    <xdr:row>345</xdr:row>
                    <xdr:rowOff>28575</xdr:rowOff>
                  </to>
                </anchor>
              </controlPr>
            </control>
          </mc:Choice>
        </mc:AlternateContent>
        <mc:AlternateContent xmlns:mc="http://schemas.openxmlformats.org/markup-compatibility/2006">
          <mc:Choice Requires="x14">
            <control shapeId="15501" r:id="rId58" name="Button 141">
              <controlPr defaultSize="0" print="0" autoFill="0" autoPict="0" macro="[0]!Dimensiones_Anclaje_Recomendadas">
                <anchor moveWithCells="1" sizeWithCells="1">
                  <from>
                    <xdr:col>6</xdr:col>
                    <xdr:colOff>371475</xdr:colOff>
                    <xdr:row>322</xdr:row>
                    <xdr:rowOff>85725</xdr:rowOff>
                  </from>
                  <to>
                    <xdr:col>8</xdr:col>
                    <xdr:colOff>361950</xdr:colOff>
                    <xdr:row>323</xdr:row>
                    <xdr:rowOff>133350</xdr:rowOff>
                  </to>
                </anchor>
              </controlPr>
            </control>
          </mc:Choice>
        </mc:AlternateContent>
        <mc:AlternateContent xmlns:mc="http://schemas.openxmlformats.org/markup-compatibility/2006">
          <mc:Choice Requires="x14">
            <control shapeId="15502" r:id="rId59" name="Check Box 142">
              <controlPr defaultSize="0" autoFill="0" autoLine="0" autoPict="0" macro="[0]!Pernos_Corte">
                <anchor moveWithCells="1">
                  <from>
                    <xdr:col>1</xdr:col>
                    <xdr:colOff>9525</xdr:colOff>
                    <xdr:row>304</xdr:row>
                    <xdr:rowOff>28575</xdr:rowOff>
                  </from>
                  <to>
                    <xdr:col>4</xdr:col>
                    <xdr:colOff>142875</xdr:colOff>
                    <xdr:row>305</xdr:row>
                    <xdr:rowOff>85725</xdr:rowOff>
                  </to>
                </anchor>
              </controlPr>
            </control>
          </mc:Choice>
        </mc:AlternateContent>
        <mc:AlternateContent xmlns:mc="http://schemas.openxmlformats.org/markup-compatibility/2006">
          <mc:Choice Requires="x14">
            <control shapeId="15536" r:id="rId60" name="Button 176">
              <controlPr defaultSize="0" print="0" autoFill="0" autoPict="0" macro="[0]!Boton_Cambia_Estanque">
                <anchor moveWithCells="1" sizeWithCells="1">
                  <from>
                    <xdr:col>6</xdr:col>
                    <xdr:colOff>657225</xdr:colOff>
                    <xdr:row>274</xdr:row>
                    <xdr:rowOff>47625</xdr:rowOff>
                  </from>
                  <to>
                    <xdr:col>8</xdr:col>
                    <xdr:colOff>628650</xdr:colOff>
                    <xdr:row>276</xdr:row>
                    <xdr:rowOff>19050</xdr:rowOff>
                  </to>
                </anchor>
              </controlPr>
            </control>
          </mc:Choice>
        </mc:AlternateContent>
        <mc:AlternateContent xmlns:mc="http://schemas.openxmlformats.org/markup-compatibility/2006">
          <mc:Choice Requires="x14">
            <control shapeId="15537" r:id="rId61" name="Drop Down 177">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5538" r:id="rId62" name="Drop Down 178">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5539" r:id="rId63" name="Drop Down 179">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5540" r:id="rId64" name="Drop Down 180">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5544" r:id="rId65" name="Check Box 184">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5545" r:id="rId66" name="Drop Down 185">
              <controlPr defaultSize="0" autoLine="0" autoPict="0" macro="[0]!Genera_Capas">
                <anchor moveWithCells="1">
                  <from>
                    <xdr:col>3</xdr:col>
                    <xdr:colOff>85725</xdr:colOff>
                    <xdr:row>153</xdr:row>
                    <xdr:rowOff>133350</xdr:rowOff>
                  </from>
                  <to>
                    <xdr:col>3</xdr:col>
                    <xdr:colOff>504825</xdr:colOff>
                    <xdr:row>153</xdr:row>
                    <xdr:rowOff>333375</xdr:rowOff>
                  </to>
                </anchor>
              </controlPr>
            </control>
          </mc:Choice>
        </mc:AlternateContent>
        <mc:AlternateContent xmlns:mc="http://schemas.openxmlformats.org/markup-compatibility/2006">
          <mc:Choice Requires="x14">
            <control shapeId="15576" r:id="rId67" name="Drop Down 216">
              <controlPr defaultSize="0" autoLine="0" autoPict="0" macro="[0]!Techo">
                <anchor moveWithCells="1">
                  <from>
                    <xdr:col>1</xdr:col>
                    <xdr:colOff>19050</xdr:colOff>
                    <xdr:row>122</xdr:row>
                    <xdr:rowOff>19050</xdr:rowOff>
                  </from>
                  <to>
                    <xdr:col>5</xdr:col>
                    <xdr:colOff>495300</xdr:colOff>
                    <xdr:row>123</xdr:row>
                    <xdr:rowOff>57150</xdr:rowOff>
                  </to>
                </anchor>
              </controlPr>
            </control>
          </mc:Choice>
        </mc:AlternateContent>
        <mc:AlternateContent xmlns:mc="http://schemas.openxmlformats.org/markup-compatibility/2006">
          <mc:Choice Requires="x14">
            <control shapeId="15579" r:id="rId68" name="Drop Down 219">
              <controlPr defaultSize="0" autoLine="0" autoPict="0">
                <anchor moveWithCells="1" sizeWithCells="1">
                  <from>
                    <xdr:col>3</xdr:col>
                    <xdr:colOff>628650</xdr:colOff>
                    <xdr:row>299</xdr:row>
                    <xdr:rowOff>9525</xdr:rowOff>
                  </from>
                  <to>
                    <xdr:col>5</xdr:col>
                    <xdr:colOff>219075</xdr:colOff>
                    <xdr:row>300</xdr:row>
                    <xdr:rowOff>38100</xdr:rowOff>
                  </to>
                </anchor>
              </controlPr>
            </control>
          </mc:Choice>
        </mc:AlternateContent>
        <mc:AlternateContent xmlns:mc="http://schemas.openxmlformats.org/markup-compatibility/2006">
          <mc:Choice Requires="x14">
            <control shapeId="15580" r:id="rId69" name="Drop Down 220">
              <controlPr defaultSize="0" autoLine="0" autoPict="0">
                <anchor moveWithCells="1" sizeWithCells="1">
                  <from>
                    <xdr:col>3</xdr:col>
                    <xdr:colOff>628650</xdr:colOff>
                    <xdr:row>297</xdr:row>
                    <xdr:rowOff>142875</xdr:rowOff>
                  </from>
                  <to>
                    <xdr:col>5</xdr:col>
                    <xdr:colOff>219075</xdr:colOff>
                    <xdr:row>299</xdr:row>
                    <xdr:rowOff>9525</xdr:rowOff>
                  </to>
                </anchor>
              </controlPr>
            </control>
          </mc:Choice>
        </mc:AlternateContent>
        <mc:AlternateContent xmlns:mc="http://schemas.openxmlformats.org/markup-compatibility/2006">
          <mc:Choice Requires="x14">
            <control shapeId="15581" r:id="rId70" name="Check Box 221">
              <controlPr defaultSize="0" autoFill="0" autoLine="0" autoPict="0" macro="[0]!Pernos_Corte">
                <anchor moveWithCells="1" sizeWithCells="1">
                  <from>
                    <xdr:col>1</xdr:col>
                    <xdr:colOff>9525</xdr:colOff>
                    <xdr:row>304</xdr:row>
                    <xdr:rowOff>28575</xdr:rowOff>
                  </from>
                  <to>
                    <xdr:col>4</xdr:col>
                    <xdr:colOff>142875</xdr:colOff>
                    <xdr:row>305</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BL414"/>
  <sheetViews>
    <sheetView view="pageBreakPreview" zoomScale="150" zoomScaleNormal="100" zoomScaleSheetLayoutView="150" workbookViewId="0">
      <selection activeCell="G163" sqref="G163"/>
    </sheetView>
  </sheetViews>
  <sheetFormatPr baseColWidth="10" defaultColWidth="10.28515625" defaultRowHeight="12.75" x14ac:dyDescent="0.2"/>
  <cols>
    <col min="1" max="9" width="10.7109375" style="15" customWidth="1"/>
    <col min="10" max="10" width="10.140625" style="13" hidden="1" customWidth="1"/>
    <col min="11" max="12" width="12.28515625" style="13" hidden="1" customWidth="1"/>
    <col min="13" max="14" width="10.140625" style="13" hidden="1" customWidth="1"/>
    <col min="15" max="15" width="6.85546875" style="13" hidden="1" customWidth="1"/>
    <col min="16" max="16" width="12" style="13" hidden="1" customWidth="1"/>
    <col min="17" max="18" width="7.28515625" style="13" hidden="1" customWidth="1"/>
    <col min="19" max="19" width="7.28515625" style="14" hidden="1" customWidth="1"/>
    <col min="20" max="20" width="7.28515625" style="15" hidden="1" customWidth="1"/>
    <col min="21" max="21" width="4.42578125" style="15" hidden="1" customWidth="1"/>
    <col min="22" max="24" width="10.140625" style="15" hidden="1" customWidth="1"/>
    <col min="25" max="25" width="10.42578125" style="15" hidden="1" customWidth="1"/>
    <col min="26" max="26" width="11" style="15" hidden="1" customWidth="1"/>
    <col min="27" max="27" width="11" style="15" customWidth="1"/>
    <col min="28" max="16384" width="10.28515625" style="15"/>
  </cols>
  <sheetData>
    <row r="1" spans="1:9" ht="12.75" customHeight="1" x14ac:dyDescent="0.2">
      <c r="A1" s="517"/>
      <c r="B1" s="518"/>
      <c r="C1" s="519" t="s">
        <v>654</v>
      </c>
      <c r="D1" s="520"/>
      <c r="E1" s="520"/>
      <c r="F1" s="520"/>
      <c r="G1" s="521" t="s">
        <v>655</v>
      </c>
      <c r="H1" s="520"/>
      <c r="I1" s="522"/>
    </row>
    <row r="2" spans="1:9" ht="12.75" customHeight="1" thickBot="1" x14ac:dyDescent="0.25">
      <c r="A2" s="523"/>
      <c r="B2" s="524"/>
      <c r="C2" s="525"/>
      <c r="D2" s="526"/>
      <c r="E2" s="525"/>
      <c r="F2" s="525"/>
      <c r="G2" s="527"/>
      <c r="H2" s="525"/>
      <c r="I2" s="528"/>
    </row>
    <row r="3" spans="1:9" ht="12.75" customHeight="1" thickBot="1" x14ac:dyDescent="0.25">
      <c r="A3" s="523"/>
      <c r="B3" s="524"/>
      <c r="C3" s="529" t="s">
        <v>656</v>
      </c>
      <c r="D3" s="530"/>
      <c r="E3" s="531">
        <v>0</v>
      </c>
      <c r="F3" s="531">
        <v>1</v>
      </c>
      <c r="G3" s="531">
        <v>2</v>
      </c>
      <c r="H3" s="532"/>
      <c r="I3" s="522"/>
    </row>
    <row r="4" spans="1:9" ht="12.75" customHeight="1" thickBot="1" x14ac:dyDescent="0.25">
      <c r="A4" s="541"/>
      <c r="B4" s="542"/>
      <c r="C4" s="533" t="s">
        <v>657</v>
      </c>
      <c r="D4" s="530"/>
      <c r="E4" s="534"/>
      <c r="F4" s="535"/>
      <c r="G4" s="535"/>
      <c r="H4" s="536" t="s">
        <v>658</v>
      </c>
      <c r="I4" s="537" t="s">
        <v>659</v>
      </c>
    </row>
    <row r="5" spans="1:9" ht="12.75" customHeight="1" thickBot="1" x14ac:dyDescent="0.25">
      <c r="A5" s="541"/>
      <c r="B5" s="542"/>
      <c r="C5" s="529" t="s">
        <v>660</v>
      </c>
      <c r="D5" s="530"/>
      <c r="E5" s="534" t="s">
        <v>661</v>
      </c>
      <c r="F5" s="535"/>
      <c r="G5" s="535"/>
      <c r="H5" s="536" t="s">
        <v>662</v>
      </c>
      <c r="I5" s="537" t="s">
        <v>659</v>
      </c>
    </row>
    <row r="6" spans="1:9" ht="12.75" customHeight="1" thickBot="1" x14ac:dyDescent="0.25">
      <c r="A6" s="543"/>
      <c r="B6" s="544"/>
      <c r="C6" s="529" t="s">
        <v>663</v>
      </c>
      <c r="D6" s="530"/>
      <c r="E6" s="538"/>
      <c r="F6" s="535"/>
      <c r="G6" s="535"/>
      <c r="H6" s="539"/>
      <c r="I6" s="540"/>
    </row>
    <row r="7" spans="1:9" x14ac:dyDescent="0.2">
      <c r="A7" s="17"/>
      <c r="B7" s="18"/>
      <c r="C7" s="18"/>
      <c r="D7" s="18"/>
      <c r="E7" s="18"/>
      <c r="F7" s="18"/>
      <c r="G7" s="18"/>
      <c r="H7" s="18"/>
      <c r="I7" s="19"/>
    </row>
    <row r="8" spans="1:9" x14ac:dyDescent="0.2">
      <c r="A8" s="17"/>
      <c r="B8" s="18"/>
      <c r="C8" s="18"/>
      <c r="D8" s="18"/>
      <c r="E8" s="18"/>
      <c r="F8" s="18"/>
      <c r="G8" s="18"/>
      <c r="H8" s="18"/>
      <c r="I8" s="19"/>
    </row>
    <row r="9" spans="1:9" x14ac:dyDescent="0.2">
      <c r="A9" s="17"/>
      <c r="B9" s="18"/>
      <c r="C9" s="18"/>
      <c r="D9" s="18"/>
      <c r="E9" s="18"/>
      <c r="F9" s="18"/>
      <c r="G9" s="18"/>
      <c r="H9" s="18"/>
      <c r="I9" s="19"/>
    </row>
    <row r="10" spans="1:9" x14ac:dyDescent="0.2">
      <c r="A10" s="17"/>
      <c r="B10" s="18"/>
      <c r="C10" s="18"/>
      <c r="D10" s="18"/>
      <c r="E10" s="18"/>
      <c r="F10" s="18"/>
      <c r="G10" s="18"/>
      <c r="H10" s="18"/>
      <c r="I10" s="19"/>
    </row>
    <row r="11" spans="1:9" x14ac:dyDescent="0.2">
      <c r="A11" s="17"/>
      <c r="B11" s="18"/>
      <c r="C11" s="18"/>
      <c r="D11" s="18"/>
      <c r="E11" s="18"/>
      <c r="F11" s="18"/>
      <c r="G11" s="18"/>
      <c r="H11" s="18"/>
      <c r="I11" s="19"/>
    </row>
    <row r="12" spans="1:9" x14ac:dyDescent="0.2">
      <c r="A12" s="17"/>
      <c r="B12" s="18"/>
      <c r="C12" s="18"/>
      <c r="D12" s="18"/>
      <c r="E12" s="18"/>
      <c r="F12" s="18"/>
      <c r="G12" s="18"/>
      <c r="H12" s="18"/>
      <c r="I12" s="19"/>
    </row>
    <row r="13" spans="1:9" x14ac:dyDescent="0.2">
      <c r="A13" s="17"/>
      <c r="B13" s="18"/>
      <c r="C13" s="18"/>
      <c r="D13" s="18"/>
      <c r="E13" s="18"/>
      <c r="F13" s="18"/>
      <c r="G13" s="18"/>
      <c r="H13" s="18"/>
      <c r="I13" s="19"/>
    </row>
    <row r="14" spans="1:9" x14ac:dyDescent="0.2">
      <c r="A14" s="17"/>
      <c r="B14" s="18"/>
      <c r="C14" s="18"/>
      <c r="D14" s="18"/>
      <c r="E14" s="18"/>
      <c r="F14" s="18"/>
      <c r="G14" s="18"/>
      <c r="H14" s="18"/>
      <c r="I14" s="19"/>
    </row>
    <row r="15" spans="1:9" x14ac:dyDescent="0.2">
      <c r="A15" s="17"/>
      <c r="B15" s="18"/>
      <c r="C15" s="18"/>
      <c r="D15" s="18"/>
      <c r="E15" s="18"/>
      <c r="F15" s="18"/>
      <c r="G15" s="18"/>
      <c r="H15" s="18"/>
      <c r="I15" s="19"/>
    </row>
    <row r="16" spans="1:9" x14ac:dyDescent="0.2">
      <c r="A16" s="17"/>
      <c r="B16" s="18"/>
      <c r="C16" s="18"/>
      <c r="D16" s="18"/>
      <c r="E16" s="18"/>
      <c r="F16" s="18"/>
      <c r="G16" s="18"/>
      <c r="H16" s="18"/>
      <c r="I16" s="19"/>
    </row>
    <row r="17" spans="1:9" x14ac:dyDescent="0.2">
      <c r="A17" s="17"/>
      <c r="B17" s="18"/>
      <c r="C17" s="18"/>
      <c r="D17" s="18"/>
      <c r="E17" s="18"/>
      <c r="F17" s="18"/>
      <c r="G17" s="18"/>
      <c r="H17" s="18"/>
      <c r="I17" s="19"/>
    </row>
    <row r="18" spans="1:9" x14ac:dyDescent="0.2">
      <c r="A18" s="17"/>
      <c r="B18" s="18"/>
      <c r="C18" s="18"/>
      <c r="D18" s="18"/>
      <c r="E18" s="18"/>
      <c r="F18" s="18"/>
      <c r="G18" s="18"/>
      <c r="H18" s="18"/>
      <c r="I18" s="19"/>
    </row>
    <row r="19" spans="1:9" x14ac:dyDescent="0.2">
      <c r="A19" s="17"/>
      <c r="B19" s="18"/>
      <c r="C19" s="18"/>
      <c r="D19" s="18"/>
      <c r="E19" s="18"/>
      <c r="F19" s="18"/>
      <c r="G19" s="18"/>
      <c r="H19" s="18"/>
      <c r="I19" s="19"/>
    </row>
    <row r="20" spans="1:9" x14ac:dyDescent="0.2">
      <c r="A20" s="17"/>
      <c r="B20" s="18"/>
      <c r="C20" s="18"/>
      <c r="D20" s="18"/>
      <c r="E20" s="18"/>
      <c r="F20" s="18"/>
      <c r="G20" s="18"/>
      <c r="H20" s="18"/>
      <c r="I20" s="19"/>
    </row>
    <row r="21" spans="1:9" x14ac:dyDescent="0.2">
      <c r="A21" s="17"/>
      <c r="B21" s="18"/>
      <c r="C21" s="18"/>
      <c r="D21" s="18"/>
      <c r="E21" s="18"/>
      <c r="F21" s="18"/>
      <c r="G21" s="18"/>
      <c r="H21" s="18"/>
      <c r="I21" s="19"/>
    </row>
    <row r="22" spans="1:9" x14ac:dyDescent="0.2">
      <c r="A22" s="17"/>
      <c r="B22" s="18"/>
      <c r="C22" s="18"/>
      <c r="D22" s="18"/>
      <c r="E22" s="18"/>
      <c r="F22" s="18"/>
      <c r="G22" s="18"/>
      <c r="H22" s="18"/>
      <c r="I22" s="19"/>
    </row>
    <row r="23" spans="1:9" x14ac:dyDescent="0.2">
      <c r="A23" s="17"/>
      <c r="B23" s="18"/>
      <c r="C23" s="18"/>
      <c r="D23" s="18"/>
      <c r="E23" s="18"/>
      <c r="F23" s="18"/>
      <c r="G23" s="18"/>
      <c r="H23" s="18"/>
      <c r="I23" s="19"/>
    </row>
    <row r="24" spans="1:9" x14ac:dyDescent="0.2">
      <c r="A24" s="17"/>
      <c r="B24" s="18"/>
      <c r="C24" s="18"/>
      <c r="D24" s="18"/>
      <c r="E24" s="18"/>
      <c r="F24" s="18"/>
      <c r="G24" s="18"/>
      <c r="H24" s="18"/>
      <c r="I24" s="19"/>
    </row>
    <row r="25" spans="1:9" x14ac:dyDescent="0.2">
      <c r="A25" s="17"/>
      <c r="B25" s="18"/>
      <c r="C25" s="18"/>
      <c r="D25" s="18"/>
      <c r="E25" s="18"/>
      <c r="F25" s="18"/>
      <c r="G25" s="18"/>
      <c r="H25" s="18"/>
      <c r="I25" s="19"/>
    </row>
    <row r="26" spans="1:9" ht="30" x14ac:dyDescent="0.2">
      <c r="A26" s="554" t="s">
        <v>646</v>
      </c>
      <c r="B26" s="555"/>
      <c r="C26" s="555"/>
      <c r="D26" s="555"/>
      <c r="E26" s="555"/>
      <c r="F26" s="555"/>
      <c r="G26" s="555"/>
      <c r="H26" s="555"/>
      <c r="I26" s="555"/>
    </row>
    <row r="27" spans="1:9" ht="26.25" customHeight="1" x14ac:dyDescent="0.2">
      <c r="A27" s="556" t="s">
        <v>641</v>
      </c>
      <c r="B27" s="556"/>
      <c r="C27" s="556"/>
      <c r="D27" s="556"/>
      <c r="E27" s="556"/>
      <c r="F27" s="556"/>
      <c r="G27" s="556"/>
      <c r="H27" s="556"/>
      <c r="I27" s="556"/>
    </row>
    <row r="28" spans="1:9" ht="26.25" customHeight="1" x14ac:dyDescent="0.2">
      <c r="A28" s="556" t="s">
        <v>669</v>
      </c>
      <c r="B28" s="556"/>
      <c r="C28" s="556"/>
      <c r="D28" s="556"/>
      <c r="E28" s="556"/>
      <c r="F28" s="556"/>
      <c r="G28" s="556"/>
      <c r="H28" s="556"/>
      <c r="I28" s="556"/>
    </row>
    <row r="29" spans="1:9" ht="30" x14ac:dyDescent="0.2">
      <c r="A29" s="554"/>
      <c r="B29" s="554"/>
      <c r="C29" s="554"/>
      <c r="D29" s="554"/>
      <c r="E29" s="554"/>
      <c r="F29" s="554"/>
      <c r="G29" s="554"/>
      <c r="H29" s="554"/>
      <c r="I29" s="554"/>
    </row>
    <row r="30" spans="1:9" x14ac:dyDescent="0.2">
      <c r="A30" s="20"/>
      <c r="B30" s="21"/>
      <c r="C30" s="21"/>
      <c r="D30" s="21"/>
      <c r="E30" s="21"/>
      <c r="F30" s="21"/>
      <c r="G30" s="21"/>
      <c r="H30" s="18"/>
      <c r="I30" s="19"/>
    </row>
    <row r="31" spans="1:9" x14ac:dyDescent="0.2">
      <c r="A31" s="1"/>
      <c r="B31" s="1"/>
      <c r="C31" s="1"/>
      <c r="D31" s="1"/>
      <c r="E31" s="1"/>
      <c r="F31" s="1"/>
      <c r="G31" s="1"/>
      <c r="H31" s="18"/>
      <c r="I31" s="19"/>
    </row>
    <row r="32" spans="1:9" x14ac:dyDescent="0.2">
      <c r="A32" s="1"/>
      <c r="B32" s="1"/>
      <c r="C32" s="1"/>
      <c r="D32" s="1"/>
      <c r="E32" s="1"/>
      <c r="F32" s="1"/>
      <c r="G32" s="1"/>
      <c r="H32" s="18"/>
      <c r="I32" s="19"/>
    </row>
    <row r="33" spans="1:9" x14ac:dyDescent="0.2">
      <c r="A33" s="1"/>
      <c r="B33" s="1"/>
      <c r="C33" s="1"/>
      <c r="D33" s="1"/>
      <c r="E33" s="1"/>
      <c r="F33" s="1"/>
      <c r="G33" s="1"/>
      <c r="H33" s="1"/>
      <c r="I33" s="1"/>
    </row>
    <row r="34" spans="1:9" ht="18.75" x14ac:dyDescent="0.3">
      <c r="A34" s="564" t="s">
        <v>111</v>
      </c>
      <c r="B34" s="564"/>
      <c r="C34" s="564"/>
      <c r="D34" s="22"/>
      <c r="E34" s="22"/>
      <c r="F34" s="22"/>
      <c r="G34" s="22"/>
      <c r="H34" s="22"/>
      <c r="I34" s="22"/>
    </row>
    <row r="35" spans="1:9" x14ac:dyDescent="0.2">
      <c r="A35" s="22"/>
      <c r="B35" s="22"/>
      <c r="C35" s="22"/>
      <c r="D35" s="22"/>
      <c r="E35" s="22"/>
      <c r="F35" s="22"/>
      <c r="G35" s="22"/>
      <c r="H35" s="22"/>
      <c r="I35" s="22"/>
    </row>
    <row r="36" spans="1:9" x14ac:dyDescent="0.2">
      <c r="A36" s="22"/>
      <c r="B36" s="22"/>
      <c r="C36" s="23" t="s">
        <v>1</v>
      </c>
      <c r="D36" s="24" t="s">
        <v>112</v>
      </c>
      <c r="E36" s="563" t="s">
        <v>204</v>
      </c>
      <c r="F36" s="563"/>
      <c r="G36" s="563"/>
      <c r="H36" s="563"/>
      <c r="I36" s="563"/>
    </row>
    <row r="37" spans="1:9" ht="14.25" x14ac:dyDescent="0.25">
      <c r="A37" s="22"/>
      <c r="B37" s="22"/>
      <c r="C37" s="23" t="s">
        <v>113</v>
      </c>
      <c r="D37" s="24" t="s">
        <v>112</v>
      </c>
      <c r="E37" s="563" t="s">
        <v>114</v>
      </c>
      <c r="F37" s="563"/>
      <c r="G37" s="563"/>
      <c r="H37" s="563"/>
      <c r="I37" s="563"/>
    </row>
    <row r="38" spans="1:9" x14ac:dyDescent="0.2">
      <c r="A38" s="22"/>
      <c r="B38" s="22"/>
      <c r="C38" s="23" t="s">
        <v>5</v>
      </c>
      <c r="D38" s="24" t="s">
        <v>112</v>
      </c>
      <c r="E38" s="563" t="s">
        <v>205</v>
      </c>
      <c r="F38" s="563"/>
      <c r="G38" s="563"/>
      <c r="H38" s="563"/>
      <c r="I38" s="563"/>
    </row>
    <row r="39" spans="1:9" x14ac:dyDescent="0.2">
      <c r="A39" s="22"/>
      <c r="B39" s="22"/>
      <c r="C39" s="23" t="s">
        <v>115</v>
      </c>
      <c r="D39" s="24" t="s">
        <v>112</v>
      </c>
      <c r="E39" s="563" t="s">
        <v>116</v>
      </c>
      <c r="F39" s="563"/>
      <c r="G39" s="563"/>
      <c r="H39" s="563"/>
      <c r="I39" s="563"/>
    </row>
    <row r="40" spans="1:9" ht="14.25" x14ac:dyDescent="0.25">
      <c r="A40" s="22"/>
      <c r="B40" s="22"/>
      <c r="C40" s="23" t="s">
        <v>117</v>
      </c>
      <c r="D40" s="24" t="s">
        <v>112</v>
      </c>
      <c r="E40" s="563" t="s">
        <v>118</v>
      </c>
      <c r="F40" s="563"/>
      <c r="G40" s="563"/>
      <c r="H40" s="563"/>
      <c r="I40" s="563"/>
    </row>
    <row r="41" spans="1:9" ht="14.25" x14ac:dyDescent="0.25">
      <c r="A41" s="22"/>
      <c r="B41" s="22"/>
      <c r="C41" s="23" t="s">
        <v>119</v>
      </c>
      <c r="D41" s="24" t="s">
        <v>112</v>
      </c>
      <c r="E41" s="563" t="s">
        <v>120</v>
      </c>
      <c r="F41" s="563"/>
      <c r="G41" s="563"/>
      <c r="H41" s="563"/>
      <c r="I41" s="563"/>
    </row>
    <row r="42" spans="1:9" x14ac:dyDescent="0.2">
      <c r="A42" s="22"/>
      <c r="B42" s="22"/>
      <c r="C42" s="23" t="s">
        <v>7</v>
      </c>
      <c r="D42" s="24" t="s">
        <v>112</v>
      </c>
      <c r="E42" s="563" t="s">
        <v>121</v>
      </c>
      <c r="F42" s="563"/>
      <c r="G42" s="563"/>
      <c r="H42" s="563"/>
      <c r="I42" s="563"/>
    </row>
    <row r="43" spans="1:9" ht="15.75" x14ac:dyDescent="0.25">
      <c r="A43" s="22"/>
      <c r="B43" s="22"/>
      <c r="C43" s="25" t="s">
        <v>122</v>
      </c>
      <c r="D43" s="24" t="s">
        <v>112</v>
      </c>
      <c r="E43" s="563" t="s">
        <v>123</v>
      </c>
      <c r="F43" s="563"/>
      <c r="G43" s="563"/>
      <c r="H43" s="563"/>
      <c r="I43" s="563"/>
    </row>
    <row r="44" spans="1:9" x14ac:dyDescent="0.2">
      <c r="A44" s="22"/>
      <c r="B44" s="22"/>
      <c r="C44" s="26" t="s">
        <v>10</v>
      </c>
      <c r="D44" s="24" t="s">
        <v>112</v>
      </c>
      <c r="E44" s="563" t="s">
        <v>124</v>
      </c>
      <c r="F44" s="563"/>
      <c r="G44" s="563"/>
      <c r="H44" s="563"/>
      <c r="I44" s="563"/>
    </row>
    <row r="45" spans="1:9" x14ac:dyDescent="0.2">
      <c r="A45" s="22"/>
      <c r="B45" s="22"/>
      <c r="C45" s="27" t="s">
        <v>13</v>
      </c>
      <c r="D45" s="24" t="s">
        <v>112</v>
      </c>
      <c r="E45" s="563" t="s">
        <v>125</v>
      </c>
      <c r="F45" s="563"/>
      <c r="G45" s="563"/>
      <c r="H45" s="563"/>
      <c r="I45" s="563"/>
    </row>
    <row r="46" spans="1:9" ht="14.25" x14ac:dyDescent="0.25">
      <c r="A46" s="22"/>
      <c r="B46" s="22"/>
      <c r="C46" s="23" t="s">
        <v>126</v>
      </c>
      <c r="D46" s="24" t="s">
        <v>112</v>
      </c>
      <c r="E46" s="563" t="s">
        <v>127</v>
      </c>
      <c r="F46" s="563"/>
      <c r="G46" s="563"/>
      <c r="H46" s="563"/>
      <c r="I46" s="563"/>
    </row>
    <row r="47" spans="1:9" ht="14.25" x14ac:dyDescent="0.25">
      <c r="A47" s="22"/>
      <c r="B47" s="22"/>
      <c r="C47" s="23" t="s">
        <v>128</v>
      </c>
      <c r="D47" s="24" t="s">
        <v>112</v>
      </c>
      <c r="E47" s="563" t="s">
        <v>27</v>
      </c>
      <c r="F47" s="563"/>
      <c r="G47" s="563"/>
      <c r="H47" s="563"/>
      <c r="I47" s="563"/>
    </row>
    <row r="48" spans="1:9" ht="14.25" x14ac:dyDescent="0.25">
      <c r="A48" s="22"/>
      <c r="B48" s="22"/>
      <c r="C48" s="23" t="s">
        <v>129</v>
      </c>
      <c r="D48" s="24" t="s">
        <v>112</v>
      </c>
      <c r="E48" s="563" t="s">
        <v>130</v>
      </c>
      <c r="F48" s="563"/>
      <c r="G48" s="563"/>
      <c r="H48" s="563"/>
      <c r="I48" s="563"/>
    </row>
    <row r="49" spans="1:9" ht="14.25" x14ac:dyDescent="0.25">
      <c r="A49" s="22"/>
      <c r="B49" s="22"/>
      <c r="C49" s="23" t="s">
        <v>131</v>
      </c>
      <c r="D49" s="24" t="s">
        <v>112</v>
      </c>
      <c r="E49" s="563" t="s">
        <v>132</v>
      </c>
      <c r="F49" s="563"/>
      <c r="G49" s="563"/>
      <c r="H49" s="563"/>
      <c r="I49" s="563"/>
    </row>
    <row r="50" spans="1:9" x14ac:dyDescent="0.2">
      <c r="A50" s="1"/>
      <c r="B50" s="1"/>
      <c r="C50" s="1"/>
      <c r="D50" s="1"/>
      <c r="E50" s="1"/>
      <c r="F50" s="1"/>
      <c r="G50" s="1"/>
      <c r="H50" s="1"/>
      <c r="I50" s="1"/>
    </row>
    <row r="51" spans="1:9" x14ac:dyDescent="0.2">
      <c r="A51" s="1"/>
      <c r="B51" s="1"/>
      <c r="C51" s="1"/>
      <c r="D51" s="1"/>
      <c r="E51" s="1"/>
      <c r="F51" s="1"/>
      <c r="G51" s="1"/>
      <c r="H51" s="1"/>
      <c r="I51" s="1"/>
    </row>
    <row r="52" spans="1:9" x14ac:dyDescent="0.2">
      <c r="A52" s="1"/>
      <c r="B52" s="1"/>
      <c r="C52" s="1"/>
      <c r="D52" s="1"/>
      <c r="E52" s="1"/>
      <c r="F52" s="1"/>
      <c r="G52" s="1"/>
      <c r="H52" s="1"/>
      <c r="I52" s="1"/>
    </row>
    <row r="53" spans="1:9" x14ac:dyDescent="0.2">
      <c r="A53" s="1"/>
      <c r="B53" s="1"/>
      <c r="C53" s="1"/>
      <c r="D53" s="1"/>
      <c r="E53" s="1"/>
      <c r="F53" s="1"/>
      <c r="G53" s="1"/>
      <c r="H53" s="1"/>
      <c r="I53" s="1"/>
    </row>
    <row r="54" spans="1:9" x14ac:dyDescent="0.2">
      <c r="A54" s="1"/>
      <c r="B54" s="1"/>
      <c r="C54" s="1"/>
      <c r="D54" s="1"/>
      <c r="E54" s="1"/>
      <c r="F54" s="1"/>
      <c r="G54" s="1"/>
      <c r="H54" s="1"/>
      <c r="I54" s="1"/>
    </row>
    <row r="55" spans="1:9" x14ac:dyDescent="0.2">
      <c r="A55" s="1"/>
      <c r="B55" s="1"/>
      <c r="C55" s="1"/>
      <c r="D55" s="1"/>
      <c r="E55" s="1"/>
      <c r="F55" s="1"/>
      <c r="G55" s="1"/>
      <c r="H55" s="1"/>
      <c r="I55" s="1"/>
    </row>
    <row r="56" spans="1:9" x14ac:dyDescent="0.2">
      <c r="A56" s="1"/>
      <c r="B56" s="1"/>
      <c r="C56" s="1"/>
      <c r="D56" s="1"/>
      <c r="E56" s="1"/>
      <c r="F56" s="1"/>
      <c r="G56" s="1"/>
      <c r="H56" s="1"/>
      <c r="I56" s="1"/>
    </row>
    <row r="57" spans="1:9" x14ac:dyDescent="0.2">
      <c r="A57" s="1"/>
      <c r="B57" s="1"/>
      <c r="C57" s="1"/>
      <c r="D57" s="1"/>
      <c r="E57" s="1"/>
      <c r="F57" s="1"/>
      <c r="G57" s="1"/>
      <c r="H57" s="1"/>
      <c r="I57" s="1"/>
    </row>
    <row r="58" spans="1:9" x14ac:dyDescent="0.2">
      <c r="A58" s="1"/>
      <c r="B58" s="1"/>
      <c r="C58" s="1"/>
      <c r="D58" s="1"/>
      <c r="E58" s="1"/>
      <c r="F58" s="1"/>
      <c r="G58" s="1"/>
      <c r="H58" s="1"/>
      <c r="I58" s="1"/>
    </row>
    <row r="59" spans="1:9" x14ac:dyDescent="0.2">
      <c r="A59" s="1"/>
      <c r="B59" s="1"/>
      <c r="C59" s="1"/>
      <c r="D59" s="1"/>
      <c r="E59" s="1"/>
      <c r="F59" s="1"/>
      <c r="G59" s="1"/>
      <c r="H59" s="1"/>
      <c r="I59" s="1"/>
    </row>
    <row r="60" spans="1:9" x14ac:dyDescent="0.2">
      <c r="A60" s="1"/>
      <c r="B60" s="1"/>
      <c r="C60" s="1"/>
      <c r="D60" s="1"/>
      <c r="E60" s="1"/>
      <c r="F60" s="1"/>
      <c r="G60" s="1"/>
      <c r="H60" s="1"/>
      <c r="I60" s="1"/>
    </row>
    <row r="61" spans="1:9" x14ac:dyDescent="0.2">
      <c r="A61" s="1"/>
      <c r="B61" s="1"/>
      <c r="C61" s="1"/>
      <c r="D61" s="1"/>
      <c r="E61" s="1"/>
      <c r="F61" s="1"/>
      <c r="G61" s="1"/>
      <c r="H61" s="1"/>
      <c r="I61" s="1"/>
    </row>
    <row r="62" spans="1:9" x14ac:dyDescent="0.2">
      <c r="A62" s="1"/>
      <c r="B62" s="1"/>
      <c r="C62" s="1"/>
      <c r="D62" s="1"/>
      <c r="E62" s="1"/>
      <c r="F62" s="1"/>
      <c r="G62" s="1"/>
      <c r="H62" s="1"/>
      <c r="I62" s="1"/>
    </row>
    <row r="63" spans="1:9" x14ac:dyDescent="0.2">
      <c r="A63" s="1"/>
      <c r="B63" s="1"/>
      <c r="C63" s="1"/>
      <c r="D63" s="1"/>
      <c r="E63" s="1"/>
      <c r="F63" s="1"/>
      <c r="G63" s="1"/>
      <c r="H63" s="1"/>
      <c r="I63" s="1"/>
    </row>
    <row r="64" spans="1:9" x14ac:dyDescent="0.2">
      <c r="A64" s="1"/>
      <c r="B64" s="1"/>
      <c r="C64" s="1"/>
      <c r="D64" s="1"/>
      <c r="E64" s="1"/>
      <c r="F64" s="1"/>
      <c r="G64" s="1"/>
      <c r="H64" s="1"/>
      <c r="I64" s="1"/>
    </row>
    <row r="65" spans="1:26" x14ac:dyDescent="0.2">
      <c r="A65" s="1"/>
      <c r="B65" s="1"/>
      <c r="C65" s="1"/>
      <c r="D65" s="1"/>
      <c r="E65" s="1"/>
      <c r="F65" s="1"/>
      <c r="G65" s="1"/>
      <c r="H65" s="1"/>
      <c r="I65" s="1"/>
    </row>
    <row r="66" spans="1:26" x14ac:dyDescent="0.2">
      <c r="A66" s="1"/>
      <c r="B66" s="1"/>
      <c r="C66" s="1"/>
      <c r="D66" s="1"/>
      <c r="E66" s="1"/>
      <c r="F66" s="1"/>
      <c r="G66" s="1"/>
      <c r="H66" s="1"/>
      <c r="I66" s="1"/>
    </row>
    <row r="67" spans="1:26" x14ac:dyDescent="0.2">
      <c r="A67" s="1"/>
      <c r="B67" s="1"/>
      <c r="C67" s="1"/>
      <c r="D67" s="1"/>
      <c r="E67" s="1"/>
      <c r="F67" s="1"/>
      <c r="G67" s="1"/>
      <c r="H67" s="1"/>
      <c r="I67" s="1"/>
    </row>
    <row r="68" spans="1:26" x14ac:dyDescent="0.2">
      <c r="A68" s="1"/>
      <c r="B68" s="1"/>
      <c r="C68" s="1"/>
      <c r="D68" s="1"/>
      <c r="E68" s="1"/>
      <c r="F68" s="1"/>
      <c r="G68" s="1"/>
      <c r="H68" s="1"/>
      <c r="I68" s="1"/>
    </row>
    <row r="69" spans="1:26" x14ac:dyDescent="0.2">
      <c r="A69" s="1"/>
      <c r="B69" s="1"/>
      <c r="C69" s="1"/>
      <c r="D69" s="1"/>
      <c r="E69" s="1"/>
      <c r="F69" s="1"/>
      <c r="G69" s="1"/>
      <c r="H69" s="1"/>
      <c r="I69" s="1"/>
    </row>
    <row r="70" spans="1:26" x14ac:dyDescent="0.2">
      <c r="A70" s="1"/>
      <c r="B70" s="1"/>
      <c r="C70" s="1"/>
      <c r="D70" s="1"/>
      <c r="E70" s="1"/>
      <c r="F70" s="1"/>
      <c r="G70" s="1"/>
      <c r="H70" s="1"/>
      <c r="I70" s="1"/>
    </row>
    <row r="71" spans="1:26" x14ac:dyDescent="0.2">
      <c r="A71" s="1"/>
      <c r="B71" s="1"/>
      <c r="C71" s="1"/>
      <c r="D71" s="1"/>
      <c r="E71" s="1"/>
      <c r="F71" s="1"/>
      <c r="G71" s="1"/>
      <c r="H71" s="1"/>
      <c r="I71" s="1"/>
    </row>
    <row r="72" spans="1:26" x14ac:dyDescent="0.2">
      <c r="A72" s="1"/>
      <c r="B72" s="1"/>
      <c r="C72" s="1"/>
      <c r="D72" s="1"/>
      <c r="E72" s="1"/>
      <c r="F72" s="1"/>
      <c r="G72" s="1"/>
      <c r="H72" s="1"/>
      <c r="I72" s="1"/>
    </row>
    <row r="73" spans="1:26" x14ac:dyDescent="0.2">
      <c r="A73" s="1"/>
      <c r="B73" s="1"/>
      <c r="C73" s="1"/>
      <c r="D73" s="1"/>
      <c r="E73" s="1"/>
      <c r="F73" s="1"/>
      <c r="G73" s="1"/>
      <c r="H73" s="1"/>
      <c r="I73" s="1"/>
    </row>
    <row r="74" spans="1:26" x14ac:dyDescent="0.2">
      <c r="A74" s="1"/>
      <c r="B74" s="1"/>
      <c r="C74" s="1"/>
      <c r="D74" s="1"/>
      <c r="E74" s="1"/>
      <c r="F74" s="1"/>
      <c r="G74" s="1"/>
      <c r="H74" s="1"/>
      <c r="I74" s="1"/>
    </row>
    <row r="75" spans="1:26" x14ac:dyDescent="0.2">
      <c r="A75" s="1"/>
      <c r="B75" s="1"/>
      <c r="C75" s="1"/>
      <c r="D75" s="1"/>
      <c r="E75" s="1"/>
      <c r="F75" s="1"/>
      <c r="G75" s="1"/>
      <c r="H75" s="1"/>
      <c r="I75" s="1"/>
    </row>
    <row r="76" spans="1:26" ht="13.5" thickBot="1" x14ac:dyDescent="0.25">
      <c r="A76" s="1"/>
      <c r="B76" s="1"/>
      <c r="C76" s="1"/>
      <c r="D76" s="1"/>
      <c r="E76" s="1"/>
      <c r="F76" s="1"/>
      <c r="G76" s="1"/>
      <c r="H76" s="1"/>
      <c r="I76" s="1"/>
    </row>
    <row r="77" spans="1:26" x14ac:dyDescent="0.2">
      <c r="A77" s="1"/>
      <c r="B77" s="1"/>
      <c r="C77" s="1"/>
      <c r="D77" s="1"/>
      <c r="E77" s="1"/>
      <c r="F77" s="1"/>
      <c r="G77" s="1"/>
      <c r="H77" s="1"/>
      <c r="I77" s="1"/>
      <c r="J77" s="30" t="s">
        <v>157</v>
      </c>
      <c r="K77" s="31" t="s">
        <v>158</v>
      </c>
      <c r="L77" s="30" t="s">
        <v>159</v>
      </c>
      <c r="M77" s="30" t="s">
        <v>163</v>
      </c>
      <c r="N77" s="32" t="s">
        <v>334</v>
      </c>
      <c r="O77" s="557" t="s">
        <v>333</v>
      </c>
      <c r="P77" s="558"/>
      <c r="Q77" s="558"/>
      <c r="R77" s="558"/>
      <c r="S77" s="559"/>
      <c r="T77" s="33" t="s">
        <v>634</v>
      </c>
      <c r="U77" s="557" t="s">
        <v>242</v>
      </c>
      <c r="V77" s="558"/>
      <c r="W77" s="558"/>
      <c r="X77" s="558"/>
      <c r="Y77" s="559"/>
      <c r="Z77" s="33" t="s">
        <v>633</v>
      </c>
    </row>
    <row r="78" spans="1:26" ht="13.5" thickBot="1" x14ac:dyDescent="0.25">
      <c r="A78" s="1"/>
      <c r="B78" s="1"/>
      <c r="C78" s="1"/>
      <c r="D78" s="1"/>
      <c r="E78" s="1"/>
      <c r="F78" s="1"/>
      <c r="G78" s="1"/>
      <c r="H78" s="1"/>
      <c r="I78" s="1"/>
      <c r="J78" s="34" t="s">
        <v>160</v>
      </c>
      <c r="K78" s="35"/>
      <c r="L78" s="34" t="s">
        <v>161</v>
      </c>
      <c r="M78" s="34" t="s">
        <v>161</v>
      </c>
      <c r="N78" s="36" t="s">
        <v>161</v>
      </c>
      <c r="O78" s="560" t="s">
        <v>161</v>
      </c>
      <c r="P78" s="561"/>
      <c r="Q78" s="561"/>
      <c r="R78" s="561"/>
      <c r="S78" s="562"/>
      <c r="T78" s="37" t="s">
        <v>161</v>
      </c>
      <c r="U78" s="560" t="s">
        <v>161</v>
      </c>
      <c r="V78" s="561"/>
      <c r="W78" s="561"/>
      <c r="X78" s="561"/>
      <c r="Y78" s="562"/>
      <c r="Z78" s="37" t="s">
        <v>161</v>
      </c>
    </row>
    <row r="79" spans="1:26" x14ac:dyDescent="0.2">
      <c r="A79" s="1"/>
      <c r="B79" s="1"/>
      <c r="C79" s="1"/>
      <c r="D79" s="1"/>
      <c r="E79" s="1"/>
      <c r="F79" s="1"/>
      <c r="G79" s="1"/>
      <c r="H79" s="1"/>
      <c r="I79" s="1"/>
      <c r="J79" s="39" t="s">
        <v>615</v>
      </c>
      <c r="K79" s="40">
        <v>1</v>
      </c>
      <c r="L79" s="41">
        <f>248/98.1</f>
        <v>2.5280326197757392</v>
      </c>
      <c r="M79" s="41">
        <f>400/98.1</f>
        <v>4.0774719673802249</v>
      </c>
      <c r="N79" s="43">
        <f t="shared" ref="N79:N86" si="0">MIN(3/4*L79,3/7*M79)</f>
        <v>1.7474879860200963</v>
      </c>
      <c r="O79" s="45">
        <f t="shared" ref="O79:O86" si="1">MIN(2/3*L79,2/5*M79)</f>
        <v>1.63098878695209</v>
      </c>
      <c r="P79" s="42">
        <f>2/3*L79*IF(L79&lt;310/98.1,0.91,IF(L79&lt;380/98.1,0.88,0.92))</f>
        <v>1.5336731226639486</v>
      </c>
      <c r="Q79" s="42">
        <f>2/3*L79*IF(L79&lt;310/98.1,0.88,IF(L79&lt;380/98.1,0.81,0.87))</f>
        <v>1.4831124702684337</v>
      </c>
      <c r="R79" s="42">
        <f>2/3*L79*IF(L79&lt;310/98.1,0.85,IF(L79&lt;380/98.1,0.75,0.83))</f>
        <v>1.4325518178729189</v>
      </c>
      <c r="S79" s="43">
        <f>2/3*L79*IF(L79&lt;310/98.1,0.8,IF(L79&lt;380/98.1,0.7,0.79))</f>
        <v>1.3482840638803943</v>
      </c>
      <c r="T79" s="44">
        <f t="shared" ref="T79:T86" si="2">lininterp($O$93:$S$93,O79:S79,$T$93)</f>
        <v>1.63098878695209</v>
      </c>
      <c r="U79" s="440">
        <f>199000/98.1</f>
        <v>2028.5423037716616</v>
      </c>
      <c r="V79" s="440">
        <f>199000/98.1</f>
        <v>2028.5423037716616</v>
      </c>
      <c r="W79" s="440">
        <f>195000/98.1</f>
        <v>1987.7675840978595</v>
      </c>
      <c r="X79" s="440">
        <f>191000/98.1</f>
        <v>1946.9928644240572</v>
      </c>
      <c r="Y79" s="442">
        <f>188000/98.1</f>
        <v>1916.4118246687055</v>
      </c>
      <c r="Z79" s="449">
        <f>lininterp($U$93:$Y$93,U79:Y79,$Z$93)</f>
        <v>2028.5423037716616</v>
      </c>
    </row>
    <row r="80" spans="1:26" x14ac:dyDescent="0.2">
      <c r="A80" s="1"/>
      <c r="B80" s="1"/>
      <c r="C80" s="1"/>
      <c r="D80" s="1"/>
      <c r="E80" s="1"/>
      <c r="F80" s="1"/>
      <c r="G80" s="1"/>
      <c r="H80" s="1"/>
      <c r="I80" s="1"/>
      <c r="J80" s="39" t="s">
        <v>624</v>
      </c>
      <c r="K80" s="40">
        <v>2</v>
      </c>
      <c r="L80" s="41">
        <f>205/98.1</f>
        <v>2.0897043832823652</v>
      </c>
      <c r="M80" s="41">
        <f>380/98.1</f>
        <v>3.8735983690112135</v>
      </c>
      <c r="N80" s="43">
        <f t="shared" si="0"/>
        <v>1.5672782874617739</v>
      </c>
      <c r="O80" s="45">
        <f t="shared" si="1"/>
        <v>1.3931362555215767</v>
      </c>
      <c r="P80" s="42">
        <f t="shared" ref="P80:P86" si="3">2/3*L80*IF(L80&lt;310/98.1,0.91,IF(L80&lt;380/98.1,0.88,0.92))</f>
        <v>1.2677539925246348</v>
      </c>
      <c r="Q80" s="42">
        <f t="shared" ref="Q80:Q86" si="4">2/3*L80*IF(L80&lt;310/98.1,0.88,IF(L80&lt;380/98.1,0.81,0.87))</f>
        <v>1.2259599048589875</v>
      </c>
      <c r="R80" s="42">
        <f t="shared" ref="R80:R86" si="5">2/3*L80*IF(L80&lt;310/98.1,0.85,IF(L80&lt;380/98.1,0.75,0.83))</f>
        <v>1.1841658171933402</v>
      </c>
      <c r="S80" s="43">
        <f t="shared" ref="S80:S86" si="6">2/3*L80*IF(L80&lt;310/98.1,0.8,IF(L80&lt;380/98.1,0.7,0.79))</f>
        <v>1.1145090044172614</v>
      </c>
      <c r="T80" s="44">
        <f t="shared" si="2"/>
        <v>1.3931362555215767</v>
      </c>
      <c r="U80" s="440">
        <f t="shared" ref="U80:V86" si="7">199000/98.1</f>
        <v>2028.5423037716616</v>
      </c>
      <c r="V80" s="440">
        <f t="shared" si="7"/>
        <v>2028.5423037716616</v>
      </c>
      <c r="W80" s="440">
        <f t="shared" ref="W80:W86" si="8">195000/98.1</f>
        <v>1987.7675840978595</v>
      </c>
      <c r="X80" s="440">
        <f t="shared" ref="X80:X86" si="9">191000/98.1</f>
        <v>1946.9928644240572</v>
      </c>
      <c r="Y80" s="442">
        <f t="shared" ref="Y80:Y86" si="10">188000/98.1</f>
        <v>1916.4118246687055</v>
      </c>
      <c r="Z80" s="447">
        <f t="shared" ref="Z80:Z86" si="11">lininterp($U$93:$Y$93,U80:Y80,$Z$93)</f>
        <v>2028.5423037716616</v>
      </c>
    </row>
    <row r="81" spans="1:27" x14ac:dyDescent="0.2">
      <c r="A81" s="1"/>
      <c r="B81" s="1"/>
      <c r="C81" s="1"/>
      <c r="D81" s="1"/>
      <c r="E81" s="1"/>
      <c r="F81" s="1"/>
      <c r="G81" s="1"/>
      <c r="H81" s="1"/>
      <c r="I81" s="1"/>
      <c r="J81" s="39" t="s">
        <v>625</v>
      </c>
      <c r="K81" s="40">
        <v>3</v>
      </c>
      <c r="L81" s="41">
        <f>220/98.1</f>
        <v>2.2426095820591234</v>
      </c>
      <c r="M81" s="41">
        <f>415/98.1</f>
        <v>4.2303771661569831</v>
      </c>
      <c r="N81" s="43">
        <f t="shared" si="0"/>
        <v>1.6819571865443426</v>
      </c>
      <c r="O81" s="45">
        <f t="shared" si="1"/>
        <v>1.4950730547060822</v>
      </c>
      <c r="P81" s="42">
        <f t="shared" si="3"/>
        <v>1.3605164797825349</v>
      </c>
      <c r="Q81" s="42">
        <f t="shared" si="4"/>
        <v>1.3156642881413523</v>
      </c>
      <c r="R81" s="42">
        <f t="shared" si="5"/>
        <v>1.2708120965001699</v>
      </c>
      <c r="S81" s="43">
        <f t="shared" si="6"/>
        <v>1.1960584437648658</v>
      </c>
      <c r="T81" s="44">
        <f t="shared" si="2"/>
        <v>1.4950730547060822</v>
      </c>
      <c r="U81" s="440">
        <f t="shared" si="7"/>
        <v>2028.5423037716616</v>
      </c>
      <c r="V81" s="440">
        <f t="shared" si="7"/>
        <v>2028.5423037716616</v>
      </c>
      <c r="W81" s="440">
        <f t="shared" si="8"/>
        <v>1987.7675840978595</v>
      </c>
      <c r="X81" s="440">
        <f t="shared" si="9"/>
        <v>1946.9928644240572</v>
      </c>
      <c r="Y81" s="442">
        <f t="shared" si="10"/>
        <v>1916.4118246687055</v>
      </c>
      <c r="Z81" s="447">
        <f t="shared" si="11"/>
        <v>2028.5423037716616</v>
      </c>
    </row>
    <row r="82" spans="1:27" ht="35.25" customHeight="1" x14ac:dyDescent="0.2">
      <c r="A82" s="592" t="s">
        <v>374</v>
      </c>
      <c r="B82" s="592"/>
      <c r="C82" s="592"/>
      <c r="D82" s="592"/>
      <c r="E82" s="592"/>
      <c r="F82" s="592"/>
      <c r="G82" s="592"/>
      <c r="H82" s="592"/>
      <c r="I82" s="592"/>
      <c r="J82" s="39" t="s">
        <v>619</v>
      </c>
      <c r="K82" s="40">
        <v>4</v>
      </c>
      <c r="L82" s="41">
        <f>240/98.1</f>
        <v>2.4464831804281348</v>
      </c>
      <c r="M82" s="41">
        <f>450/98.1</f>
        <v>4.5871559633027523</v>
      </c>
      <c r="N82" s="43">
        <f t="shared" si="0"/>
        <v>1.834862385321101</v>
      </c>
      <c r="O82" s="45">
        <f t="shared" si="1"/>
        <v>1.6309887869520898</v>
      </c>
      <c r="P82" s="42">
        <f t="shared" si="3"/>
        <v>1.4841997961264017</v>
      </c>
      <c r="Q82" s="42">
        <f t="shared" si="4"/>
        <v>1.435270132517839</v>
      </c>
      <c r="R82" s="42">
        <f t="shared" si="5"/>
        <v>1.3863404689092762</v>
      </c>
      <c r="S82" s="43">
        <f t="shared" si="6"/>
        <v>1.304791029561672</v>
      </c>
      <c r="T82" s="44">
        <f t="shared" si="2"/>
        <v>1.6309887869520898</v>
      </c>
      <c r="U82" s="440">
        <f t="shared" si="7"/>
        <v>2028.5423037716616</v>
      </c>
      <c r="V82" s="440">
        <f t="shared" si="7"/>
        <v>2028.5423037716616</v>
      </c>
      <c r="W82" s="440">
        <f t="shared" si="8"/>
        <v>1987.7675840978595</v>
      </c>
      <c r="X82" s="440">
        <f t="shared" si="9"/>
        <v>1946.9928644240572</v>
      </c>
      <c r="Y82" s="442">
        <f t="shared" si="10"/>
        <v>1916.4118246687055</v>
      </c>
      <c r="Z82" s="447">
        <f t="shared" si="11"/>
        <v>2028.5423037716616</v>
      </c>
    </row>
    <row r="83" spans="1:27" ht="15.75" x14ac:dyDescent="0.25">
      <c r="A83" s="117" t="s">
        <v>523</v>
      </c>
      <c r="B83" s="1"/>
      <c r="C83" s="1"/>
      <c r="D83" s="1"/>
      <c r="E83" s="1"/>
      <c r="F83" s="1"/>
      <c r="G83" s="1"/>
      <c r="H83" s="1"/>
      <c r="I83" s="1"/>
      <c r="J83" s="39" t="s">
        <v>626</v>
      </c>
      <c r="K83" s="40">
        <v>5</v>
      </c>
      <c r="L83" s="41">
        <f>260/98.1</f>
        <v>2.6503567787971458</v>
      </c>
      <c r="M83" s="41">
        <f>485/98.1</f>
        <v>4.9439347604485224</v>
      </c>
      <c r="N83" s="43">
        <f t="shared" si="0"/>
        <v>1.9877675840978593</v>
      </c>
      <c r="O83" s="45">
        <f t="shared" si="1"/>
        <v>1.7669045191980972</v>
      </c>
      <c r="P83" s="42">
        <f t="shared" si="3"/>
        <v>1.6078831124702686</v>
      </c>
      <c r="Q83" s="42">
        <f t="shared" si="4"/>
        <v>1.5548759768943257</v>
      </c>
      <c r="R83" s="42">
        <f t="shared" si="5"/>
        <v>1.5018688413183825</v>
      </c>
      <c r="S83" s="43">
        <f t="shared" si="6"/>
        <v>1.4135236153584778</v>
      </c>
      <c r="T83" s="44">
        <f t="shared" si="2"/>
        <v>1.7669045191980972</v>
      </c>
      <c r="U83" s="440">
        <f t="shared" si="7"/>
        <v>2028.5423037716616</v>
      </c>
      <c r="V83" s="440">
        <f t="shared" si="7"/>
        <v>2028.5423037716616</v>
      </c>
      <c r="W83" s="440">
        <f t="shared" si="8"/>
        <v>1987.7675840978595</v>
      </c>
      <c r="X83" s="440">
        <f t="shared" si="9"/>
        <v>1946.9928644240572</v>
      </c>
      <c r="Y83" s="442">
        <f t="shared" si="10"/>
        <v>1916.4118246687055</v>
      </c>
      <c r="Z83" s="447">
        <f t="shared" si="11"/>
        <v>2028.5423037716616</v>
      </c>
      <c r="AA83" s="215"/>
    </row>
    <row r="84" spans="1:27" x14ac:dyDescent="0.2">
      <c r="A84" s="1"/>
      <c r="B84" s="1"/>
      <c r="C84" s="1"/>
      <c r="D84" s="1"/>
      <c r="E84" s="1"/>
      <c r="F84" s="1"/>
      <c r="G84" s="1"/>
      <c r="H84" s="1"/>
      <c r="I84" s="1"/>
      <c r="J84" s="39" t="s">
        <v>616</v>
      </c>
      <c r="K84" s="40">
        <v>6</v>
      </c>
      <c r="L84" s="41">
        <v>2.4</v>
      </c>
      <c r="M84" s="41">
        <v>3.7</v>
      </c>
      <c r="N84" s="43">
        <f t="shared" si="0"/>
        <v>1.5857142857142856</v>
      </c>
      <c r="O84" s="45">
        <f t="shared" si="1"/>
        <v>1.4800000000000002</v>
      </c>
      <c r="P84" s="42">
        <f t="shared" si="3"/>
        <v>1.456</v>
      </c>
      <c r="Q84" s="42">
        <f t="shared" si="4"/>
        <v>1.4079999999999999</v>
      </c>
      <c r="R84" s="42">
        <f t="shared" si="5"/>
        <v>1.3599999999999999</v>
      </c>
      <c r="S84" s="43">
        <f t="shared" si="6"/>
        <v>1.28</v>
      </c>
      <c r="T84" s="44">
        <f t="shared" si="2"/>
        <v>1.4800000000000002</v>
      </c>
      <c r="U84" s="440">
        <f t="shared" si="7"/>
        <v>2028.5423037716616</v>
      </c>
      <c r="V84" s="440">
        <f t="shared" si="7"/>
        <v>2028.5423037716616</v>
      </c>
      <c r="W84" s="440">
        <f t="shared" si="8"/>
        <v>1987.7675840978595</v>
      </c>
      <c r="X84" s="440">
        <f t="shared" si="9"/>
        <v>1946.9928644240572</v>
      </c>
      <c r="Y84" s="442">
        <f t="shared" si="10"/>
        <v>1916.4118246687055</v>
      </c>
      <c r="Z84" s="447">
        <f t="shared" si="11"/>
        <v>2028.5423037716616</v>
      </c>
      <c r="AA84" s="140"/>
    </row>
    <row r="85" spans="1:27" x14ac:dyDescent="0.2">
      <c r="A85" s="38" t="s">
        <v>522</v>
      </c>
      <c r="B85" s="1"/>
      <c r="C85" s="1"/>
      <c r="D85" s="1"/>
      <c r="E85" s="1"/>
      <c r="F85" s="1"/>
      <c r="G85" s="1"/>
      <c r="H85" s="1"/>
      <c r="I85" s="1"/>
      <c r="J85" s="39" t="s">
        <v>617</v>
      </c>
      <c r="K85" s="40">
        <v>7</v>
      </c>
      <c r="L85" s="41">
        <v>2.7</v>
      </c>
      <c r="M85" s="41">
        <v>4.2</v>
      </c>
      <c r="N85" s="43">
        <f t="shared" si="0"/>
        <v>1.8</v>
      </c>
      <c r="O85" s="45">
        <f t="shared" si="1"/>
        <v>1.6800000000000002</v>
      </c>
      <c r="P85" s="42">
        <f t="shared" si="3"/>
        <v>1.6380000000000001</v>
      </c>
      <c r="Q85" s="42">
        <f t="shared" si="4"/>
        <v>1.5840000000000001</v>
      </c>
      <c r="R85" s="42">
        <f t="shared" si="5"/>
        <v>1.53</v>
      </c>
      <c r="S85" s="43">
        <f t="shared" si="6"/>
        <v>1.4400000000000002</v>
      </c>
      <c r="T85" s="44">
        <f t="shared" si="2"/>
        <v>1.6800000000000002</v>
      </c>
      <c r="U85" s="440">
        <f t="shared" si="7"/>
        <v>2028.5423037716616</v>
      </c>
      <c r="V85" s="440">
        <f t="shared" si="7"/>
        <v>2028.5423037716616</v>
      </c>
      <c r="W85" s="440">
        <f t="shared" si="8"/>
        <v>1987.7675840978595</v>
      </c>
      <c r="X85" s="440">
        <f t="shared" si="9"/>
        <v>1946.9928644240572</v>
      </c>
      <c r="Y85" s="442">
        <f t="shared" si="10"/>
        <v>1916.4118246687055</v>
      </c>
      <c r="Z85" s="447">
        <f t="shared" si="11"/>
        <v>2028.5423037716616</v>
      </c>
      <c r="AA85" s="42"/>
    </row>
    <row r="86" spans="1:27" x14ac:dyDescent="0.2">
      <c r="A86" s="1"/>
      <c r="B86" s="5" t="s">
        <v>0</v>
      </c>
      <c r="C86" s="5"/>
      <c r="D86" s="5"/>
      <c r="E86" s="5"/>
      <c r="F86" s="46" t="s">
        <v>1</v>
      </c>
      <c r="G86" s="47" t="s">
        <v>2</v>
      </c>
      <c r="H86" s="451">
        <v>10</v>
      </c>
      <c r="I86" s="5" t="s">
        <v>3</v>
      </c>
      <c r="J86" s="428" t="s">
        <v>618</v>
      </c>
      <c r="K86" s="429">
        <v>8</v>
      </c>
      <c r="L86" s="430">
        <v>3.4</v>
      </c>
      <c r="M86" s="430">
        <v>5.2</v>
      </c>
      <c r="N86" s="431">
        <f t="shared" si="0"/>
        <v>2.2285714285714286</v>
      </c>
      <c r="O86" s="432">
        <f t="shared" si="1"/>
        <v>2.08</v>
      </c>
      <c r="P86" s="433">
        <f t="shared" si="3"/>
        <v>1.9946666666666666</v>
      </c>
      <c r="Q86" s="433">
        <f t="shared" si="4"/>
        <v>1.8360000000000001</v>
      </c>
      <c r="R86" s="433">
        <f t="shared" si="5"/>
        <v>1.7</v>
      </c>
      <c r="S86" s="431">
        <f t="shared" si="6"/>
        <v>1.5866666666666664</v>
      </c>
      <c r="T86" s="434">
        <f t="shared" si="2"/>
        <v>2.08</v>
      </c>
      <c r="U86" s="443">
        <f t="shared" si="7"/>
        <v>2028.5423037716616</v>
      </c>
      <c r="V86" s="444">
        <f t="shared" si="7"/>
        <v>2028.5423037716616</v>
      </c>
      <c r="W86" s="444">
        <f t="shared" si="8"/>
        <v>1987.7675840978595</v>
      </c>
      <c r="X86" s="444">
        <f t="shared" si="9"/>
        <v>1946.9928644240572</v>
      </c>
      <c r="Y86" s="445">
        <f t="shared" si="10"/>
        <v>1916.4118246687055</v>
      </c>
      <c r="Z86" s="448">
        <f t="shared" si="11"/>
        <v>2028.5423037716616</v>
      </c>
      <c r="AA86" s="42"/>
    </row>
    <row r="87" spans="1:27" x14ac:dyDescent="0.2">
      <c r="A87" s="1"/>
      <c r="B87" s="5" t="s">
        <v>4</v>
      </c>
      <c r="C87" s="5"/>
      <c r="D87" s="5"/>
      <c r="E87" s="5"/>
      <c r="F87" s="46" t="s">
        <v>5</v>
      </c>
      <c r="G87" s="47" t="s">
        <v>2</v>
      </c>
      <c r="H87" s="451">
        <v>9</v>
      </c>
      <c r="I87" s="5" t="s">
        <v>3</v>
      </c>
      <c r="J87" s="349" t="s">
        <v>627</v>
      </c>
      <c r="K87" s="40">
        <v>9</v>
      </c>
      <c r="L87" s="436">
        <f>205/98.1</f>
        <v>2.0897043832823652</v>
      </c>
      <c r="M87" s="439">
        <f>515/98.1</f>
        <v>5.2497451580020389</v>
      </c>
      <c r="N87" s="439">
        <f>186/98.1</f>
        <v>1.8960244648318043</v>
      </c>
      <c r="O87" s="45">
        <f>155/98.1</f>
        <v>1.5800203873598371</v>
      </c>
      <c r="P87" s="42">
        <f>155/98.1</f>
        <v>1.5800203873598371</v>
      </c>
      <c r="Q87" s="42">
        <f>140/98.1</f>
        <v>1.4271151885830786</v>
      </c>
      <c r="R87" s="42">
        <f>128/98.1</f>
        <v>1.3047910295616718</v>
      </c>
      <c r="S87" s="43">
        <f>121/98.1</f>
        <v>1.233435270132518</v>
      </c>
      <c r="T87" s="44">
        <f t="shared" ref="T87:T92" si="12">lininterp($O$94:$S$94,O87:S87,$T$93)</f>
        <v>1.5800203873598371</v>
      </c>
      <c r="U87" s="446">
        <f t="shared" ref="U87:U92" si="13">193000/98.1</f>
        <v>1967.3802242609584</v>
      </c>
      <c r="V87" s="440">
        <f t="shared" ref="V87:V92" si="14">189000/98.1</f>
        <v>1926.605504587156</v>
      </c>
      <c r="W87" s="440">
        <f t="shared" ref="W87:W92" si="15">183000/98.1</f>
        <v>1865.4434250764527</v>
      </c>
      <c r="X87" s="440">
        <f t="shared" ref="X87:X92" si="16">180000/98.1</f>
        <v>1834.8623853211011</v>
      </c>
      <c r="Y87" s="442">
        <f t="shared" ref="Y87:Y92" si="17">174000/98.1</f>
        <v>1773.7003058103976</v>
      </c>
      <c r="Z87" s="447">
        <f t="shared" ref="Z87:Z92" si="18">lininterp($U$94:$Y$94,U87:Y87,$Z$93)</f>
        <v>1967.3802242609584</v>
      </c>
      <c r="AA87" s="42"/>
    </row>
    <row r="88" spans="1:27" x14ac:dyDescent="0.2">
      <c r="A88" s="1"/>
      <c r="B88" s="5" t="s">
        <v>134</v>
      </c>
      <c r="C88" s="5"/>
      <c r="D88" s="5"/>
      <c r="E88" s="5"/>
      <c r="F88" s="46"/>
      <c r="G88" s="47"/>
      <c r="H88" s="48">
        <f>H86^2/4*PI()*H87</f>
        <v>706.85834705770344</v>
      </c>
      <c r="I88" s="5" t="s">
        <v>135</v>
      </c>
      <c r="J88" s="349" t="s">
        <v>628</v>
      </c>
      <c r="K88" s="40">
        <v>10</v>
      </c>
      <c r="L88" s="437">
        <f>170/98.1</f>
        <v>1.7329255861365953</v>
      </c>
      <c r="M88" s="439">
        <f>485/98.1</f>
        <v>4.9439347604485224</v>
      </c>
      <c r="N88" s="439">
        <f>155/98.1</f>
        <v>1.5800203873598371</v>
      </c>
      <c r="O88" s="45">
        <f>145/98.1</f>
        <v>1.4780835881753314</v>
      </c>
      <c r="P88" s="42">
        <f>132/98.1</f>
        <v>1.345565749235474</v>
      </c>
      <c r="Q88" s="42">
        <f>119/98.1</f>
        <v>1.2130479102956169</v>
      </c>
      <c r="R88" s="42">
        <f>109/98.1</f>
        <v>1.1111111111111112</v>
      </c>
      <c r="S88" s="43">
        <f>101/98.1</f>
        <v>1.0295616717635068</v>
      </c>
      <c r="T88" s="44">
        <f t="shared" si="12"/>
        <v>1.4780835881753314</v>
      </c>
      <c r="U88" s="446">
        <f t="shared" si="13"/>
        <v>1967.3802242609584</v>
      </c>
      <c r="V88" s="440">
        <f t="shared" si="14"/>
        <v>1926.605504587156</v>
      </c>
      <c r="W88" s="440">
        <f t="shared" si="15"/>
        <v>1865.4434250764527</v>
      </c>
      <c r="X88" s="440">
        <f t="shared" si="16"/>
        <v>1834.8623853211011</v>
      </c>
      <c r="Y88" s="442">
        <f t="shared" si="17"/>
        <v>1773.7003058103976</v>
      </c>
      <c r="Z88" s="447">
        <f t="shared" si="18"/>
        <v>1967.3802242609584</v>
      </c>
      <c r="AA88" s="42"/>
    </row>
    <row r="89" spans="1:27" x14ac:dyDescent="0.2">
      <c r="A89" s="1"/>
      <c r="B89" s="5" t="s">
        <v>6</v>
      </c>
      <c r="C89" s="5"/>
      <c r="D89" s="5"/>
      <c r="E89" s="5"/>
      <c r="F89" s="46" t="s">
        <v>7</v>
      </c>
      <c r="G89" s="47" t="s">
        <v>2</v>
      </c>
      <c r="H89" s="451">
        <v>1</v>
      </c>
      <c r="I89" s="5" t="s">
        <v>3</v>
      </c>
      <c r="J89" s="349" t="s">
        <v>629</v>
      </c>
      <c r="K89" s="40">
        <v>11</v>
      </c>
      <c r="L89" s="437">
        <f>205/98.1</f>
        <v>2.0897043832823652</v>
      </c>
      <c r="M89" s="439">
        <f>515/98.1</f>
        <v>5.2497451580020389</v>
      </c>
      <c r="N89" s="439">
        <f>186/98.1</f>
        <v>1.8960244648318043</v>
      </c>
      <c r="O89" s="45">
        <f>155/98.1</f>
        <v>1.5800203873598371</v>
      </c>
      <c r="P89" s="42">
        <f>155/98.1</f>
        <v>1.5800203873598371</v>
      </c>
      <c r="Q89" s="42">
        <f>145/98.1</f>
        <v>1.4780835881753314</v>
      </c>
      <c r="R89" s="42">
        <f>133/98.1</f>
        <v>1.3557594291539246</v>
      </c>
      <c r="S89" s="43">
        <f>123/98.1</f>
        <v>1.2538226299694191</v>
      </c>
      <c r="T89" s="44">
        <f t="shared" si="12"/>
        <v>1.5800203873598371</v>
      </c>
      <c r="U89" s="446">
        <f t="shared" si="13"/>
        <v>1967.3802242609584</v>
      </c>
      <c r="V89" s="440">
        <f t="shared" si="14"/>
        <v>1926.605504587156</v>
      </c>
      <c r="W89" s="440">
        <f t="shared" si="15"/>
        <v>1865.4434250764527</v>
      </c>
      <c r="X89" s="440">
        <f t="shared" si="16"/>
        <v>1834.8623853211011</v>
      </c>
      <c r="Y89" s="442">
        <f t="shared" si="17"/>
        <v>1773.7003058103976</v>
      </c>
      <c r="Z89" s="447">
        <f t="shared" si="18"/>
        <v>1967.3802242609584</v>
      </c>
      <c r="AA89" s="42"/>
    </row>
    <row r="90" spans="1:27" x14ac:dyDescent="0.2">
      <c r="A90" s="1"/>
      <c r="B90" s="5"/>
      <c r="C90" s="5"/>
      <c r="D90" s="5" t="s">
        <v>8</v>
      </c>
      <c r="E90" s="1"/>
      <c r="F90" s="46" t="s">
        <v>71</v>
      </c>
      <c r="G90" s="47" t="s">
        <v>2</v>
      </c>
      <c r="H90" s="51">
        <f>+H87+H89</f>
        <v>10</v>
      </c>
      <c r="I90" s="5" t="s">
        <v>3</v>
      </c>
      <c r="J90" s="349" t="s">
        <v>630</v>
      </c>
      <c r="K90" s="40">
        <v>12</v>
      </c>
      <c r="L90" s="437">
        <f>170/98.1</f>
        <v>1.7329255861365953</v>
      </c>
      <c r="M90" s="50">
        <f>485/98.1</f>
        <v>4.9439347604485224</v>
      </c>
      <c r="N90" s="49">
        <f>155/98.1</f>
        <v>1.5800203873598371</v>
      </c>
      <c r="O90" s="45">
        <f>145/98.1</f>
        <v>1.4780835881753314</v>
      </c>
      <c r="P90" s="42">
        <f>131/98.1</f>
        <v>1.3353720693170235</v>
      </c>
      <c r="Q90" s="42">
        <f>117/98.1</f>
        <v>1.1926605504587158</v>
      </c>
      <c r="R90" s="42">
        <f>107/98.1</f>
        <v>1.0907237512742101</v>
      </c>
      <c r="S90" s="43">
        <f>99/98.1</f>
        <v>1.0091743119266057</v>
      </c>
      <c r="T90" s="44">
        <f t="shared" si="12"/>
        <v>1.4780835881753314</v>
      </c>
      <c r="U90" s="446">
        <f t="shared" si="13"/>
        <v>1967.3802242609584</v>
      </c>
      <c r="V90" s="440">
        <f t="shared" si="14"/>
        <v>1926.605504587156</v>
      </c>
      <c r="W90" s="440">
        <f t="shared" si="15"/>
        <v>1865.4434250764527</v>
      </c>
      <c r="X90" s="440">
        <f t="shared" si="16"/>
        <v>1834.8623853211011</v>
      </c>
      <c r="Y90" s="442">
        <f t="shared" si="17"/>
        <v>1773.7003058103976</v>
      </c>
      <c r="Z90" s="447">
        <f t="shared" si="18"/>
        <v>1967.3802242609584</v>
      </c>
      <c r="AA90" s="42"/>
    </row>
    <row r="91" spans="1:27" x14ac:dyDescent="0.2">
      <c r="A91" s="1"/>
      <c r="B91" s="5" t="s">
        <v>12</v>
      </c>
      <c r="C91" s="5"/>
      <c r="D91" s="5"/>
      <c r="E91" s="5"/>
      <c r="F91" s="46" t="s">
        <v>13</v>
      </c>
      <c r="G91" s="47" t="s">
        <v>2</v>
      </c>
      <c r="H91" s="451">
        <v>1</v>
      </c>
      <c r="I91" s="5"/>
      <c r="J91" s="349" t="s">
        <v>631</v>
      </c>
      <c r="K91" s="40">
        <v>13</v>
      </c>
      <c r="L91" s="437">
        <f>205/98.1</f>
        <v>2.0897043832823652</v>
      </c>
      <c r="M91" s="50">
        <f>515/98.1</f>
        <v>5.2497451580020389</v>
      </c>
      <c r="N91" s="49">
        <f>186/98.1</f>
        <v>1.8960244648318043</v>
      </c>
      <c r="O91" s="45">
        <f>155/98.1</f>
        <v>1.5800203873598371</v>
      </c>
      <c r="P91" s="42">
        <f>155/98.1</f>
        <v>1.5800203873598371</v>
      </c>
      <c r="Q91" s="42">
        <f>145/98.1</f>
        <v>1.4780835881753314</v>
      </c>
      <c r="R91" s="42">
        <f>133/98.1</f>
        <v>1.3557594291539246</v>
      </c>
      <c r="S91" s="43">
        <f>123/98.1</f>
        <v>1.2538226299694191</v>
      </c>
      <c r="T91" s="44">
        <f t="shared" si="12"/>
        <v>1.5800203873598371</v>
      </c>
      <c r="U91" s="446">
        <f t="shared" si="13"/>
        <v>1967.3802242609584</v>
      </c>
      <c r="V91" s="440">
        <f t="shared" si="14"/>
        <v>1926.605504587156</v>
      </c>
      <c r="W91" s="440">
        <f t="shared" si="15"/>
        <v>1865.4434250764527</v>
      </c>
      <c r="X91" s="440">
        <f t="shared" si="16"/>
        <v>1834.8623853211011</v>
      </c>
      <c r="Y91" s="442">
        <f t="shared" si="17"/>
        <v>1773.7003058103976</v>
      </c>
      <c r="Z91" s="447">
        <f t="shared" si="18"/>
        <v>1967.3802242609584</v>
      </c>
      <c r="AA91" s="42"/>
    </row>
    <row r="92" spans="1:27" ht="13.5" thickBot="1" x14ac:dyDescent="0.25">
      <c r="A92" s="1"/>
      <c r="B92" s="5" t="s">
        <v>339</v>
      </c>
      <c r="C92" s="5"/>
      <c r="D92" s="1"/>
      <c r="E92" s="1"/>
      <c r="F92" s="55" t="s">
        <v>338</v>
      </c>
      <c r="G92" s="47" t="s">
        <v>2</v>
      </c>
      <c r="H92" s="339">
        <v>40</v>
      </c>
      <c r="I92" s="5" t="s">
        <v>340</v>
      </c>
      <c r="J92" s="349" t="s">
        <v>632</v>
      </c>
      <c r="K92" s="53">
        <v>14</v>
      </c>
      <c r="L92" s="438">
        <f>205/98.1</f>
        <v>2.0897043832823652</v>
      </c>
      <c r="M92" s="435">
        <f>515/98.1</f>
        <v>5.2497451580020389</v>
      </c>
      <c r="N92" s="54">
        <f>186/98.1</f>
        <v>1.8960244648318043</v>
      </c>
      <c r="O92" s="45">
        <f>155/98.1</f>
        <v>1.5800203873598371</v>
      </c>
      <c r="P92" s="42">
        <f>155/98.1</f>
        <v>1.5800203873598371</v>
      </c>
      <c r="Q92" s="42">
        <f>145/98.1</f>
        <v>1.4780835881753314</v>
      </c>
      <c r="R92" s="42">
        <f>133/98.1</f>
        <v>1.3557594291539246</v>
      </c>
      <c r="S92" s="43">
        <f>123/98.1</f>
        <v>1.2538226299694191</v>
      </c>
      <c r="T92" s="44">
        <f t="shared" si="12"/>
        <v>1.5800203873598371</v>
      </c>
      <c r="U92" s="446">
        <f t="shared" si="13"/>
        <v>1967.3802242609584</v>
      </c>
      <c r="V92" s="440">
        <f t="shared" si="14"/>
        <v>1926.605504587156</v>
      </c>
      <c r="W92" s="440">
        <f t="shared" si="15"/>
        <v>1865.4434250764527</v>
      </c>
      <c r="X92" s="440">
        <f t="shared" si="16"/>
        <v>1834.8623853211011</v>
      </c>
      <c r="Y92" s="442">
        <f t="shared" si="17"/>
        <v>1773.7003058103976</v>
      </c>
      <c r="Z92" s="447">
        <f t="shared" si="18"/>
        <v>1967.3802242609584</v>
      </c>
      <c r="AA92" s="42"/>
    </row>
    <row r="93" spans="1:27" ht="13.5" thickBot="1" x14ac:dyDescent="0.25">
      <c r="A93" s="1"/>
      <c r="B93" s="5" t="s">
        <v>356</v>
      </c>
      <c r="C93" s="5"/>
      <c r="D93" s="5"/>
      <c r="E93" s="5"/>
      <c r="F93" s="46" t="s">
        <v>75</v>
      </c>
      <c r="G93" s="47" t="s">
        <v>2</v>
      </c>
      <c r="H93" s="51">
        <f>LOOKUP(J93,K79:K92,L79:L92)</f>
        <v>2.5280326197757392</v>
      </c>
      <c r="I93" s="5" t="s">
        <v>96</v>
      </c>
      <c r="J93" s="453">
        <v>1</v>
      </c>
      <c r="K93" s="58" t="s">
        <v>338</v>
      </c>
      <c r="L93" s="441"/>
      <c r="M93" s="59"/>
      <c r="N93" s="60"/>
      <c r="O93" s="61">
        <v>90</v>
      </c>
      <c r="P93" s="56">
        <v>91</v>
      </c>
      <c r="Q93" s="56">
        <v>150</v>
      </c>
      <c r="R93" s="56">
        <v>200</v>
      </c>
      <c r="S93" s="57">
        <v>260</v>
      </c>
      <c r="T93" s="58">
        <f>H92</f>
        <v>40</v>
      </c>
      <c r="U93" s="61">
        <v>0</v>
      </c>
      <c r="V93" s="56">
        <v>90</v>
      </c>
      <c r="W93" s="56">
        <v>150</v>
      </c>
      <c r="X93" s="56">
        <v>200</v>
      </c>
      <c r="Y93" s="57">
        <v>260</v>
      </c>
      <c r="Z93" s="58">
        <f>H92</f>
        <v>40</v>
      </c>
      <c r="AA93" s="215"/>
    </row>
    <row r="94" spans="1:27" ht="13.5" thickBot="1" x14ac:dyDescent="0.25">
      <c r="A94" s="1"/>
      <c r="B94" s="5" t="s">
        <v>341</v>
      </c>
      <c r="C94" s="1"/>
      <c r="D94" s="1"/>
      <c r="E94" s="1"/>
      <c r="F94" s="62" t="s">
        <v>344</v>
      </c>
      <c r="G94" s="47" t="s">
        <v>2</v>
      </c>
      <c r="H94" s="63">
        <f>LOOKUP(J93,K79:K92,Z79:Z92)</f>
        <v>2028.5423037716616</v>
      </c>
      <c r="I94" s="64" t="s">
        <v>96</v>
      </c>
      <c r="J94" s="12" t="str">
        <f>IF(J93&lt;=K86,"ACERO CARBONO","ACERO INOXIDABLE")</f>
        <v>ACERO CARBONO</v>
      </c>
      <c r="K94" s="215"/>
      <c r="L94" s="440"/>
      <c r="M94" s="12"/>
      <c r="N94" s="15"/>
      <c r="O94" s="61">
        <v>40</v>
      </c>
      <c r="P94" s="56">
        <v>90</v>
      </c>
      <c r="Q94" s="56">
        <v>150</v>
      </c>
      <c r="R94" s="56">
        <v>200</v>
      </c>
      <c r="S94" s="57">
        <v>260</v>
      </c>
      <c r="U94" s="61">
        <v>40</v>
      </c>
      <c r="V94" s="56">
        <v>90</v>
      </c>
      <c r="W94" s="56">
        <v>150</v>
      </c>
      <c r="X94" s="56">
        <v>200</v>
      </c>
      <c r="Y94" s="57">
        <v>260</v>
      </c>
    </row>
    <row r="95" spans="1:27" x14ac:dyDescent="0.2">
      <c r="A95" s="1"/>
      <c r="B95" s="1"/>
      <c r="C95" s="1"/>
      <c r="D95" s="1"/>
      <c r="E95" s="1"/>
      <c r="F95" s="1"/>
      <c r="G95" s="67" t="str">
        <f>IF(H92&gt;260,"Temperatura muy alta","")</f>
        <v/>
      </c>
      <c r="H95" s="47"/>
      <c r="I95" s="1"/>
      <c r="J95" s="12"/>
      <c r="K95" s="12"/>
      <c r="L95" s="12"/>
      <c r="M95" s="12"/>
      <c r="O95" s="29"/>
      <c r="P95" s="65"/>
      <c r="Q95" s="66"/>
      <c r="R95" s="29"/>
      <c r="S95" s="29"/>
      <c r="T95" s="29"/>
      <c r="U95" s="29"/>
    </row>
    <row r="96" spans="1:27" s="74" customFormat="1" ht="12.75" customHeight="1" thickBot="1" x14ac:dyDescent="0.25">
      <c r="A96" s="68"/>
      <c r="B96" s="68"/>
      <c r="C96" s="68"/>
      <c r="D96" s="68"/>
      <c r="E96" s="68"/>
      <c r="F96" s="68"/>
      <c r="G96" s="68"/>
      <c r="H96" s="69"/>
      <c r="I96" s="68"/>
      <c r="J96" s="70"/>
      <c r="K96" s="70"/>
      <c r="L96" s="70"/>
      <c r="M96" s="71"/>
      <c r="N96" s="72"/>
      <c r="O96" s="73"/>
      <c r="P96" s="73"/>
      <c r="Q96" s="73"/>
      <c r="R96" s="73"/>
      <c r="S96" s="73"/>
      <c r="T96" s="73"/>
      <c r="U96" s="73"/>
    </row>
    <row r="97" spans="1:22" x14ac:dyDescent="0.2">
      <c r="A97" s="75" t="s">
        <v>512</v>
      </c>
      <c r="B97" s="76"/>
      <c r="C97" s="76"/>
      <c r="D97" s="76"/>
      <c r="E97" s="76"/>
      <c r="F97" s="76"/>
      <c r="G97" s="69"/>
      <c r="H97" s="510"/>
      <c r="I97" s="76"/>
      <c r="J97" s="78" t="s">
        <v>137</v>
      </c>
      <c r="K97" s="79" t="s">
        <v>141</v>
      </c>
      <c r="L97" s="80" t="s">
        <v>107</v>
      </c>
      <c r="M97" s="81"/>
      <c r="P97" s="82"/>
      <c r="Q97" s="73"/>
      <c r="R97" s="73"/>
      <c r="S97" s="73"/>
      <c r="T97" s="73"/>
      <c r="U97" s="73"/>
      <c r="V97" s="16"/>
    </row>
    <row r="98" spans="1:22" ht="12" customHeight="1" x14ac:dyDescent="0.2">
      <c r="A98" s="1"/>
      <c r="B98" s="5" t="s">
        <v>20</v>
      </c>
      <c r="C98" s="5"/>
      <c r="D98" s="5"/>
      <c r="E98" s="5"/>
      <c r="F98" s="46" t="s">
        <v>108</v>
      </c>
      <c r="G98" s="47" t="s">
        <v>2</v>
      </c>
      <c r="H98" s="452">
        <v>2</v>
      </c>
      <c r="I98" s="5" t="s">
        <v>11</v>
      </c>
      <c r="J98" s="83" t="s">
        <v>143</v>
      </c>
      <c r="K98" s="84">
        <v>1</v>
      </c>
      <c r="L98" s="85">
        <v>1.2</v>
      </c>
      <c r="M98" s="81"/>
      <c r="P98" s="82"/>
      <c r="Q98" s="73"/>
      <c r="R98" s="73"/>
      <c r="S98" s="73"/>
      <c r="T98" s="73"/>
      <c r="U98" s="73"/>
      <c r="V98" s="16"/>
    </row>
    <row r="99" spans="1:22" x14ac:dyDescent="0.2">
      <c r="A99" s="1"/>
      <c r="B99" s="5" t="s">
        <v>21</v>
      </c>
      <c r="C99" s="5"/>
      <c r="D99" s="5"/>
      <c r="E99" s="5"/>
      <c r="F99" s="46" t="s">
        <v>109</v>
      </c>
      <c r="G99" s="47" t="s">
        <v>2</v>
      </c>
      <c r="H99" s="452">
        <v>2</v>
      </c>
      <c r="I99" s="5" t="s">
        <v>11</v>
      </c>
      <c r="J99" s="83" t="s">
        <v>145</v>
      </c>
      <c r="K99" s="84">
        <f>K98+1</f>
        <v>2</v>
      </c>
      <c r="L99" s="85">
        <v>1</v>
      </c>
      <c r="M99" s="81"/>
      <c r="O99" s="86"/>
      <c r="P99" s="86"/>
      <c r="Q99" s="73"/>
      <c r="R99" s="86"/>
      <c r="S99" s="87"/>
      <c r="T99" s="22"/>
      <c r="U99" s="22"/>
      <c r="V99" s="16"/>
    </row>
    <row r="100" spans="1:22" ht="13.5" thickBot="1" x14ac:dyDescent="0.25">
      <c r="A100" s="1"/>
      <c r="B100" s="5" t="s">
        <v>22</v>
      </c>
      <c r="C100" s="5"/>
      <c r="D100" s="5"/>
      <c r="E100" s="5"/>
      <c r="F100" s="46" t="s">
        <v>110</v>
      </c>
      <c r="G100" s="47" t="s">
        <v>2</v>
      </c>
      <c r="H100" s="452">
        <v>2</v>
      </c>
      <c r="I100" s="5" t="s">
        <v>11</v>
      </c>
      <c r="J100" s="88" t="s">
        <v>146</v>
      </c>
      <c r="K100" s="89">
        <f>K99+1</f>
        <v>3</v>
      </c>
      <c r="L100" s="90">
        <v>0.8</v>
      </c>
      <c r="M100" s="81"/>
      <c r="O100" s="86"/>
      <c r="P100" s="86"/>
      <c r="Q100" s="86"/>
      <c r="R100" s="86"/>
      <c r="S100" s="87"/>
      <c r="T100" s="22"/>
      <c r="U100" s="22"/>
      <c r="V100" s="16"/>
    </row>
    <row r="101" spans="1:22" ht="13.5" thickBot="1" x14ac:dyDescent="0.25">
      <c r="A101" s="1"/>
      <c r="B101" s="1"/>
      <c r="C101" s="1"/>
      <c r="D101" s="1"/>
      <c r="E101" s="1"/>
      <c r="F101" s="1"/>
      <c r="G101" s="1"/>
      <c r="H101" s="47"/>
      <c r="I101" s="1"/>
      <c r="J101" s="454">
        <v>2</v>
      </c>
      <c r="K101" s="84"/>
      <c r="L101" s="91"/>
      <c r="M101" s="81"/>
      <c r="O101" s="92"/>
      <c r="P101" s="86"/>
      <c r="Q101" s="86"/>
      <c r="R101" s="86"/>
      <c r="S101" s="87"/>
      <c r="T101" s="22"/>
      <c r="U101" s="22"/>
      <c r="V101" s="16"/>
    </row>
    <row r="102" spans="1:22" ht="13.5" thickBot="1" x14ac:dyDescent="0.25">
      <c r="A102" s="1"/>
      <c r="B102" s="1"/>
      <c r="C102" s="1"/>
      <c r="D102" s="1"/>
      <c r="E102" s="1"/>
      <c r="F102" s="1"/>
      <c r="G102" s="1"/>
      <c r="H102" s="47"/>
      <c r="I102" s="1"/>
      <c r="J102" s="84"/>
      <c r="K102" s="81"/>
      <c r="L102" s="81"/>
      <c r="M102" s="93" t="s">
        <v>315</v>
      </c>
      <c r="O102" s="92"/>
      <c r="P102" s="86"/>
      <c r="Q102" s="86"/>
      <c r="R102" s="86"/>
      <c r="S102" s="94"/>
      <c r="T102" s="22"/>
      <c r="U102" s="22"/>
      <c r="V102" s="16"/>
    </row>
    <row r="103" spans="1:22" x14ac:dyDescent="0.2">
      <c r="A103" s="38" t="s">
        <v>513</v>
      </c>
      <c r="B103" s="5"/>
      <c r="C103" s="5"/>
      <c r="D103" s="5"/>
      <c r="E103" s="5"/>
      <c r="F103" s="46"/>
      <c r="G103" s="47"/>
      <c r="H103" s="95"/>
      <c r="I103" s="5"/>
      <c r="J103" s="78" t="s">
        <v>138</v>
      </c>
      <c r="K103" s="79" t="s">
        <v>141</v>
      </c>
      <c r="L103" s="79" t="s">
        <v>139</v>
      </c>
      <c r="M103" s="80" t="s">
        <v>152</v>
      </c>
      <c r="O103" s="92"/>
      <c r="P103" s="86"/>
      <c r="Q103" s="86"/>
      <c r="R103" s="86"/>
      <c r="S103" s="94"/>
      <c r="T103" s="22"/>
      <c r="U103" s="22"/>
      <c r="V103" s="16"/>
    </row>
    <row r="104" spans="1:22" x14ac:dyDescent="0.2">
      <c r="A104" s="1"/>
      <c r="B104" s="5" t="s">
        <v>185</v>
      </c>
      <c r="C104" s="5"/>
      <c r="D104" s="5"/>
      <c r="E104" s="5"/>
      <c r="F104" s="46" t="s">
        <v>139</v>
      </c>
      <c r="G104" s="47" t="s">
        <v>2</v>
      </c>
      <c r="H104" s="51">
        <f>LOOKUP(J107,K104:K106,L104:L106)</f>
        <v>0.4</v>
      </c>
      <c r="I104" s="5" t="s">
        <v>140</v>
      </c>
      <c r="J104" s="83" t="s">
        <v>107</v>
      </c>
      <c r="K104" s="84">
        <v>1</v>
      </c>
      <c r="L104" s="84">
        <v>0.2</v>
      </c>
      <c r="M104" s="96">
        <f>0.5*M106</f>
        <v>0.16</v>
      </c>
      <c r="O104" s="92"/>
      <c r="P104" s="86"/>
      <c r="Q104" s="86"/>
      <c r="R104" s="86"/>
      <c r="S104" s="94"/>
      <c r="T104" s="22"/>
      <c r="U104" s="22"/>
      <c r="V104" s="16"/>
    </row>
    <row r="105" spans="1:22" x14ac:dyDescent="0.2">
      <c r="A105" s="1"/>
      <c r="B105" s="1"/>
      <c r="C105" s="1"/>
      <c r="D105" s="1"/>
      <c r="E105" s="5"/>
      <c r="F105" s="1"/>
      <c r="G105" s="1"/>
      <c r="H105" s="47"/>
      <c r="I105" s="5"/>
      <c r="J105" s="83" t="s">
        <v>147</v>
      </c>
      <c r="K105" s="84">
        <f>K104+1</f>
        <v>2</v>
      </c>
      <c r="L105" s="84">
        <v>0.3</v>
      </c>
      <c r="M105" s="96">
        <f>0.75*M106</f>
        <v>0.24</v>
      </c>
      <c r="O105" s="92"/>
      <c r="P105" s="86"/>
      <c r="Q105" s="86"/>
      <c r="R105" s="86"/>
      <c r="S105" s="94"/>
      <c r="T105" s="22"/>
      <c r="U105" s="22"/>
      <c r="V105" s="16"/>
    </row>
    <row r="106" spans="1:22" ht="13.5" thickBot="1" x14ac:dyDescent="0.25">
      <c r="A106" s="1"/>
      <c r="B106" s="5" t="s">
        <v>186</v>
      </c>
      <c r="C106" s="5"/>
      <c r="D106" s="5"/>
      <c r="E106" s="5"/>
      <c r="F106" s="46" t="s">
        <v>107</v>
      </c>
      <c r="G106" s="47" t="s">
        <v>2</v>
      </c>
      <c r="H106" s="51">
        <f>LOOKUP(J101,K98:K100,L98:L100)</f>
        <v>1</v>
      </c>
      <c r="I106" s="5"/>
      <c r="J106" s="88" t="s">
        <v>148</v>
      </c>
      <c r="K106" s="89">
        <f>K105+1</f>
        <v>3</v>
      </c>
      <c r="L106" s="89">
        <v>0.4</v>
      </c>
      <c r="M106" s="97">
        <f>0.32</f>
        <v>0.32</v>
      </c>
      <c r="O106" s="86"/>
      <c r="P106" s="86"/>
      <c r="Q106" s="86"/>
      <c r="R106" s="86"/>
      <c r="S106" s="94"/>
      <c r="T106" s="22"/>
      <c r="U106" s="22"/>
      <c r="V106" s="16"/>
    </row>
    <row r="107" spans="1:22" ht="13.5" thickBot="1" x14ac:dyDescent="0.25">
      <c r="A107" s="1"/>
      <c r="B107" s="5"/>
      <c r="C107" s="5"/>
      <c r="D107" s="5"/>
      <c r="E107" s="5"/>
      <c r="F107" s="1"/>
      <c r="G107" s="1"/>
      <c r="H107" s="47"/>
      <c r="I107" s="5"/>
      <c r="J107" s="455">
        <v>3</v>
      </c>
      <c r="K107" s="81"/>
      <c r="L107" s="81"/>
      <c r="M107" s="81"/>
      <c r="N107" s="86"/>
      <c r="O107" s="99"/>
      <c r="P107" s="86"/>
      <c r="Q107" s="86"/>
      <c r="R107" s="86"/>
      <c r="S107" s="100"/>
      <c r="T107" s="22"/>
      <c r="U107" s="22"/>
      <c r="V107" s="16"/>
    </row>
    <row r="108" spans="1:22" ht="13.5" thickBot="1" x14ac:dyDescent="0.25">
      <c r="A108" s="1"/>
      <c r="B108" s="5" t="s">
        <v>224</v>
      </c>
      <c r="C108" s="1"/>
      <c r="D108" s="1"/>
      <c r="E108" s="1"/>
      <c r="F108" s="46" t="s">
        <v>221</v>
      </c>
      <c r="G108" s="47" t="s">
        <v>2</v>
      </c>
      <c r="H108" s="47">
        <v>4</v>
      </c>
      <c r="I108" s="1"/>
      <c r="J108" s="12"/>
      <c r="K108" s="12"/>
      <c r="L108" s="12"/>
      <c r="M108" s="81"/>
      <c r="N108" s="86"/>
      <c r="O108" s="101"/>
      <c r="P108" s="86"/>
      <c r="Q108" s="86"/>
      <c r="R108" s="86"/>
      <c r="S108" s="94"/>
      <c r="T108" s="22"/>
      <c r="U108" s="22"/>
      <c r="V108" s="16"/>
    </row>
    <row r="109" spans="1:22" x14ac:dyDescent="0.2">
      <c r="A109" s="1"/>
      <c r="B109" s="5" t="s">
        <v>223</v>
      </c>
      <c r="C109" s="1"/>
      <c r="D109" s="1"/>
      <c r="E109" s="1"/>
      <c r="F109" s="102" t="s">
        <v>222</v>
      </c>
      <c r="G109" s="47" t="s">
        <v>2</v>
      </c>
      <c r="H109" s="47">
        <v>0.02</v>
      </c>
      <c r="I109" s="1"/>
      <c r="J109" s="78" t="s">
        <v>144</v>
      </c>
      <c r="K109" s="79" t="s">
        <v>141</v>
      </c>
      <c r="L109" s="79" t="s">
        <v>142</v>
      </c>
      <c r="M109" s="80" t="s">
        <v>69</v>
      </c>
      <c r="N109" s="86"/>
      <c r="O109" s="101"/>
      <c r="P109" s="86"/>
      <c r="Q109" s="86"/>
      <c r="R109" s="86"/>
      <c r="S109" s="87"/>
      <c r="T109" s="22"/>
      <c r="U109" s="22"/>
      <c r="V109" s="16"/>
    </row>
    <row r="110" spans="1:22" x14ac:dyDescent="0.2">
      <c r="A110" s="1"/>
      <c r="B110" s="5" t="s">
        <v>150</v>
      </c>
      <c r="C110" s="5"/>
      <c r="D110" s="5"/>
      <c r="E110" s="5"/>
      <c r="F110" s="46" t="s">
        <v>151</v>
      </c>
      <c r="G110" s="47" t="s">
        <v>2</v>
      </c>
      <c r="H110" s="51">
        <f>LOOKUP(J107,K104:K106,M104:M106)</f>
        <v>0.32</v>
      </c>
      <c r="I110" s="5"/>
      <c r="J110" s="83" t="s">
        <v>107</v>
      </c>
      <c r="K110" s="84">
        <v>1</v>
      </c>
      <c r="L110" s="103">
        <v>0.2</v>
      </c>
      <c r="M110" s="104">
        <v>1</v>
      </c>
      <c r="N110" s="86"/>
      <c r="O110" s="86"/>
      <c r="P110" s="86"/>
      <c r="Q110" s="86"/>
      <c r="R110" s="86"/>
      <c r="S110" s="87"/>
      <c r="T110" s="22"/>
      <c r="U110" s="22"/>
      <c r="V110" s="16"/>
    </row>
    <row r="111" spans="1:22" x14ac:dyDescent="0.2">
      <c r="A111" s="1"/>
      <c r="B111" s="5" t="s">
        <v>187</v>
      </c>
      <c r="C111" s="5"/>
      <c r="D111" s="5"/>
      <c r="E111" s="5"/>
      <c r="F111" s="46" t="s">
        <v>142</v>
      </c>
      <c r="G111" s="47" t="s">
        <v>2</v>
      </c>
      <c r="H111" s="51">
        <f>LOOKUP(J114,K110:K113,L110:L113)</f>
        <v>0.62</v>
      </c>
      <c r="I111" s="5" t="s">
        <v>48</v>
      </c>
      <c r="J111" s="83" t="s">
        <v>147</v>
      </c>
      <c r="K111" s="84">
        <f>K110+1</f>
        <v>2</v>
      </c>
      <c r="L111" s="103">
        <v>0.35</v>
      </c>
      <c r="M111" s="104">
        <v>1.33</v>
      </c>
      <c r="O111" s="86"/>
      <c r="P111" s="86"/>
      <c r="Q111" s="86"/>
      <c r="R111" s="86"/>
      <c r="S111" s="87"/>
      <c r="T111" s="22"/>
      <c r="U111" s="22"/>
      <c r="V111" s="16"/>
    </row>
    <row r="112" spans="1:22" x14ac:dyDescent="0.2">
      <c r="A112" s="1"/>
      <c r="B112" s="1"/>
      <c r="C112" s="1"/>
      <c r="D112" s="1"/>
      <c r="E112" s="1"/>
      <c r="F112" s="46" t="s">
        <v>69</v>
      </c>
      <c r="G112" s="47" t="s">
        <v>2</v>
      </c>
      <c r="H112" s="51">
        <f>LOOKUP(J114,K110:K113,M110:M113)</f>
        <v>1.8</v>
      </c>
      <c r="I112" s="5"/>
      <c r="J112" s="83" t="s">
        <v>148</v>
      </c>
      <c r="K112" s="84">
        <f>K111+1</f>
        <v>3</v>
      </c>
      <c r="L112" s="103">
        <v>0.62</v>
      </c>
      <c r="M112" s="104">
        <v>1.8</v>
      </c>
      <c r="O112" s="86"/>
      <c r="P112" s="86"/>
      <c r="Q112" s="86"/>
      <c r="R112" s="105"/>
      <c r="S112" s="87"/>
      <c r="T112" s="22"/>
      <c r="U112" s="22"/>
      <c r="V112" s="16"/>
    </row>
    <row r="113" spans="1:22" ht="13.5" thickBot="1" x14ac:dyDescent="0.25">
      <c r="A113" s="1"/>
      <c r="B113" s="106"/>
      <c r="C113" s="1"/>
      <c r="D113" s="1"/>
      <c r="E113" s="1"/>
      <c r="F113" s="46"/>
      <c r="G113" s="47"/>
      <c r="H113" s="395">
        <f>IF($K$116,2/3*H104*H106,0)</f>
        <v>0</v>
      </c>
      <c r="I113" s="1"/>
      <c r="J113" s="88" t="s">
        <v>149</v>
      </c>
      <c r="K113" s="89">
        <f>K112+1</f>
        <v>4</v>
      </c>
      <c r="L113" s="107">
        <v>1.35</v>
      </c>
      <c r="M113" s="108">
        <v>1.8</v>
      </c>
      <c r="O113" s="86"/>
      <c r="P113" s="86"/>
      <c r="Q113" s="86"/>
      <c r="R113" s="109"/>
      <c r="S113" s="87"/>
      <c r="T113" s="22"/>
      <c r="U113" s="22"/>
      <c r="V113" s="16"/>
    </row>
    <row r="114" spans="1:22" ht="13.5" thickBot="1" x14ac:dyDescent="0.25">
      <c r="A114" s="1"/>
      <c r="B114" s="1"/>
      <c r="C114" s="1"/>
      <c r="D114" s="1"/>
      <c r="E114" s="1"/>
      <c r="F114" s="1"/>
      <c r="G114" s="1"/>
      <c r="H114" s="47"/>
      <c r="I114" s="1"/>
      <c r="J114" s="455">
        <v>3</v>
      </c>
      <c r="K114" s="12"/>
      <c r="L114" s="12"/>
      <c r="M114" s="12"/>
      <c r="P114" s="12"/>
    </row>
    <row r="115" spans="1:22" ht="13.5" thickBot="1" x14ac:dyDescent="0.25">
      <c r="A115" s="1"/>
      <c r="B115" s="1"/>
      <c r="C115" s="1"/>
      <c r="D115" s="1"/>
      <c r="E115" s="1"/>
      <c r="F115" s="1"/>
      <c r="G115" s="1"/>
      <c r="H115" s="47"/>
      <c r="I115" s="1"/>
      <c r="J115" s="12"/>
      <c r="K115" s="12"/>
      <c r="L115" s="12"/>
      <c r="M115" s="12"/>
      <c r="P115" s="12"/>
    </row>
    <row r="116" spans="1:22" ht="13.5" thickBot="1" x14ac:dyDescent="0.25">
      <c r="A116" s="38" t="s">
        <v>514</v>
      </c>
      <c r="B116" s="1"/>
      <c r="C116" s="1"/>
      <c r="D116" s="1"/>
      <c r="E116" s="1"/>
      <c r="F116" s="1"/>
      <c r="G116" s="1"/>
      <c r="H116" s="95"/>
      <c r="I116" s="5"/>
      <c r="J116" s="110" t="s">
        <v>323</v>
      </c>
      <c r="K116" s="456" t="b">
        <v>0</v>
      </c>
      <c r="L116" s="12"/>
      <c r="M116" s="12"/>
      <c r="P116" s="12"/>
    </row>
    <row r="117" spans="1:22" x14ac:dyDescent="0.2">
      <c r="A117" s="1"/>
      <c r="B117" s="5" t="s">
        <v>76</v>
      </c>
      <c r="C117" s="5"/>
      <c r="D117" s="5"/>
      <c r="E117" s="5"/>
      <c r="F117" s="5"/>
      <c r="G117" s="47"/>
      <c r="H117" s="51">
        <f>PI()*H86^2/4*0.122</f>
        <v>9.5818575934488699</v>
      </c>
      <c r="I117" s="5" t="s">
        <v>14</v>
      </c>
      <c r="J117" s="65"/>
      <c r="K117" s="65"/>
      <c r="L117" s="65"/>
      <c r="M117" s="65"/>
      <c r="N117" s="65"/>
      <c r="O117" s="65"/>
      <c r="P117" s="12"/>
    </row>
    <row r="118" spans="1:22" x14ac:dyDescent="0.2">
      <c r="A118" s="1"/>
      <c r="B118" s="5" t="s">
        <v>15</v>
      </c>
      <c r="C118" s="5"/>
      <c r="D118" s="5"/>
      <c r="E118" s="5"/>
      <c r="F118" s="5"/>
      <c r="G118" s="47"/>
      <c r="H118" s="451">
        <v>1</v>
      </c>
      <c r="I118" s="5" t="s">
        <v>14</v>
      </c>
      <c r="J118" s="12"/>
      <c r="K118" s="12"/>
      <c r="L118" s="12"/>
      <c r="M118" s="12"/>
    </row>
    <row r="119" spans="1:22" x14ac:dyDescent="0.2">
      <c r="A119" s="1"/>
      <c r="B119" s="5" t="s">
        <v>16</v>
      </c>
      <c r="C119" s="5"/>
      <c r="D119" s="5"/>
      <c r="E119" s="5"/>
      <c r="F119" s="5"/>
      <c r="G119" s="47"/>
      <c r="H119" s="51">
        <f>+MAX(H117,H118)</f>
        <v>9.5818575934488699</v>
      </c>
      <c r="I119" s="5" t="s">
        <v>14</v>
      </c>
      <c r="J119" s="12"/>
      <c r="K119" s="12"/>
      <c r="L119" s="12"/>
      <c r="M119" s="12"/>
    </row>
    <row r="120" spans="1:22" x14ac:dyDescent="0.2">
      <c r="A120" s="1"/>
      <c r="B120" s="5" t="s">
        <v>17</v>
      </c>
      <c r="C120" s="5"/>
      <c r="D120" s="5"/>
      <c r="E120" s="5"/>
      <c r="F120" s="5"/>
      <c r="G120" s="47"/>
      <c r="H120" s="451">
        <v>0</v>
      </c>
      <c r="I120" s="5" t="s">
        <v>18</v>
      </c>
      <c r="J120" s="12"/>
      <c r="K120" s="12"/>
      <c r="L120" s="12"/>
      <c r="M120" s="12"/>
    </row>
    <row r="121" spans="1:22" ht="13.5" thickBot="1" x14ac:dyDescent="0.25">
      <c r="A121" s="1"/>
      <c r="B121" s="5" t="s">
        <v>19</v>
      </c>
      <c r="C121" s="5"/>
      <c r="D121" s="5"/>
      <c r="E121" s="5"/>
      <c r="F121" s="5"/>
      <c r="G121" s="47"/>
      <c r="H121" s="451">
        <v>1</v>
      </c>
      <c r="I121" s="5" t="s">
        <v>14</v>
      </c>
      <c r="J121" s="12"/>
      <c r="K121" s="81"/>
      <c r="L121" s="81"/>
      <c r="M121" s="81"/>
      <c r="O121" s="86"/>
      <c r="P121" s="86"/>
      <c r="Q121" s="86"/>
      <c r="R121" s="86"/>
      <c r="S121" s="87"/>
      <c r="T121" s="487"/>
      <c r="U121" s="487"/>
      <c r="V121" s="16"/>
    </row>
    <row r="122" spans="1:22" x14ac:dyDescent="0.2">
      <c r="A122" s="1"/>
      <c r="B122" s="1"/>
      <c r="C122" s="1"/>
      <c r="D122" s="1"/>
      <c r="E122" s="1"/>
      <c r="F122" s="1"/>
      <c r="G122" s="1"/>
      <c r="H122" s="47"/>
      <c r="I122" s="1"/>
      <c r="J122" s="216" t="s">
        <v>620</v>
      </c>
      <c r="K122" s="463"/>
      <c r="L122" s="463"/>
      <c r="M122" s="463"/>
      <c r="N122" s="464"/>
      <c r="P122" s="86"/>
      <c r="Q122" s="86"/>
      <c r="R122" s="86"/>
      <c r="S122" s="94"/>
      <c r="T122" s="488"/>
      <c r="U122" s="488"/>
      <c r="V122" s="16"/>
    </row>
    <row r="123" spans="1:22" x14ac:dyDescent="0.2">
      <c r="A123" s="1"/>
      <c r="B123" s="1"/>
      <c r="C123" s="1"/>
      <c r="D123" s="1"/>
      <c r="E123" s="1"/>
      <c r="F123" s="1"/>
      <c r="G123" s="1"/>
      <c r="H123" s="47"/>
      <c r="I123" s="1"/>
      <c r="J123" s="218" t="s">
        <v>621</v>
      </c>
      <c r="K123" s="153"/>
      <c r="L123" s="153"/>
      <c r="M123" s="153"/>
      <c r="N123" s="465"/>
      <c r="P123" s="86"/>
      <c r="Q123" s="86"/>
      <c r="R123" s="86"/>
      <c r="S123" s="94"/>
      <c r="T123" s="488"/>
      <c r="U123" s="488"/>
      <c r="V123" s="16"/>
    </row>
    <row r="124" spans="1:22" ht="13.5" thickBot="1" x14ac:dyDescent="0.25">
      <c r="A124" s="1"/>
      <c r="B124" s="1"/>
      <c r="C124" s="1"/>
      <c r="D124" s="1"/>
      <c r="E124" s="1"/>
      <c r="F124" s="1"/>
      <c r="G124" s="1"/>
      <c r="H124" s="47"/>
      <c r="I124" s="1"/>
      <c r="J124" s="462">
        <v>1</v>
      </c>
      <c r="K124" s="466"/>
      <c r="L124" s="466"/>
      <c r="M124" s="466"/>
      <c r="N124" s="467"/>
      <c r="P124" s="86"/>
      <c r="Q124" s="86"/>
      <c r="R124" s="86"/>
      <c r="S124" s="94"/>
      <c r="T124" s="488"/>
      <c r="U124" s="488"/>
      <c r="V124" s="16"/>
    </row>
    <row r="125" spans="1:22" x14ac:dyDescent="0.2">
      <c r="A125" s="38" t="s">
        <v>515</v>
      </c>
      <c r="B125" s="1"/>
      <c r="C125" s="1"/>
      <c r="D125" s="1"/>
      <c r="E125" s="1"/>
      <c r="F125" s="1"/>
      <c r="G125" s="1"/>
      <c r="H125" s="51"/>
      <c r="I125" s="5"/>
      <c r="J125" s="12"/>
      <c r="K125" s="12"/>
      <c r="L125" s="12"/>
      <c r="M125" s="12"/>
      <c r="P125" s="86"/>
      <c r="Q125" s="86"/>
      <c r="R125" s="86"/>
      <c r="S125" s="94"/>
      <c r="T125" s="488"/>
      <c r="U125" s="488"/>
      <c r="V125" s="16"/>
    </row>
    <row r="126" spans="1:22" x14ac:dyDescent="0.2">
      <c r="A126" s="1"/>
      <c r="B126" s="5" t="s">
        <v>9</v>
      </c>
      <c r="C126" s="5"/>
      <c r="D126" s="5"/>
      <c r="E126" s="5"/>
      <c r="F126" s="46" t="s">
        <v>72</v>
      </c>
      <c r="G126" s="47" t="s">
        <v>2</v>
      </c>
      <c r="H126" s="451">
        <v>2</v>
      </c>
      <c r="I126" s="5" t="s">
        <v>3</v>
      </c>
      <c r="J126" s="12"/>
      <c r="K126" s="12"/>
      <c r="L126" s="12"/>
      <c r="M126" s="12"/>
      <c r="P126" s="86"/>
      <c r="Q126" s="86"/>
      <c r="R126" s="86"/>
      <c r="S126" s="94"/>
      <c r="T126" s="488"/>
      <c r="U126" s="488"/>
      <c r="V126" s="16"/>
    </row>
    <row r="127" spans="1:22" x14ac:dyDescent="0.2">
      <c r="A127" s="1"/>
      <c r="B127" s="5" t="s">
        <v>73</v>
      </c>
      <c r="C127" s="5"/>
      <c r="D127" s="5"/>
      <c r="E127" s="5"/>
      <c r="F127" s="102" t="s">
        <v>10</v>
      </c>
      <c r="G127" s="47" t="s">
        <v>2</v>
      </c>
      <c r="H127" s="51">
        <f>ATAN(2*H126/H86)*180/PI()</f>
        <v>21.801409486351812</v>
      </c>
      <c r="I127" s="5" t="str">
        <f>"° "&amp;IF(AND(H127&lt;37,H127&gt;9.5),"OK","No Cumple")</f>
        <v>° OK</v>
      </c>
      <c r="J127" s="12"/>
      <c r="K127" s="12"/>
      <c r="L127" s="12"/>
      <c r="M127" s="12"/>
      <c r="P127" s="86"/>
      <c r="Q127" s="86"/>
      <c r="R127" s="86"/>
      <c r="S127" s="94"/>
      <c r="T127" s="488"/>
      <c r="U127" s="488"/>
      <c r="V127" s="16"/>
    </row>
    <row r="128" spans="1:22" x14ac:dyDescent="0.2">
      <c r="A128" s="1"/>
      <c r="B128" s="5" t="s">
        <v>193</v>
      </c>
      <c r="C128" s="5"/>
      <c r="D128" s="5"/>
      <c r="E128" s="5"/>
      <c r="F128" s="5"/>
      <c r="G128" s="47"/>
      <c r="H128" s="111">
        <f>IF(H126=0,"X",IF((H130+H119)/PI()/H86^2*4&lt;0.22,H86/0.3048/400/SIN(H127*PI()/180)*25.4+H98,H86/0.3048/400/SIN(H127*PI()/180)*25.4*SQRT((H130+H119)/PI()/H86^2*4/0.22)+H98))</f>
        <v>7.6095466740984419</v>
      </c>
      <c r="I128" s="112" t="str">
        <f>"mm "&amp;IF(AND(H128&lt;12.5,H128&gt;5),"OK","No Cumple")</f>
        <v>mm OK</v>
      </c>
      <c r="J128" s="12"/>
      <c r="K128" s="12"/>
      <c r="L128" s="12"/>
      <c r="M128" s="12"/>
      <c r="P128" s="86"/>
      <c r="Q128" s="86"/>
      <c r="R128" s="86"/>
      <c r="S128" s="94"/>
      <c r="T128" s="488"/>
      <c r="U128" s="488"/>
      <c r="V128" s="16"/>
    </row>
    <row r="129" spans="1:22" x14ac:dyDescent="0.2">
      <c r="A129" s="1"/>
      <c r="B129" s="5" t="s">
        <v>23</v>
      </c>
      <c r="C129" s="5"/>
      <c r="D129" s="5"/>
      <c r="E129" s="5"/>
      <c r="F129" s="46" t="s">
        <v>133</v>
      </c>
      <c r="G129" s="47" t="s">
        <v>2</v>
      </c>
      <c r="H129" s="452">
        <v>8</v>
      </c>
      <c r="I129" s="112" t="str">
        <f>"mm "&amp;IF(AND(H129&lt;12.5,H129&gt;5,H129&gt;=H128),"OK","No Cumple")</f>
        <v>mm OK</v>
      </c>
      <c r="J129" s="12"/>
      <c r="K129" s="12"/>
      <c r="L129" s="12"/>
      <c r="M129" s="12"/>
      <c r="P129" s="86"/>
      <c r="Q129" s="86"/>
      <c r="R129" s="86"/>
      <c r="S129" s="94"/>
      <c r="T129" s="488"/>
      <c r="U129" s="488"/>
      <c r="V129" s="16"/>
    </row>
    <row r="130" spans="1:22" x14ac:dyDescent="0.2">
      <c r="A130" s="1"/>
      <c r="B130" s="5" t="s">
        <v>24</v>
      </c>
      <c r="C130" s="5"/>
      <c r="D130" s="5"/>
      <c r="E130" s="5"/>
      <c r="F130" s="5"/>
      <c r="G130" s="47"/>
      <c r="H130" s="111">
        <f>PI()*H86*H86/4/COS(H127*PI()/180)*H129/1000*7.85</f>
        <v>5.3122501776897124</v>
      </c>
      <c r="I130" s="112" t="s">
        <v>14</v>
      </c>
      <c r="J130" s="12"/>
      <c r="K130" s="12"/>
      <c r="L130" s="12"/>
      <c r="M130" s="12"/>
      <c r="P130" s="86"/>
      <c r="Q130" s="86"/>
      <c r="R130" s="86"/>
      <c r="S130" s="94"/>
      <c r="T130" s="488"/>
      <c r="U130" s="488"/>
      <c r="V130" s="16"/>
    </row>
    <row r="131" spans="1:22" x14ac:dyDescent="0.2">
      <c r="A131" s="1"/>
      <c r="B131" s="5" t="s">
        <v>192</v>
      </c>
      <c r="C131" s="5"/>
      <c r="D131" s="5"/>
      <c r="E131" s="5"/>
      <c r="F131" s="5"/>
      <c r="G131" s="47"/>
      <c r="H131" s="111">
        <f>PI()*H86*H86/4/COS(H127*PI()/180)*H129/1000*7.85+H119*H120/100</f>
        <v>5.3122501776897124</v>
      </c>
      <c r="I131" s="112" t="s">
        <v>14</v>
      </c>
      <c r="J131" s="12"/>
      <c r="K131" s="12"/>
      <c r="L131" s="12"/>
      <c r="M131" s="12"/>
      <c r="P131" s="86"/>
      <c r="Q131" s="86"/>
      <c r="R131" s="86"/>
      <c r="S131" s="94"/>
      <c r="T131" s="488"/>
      <c r="U131" s="488"/>
      <c r="V131" s="16"/>
    </row>
    <row r="132" spans="1:22" x14ac:dyDescent="0.2">
      <c r="A132" s="1"/>
      <c r="B132" s="1"/>
      <c r="C132" s="1"/>
      <c r="D132" s="1"/>
      <c r="E132" s="1"/>
      <c r="F132" s="1"/>
      <c r="G132" s="1"/>
      <c r="H132" s="1"/>
      <c r="I132" s="1"/>
      <c r="J132" s="12"/>
      <c r="K132" s="12"/>
      <c r="L132" s="12"/>
      <c r="M132" s="12"/>
      <c r="P132" s="86"/>
      <c r="Q132" s="86"/>
      <c r="R132" s="113"/>
      <c r="S132" s="114"/>
      <c r="T132" s="115"/>
      <c r="U132" s="115"/>
      <c r="V132" s="16"/>
    </row>
    <row r="133" spans="1:22" x14ac:dyDescent="0.2">
      <c r="A133" s="1"/>
      <c r="B133" s="1"/>
      <c r="C133" s="1"/>
      <c r="D133" s="1"/>
      <c r="E133" s="1"/>
      <c r="F133" s="1"/>
      <c r="G133" s="1"/>
      <c r="H133" s="116"/>
      <c r="I133" s="1"/>
      <c r="J133" s="12"/>
      <c r="K133" s="12"/>
      <c r="L133" s="12"/>
      <c r="M133" s="12"/>
      <c r="P133" s="86"/>
      <c r="Q133" s="86"/>
      <c r="R133" s="113"/>
      <c r="S133" s="114"/>
      <c r="T133" s="115"/>
      <c r="U133" s="115"/>
      <c r="V133" s="16"/>
    </row>
    <row r="134" spans="1:22" ht="15.75" x14ac:dyDescent="0.25">
      <c r="A134" s="117" t="s">
        <v>562</v>
      </c>
      <c r="B134" s="1"/>
      <c r="C134" s="1"/>
      <c r="D134" s="1"/>
      <c r="E134" s="1"/>
      <c r="F134" s="1"/>
      <c r="G134" s="1"/>
      <c r="H134" s="1"/>
      <c r="I134" s="1"/>
      <c r="J134" s="12"/>
      <c r="K134" s="12"/>
      <c r="L134" s="12"/>
      <c r="M134" s="12"/>
      <c r="P134" s="86"/>
      <c r="Q134" s="86"/>
      <c r="R134" s="113"/>
      <c r="S134" s="114"/>
      <c r="T134" s="115"/>
      <c r="U134" s="115"/>
    </row>
    <row r="135" spans="1:22" x14ac:dyDescent="0.2">
      <c r="A135" s="1"/>
      <c r="B135" s="1"/>
      <c r="C135" s="1"/>
      <c r="D135" s="1"/>
      <c r="E135" s="1"/>
      <c r="F135" s="1"/>
      <c r="G135" s="1"/>
      <c r="H135" s="1"/>
      <c r="I135" s="1"/>
      <c r="J135" s="12"/>
      <c r="K135" s="12"/>
      <c r="L135" s="12"/>
      <c r="M135" s="12"/>
      <c r="P135" s="86"/>
      <c r="Q135" s="86"/>
      <c r="R135" s="113"/>
      <c r="S135" s="114"/>
      <c r="T135" s="115"/>
      <c r="U135" s="115"/>
    </row>
    <row r="136" spans="1:22" x14ac:dyDescent="0.2">
      <c r="A136" s="38" t="s">
        <v>517</v>
      </c>
      <c r="B136" s="1"/>
      <c r="C136" s="1"/>
      <c r="D136" s="1"/>
      <c r="E136" s="1"/>
      <c r="F136" s="1"/>
      <c r="G136" s="1"/>
      <c r="H136" s="1"/>
      <c r="I136" s="1"/>
      <c r="J136" s="12"/>
      <c r="K136" s="12"/>
      <c r="L136" s="12"/>
      <c r="M136" s="12"/>
      <c r="P136" s="86"/>
      <c r="Q136" s="86"/>
      <c r="R136" s="113"/>
      <c r="S136" s="114"/>
      <c r="T136" s="115"/>
      <c r="U136" s="115"/>
    </row>
    <row r="137" spans="1:22" ht="13.5" thickBot="1" x14ac:dyDescent="0.25">
      <c r="A137" s="1"/>
      <c r="B137" s="1"/>
      <c r="C137" s="1"/>
      <c r="D137" s="1"/>
      <c r="E137" s="1"/>
      <c r="F137" s="1"/>
      <c r="G137" s="1"/>
      <c r="H137" s="1"/>
      <c r="I137" s="1"/>
      <c r="J137" s="12"/>
      <c r="K137" s="12"/>
      <c r="L137" s="12"/>
      <c r="M137" s="12"/>
      <c r="P137" s="86"/>
      <c r="Q137" s="86"/>
      <c r="R137" s="86"/>
      <c r="S137" s="87"/>
      <c r="T137" s="22"/>
      <c r="U137" s="22"/>
    </row>
    <row r="138" spans="1:22" ht="12.75" customHeight="1" x14ac:dyDescent="0.2">
      <c r="A138" s="1"/>
      <c r="B138" s="1"/>
      <c r="C138" s="118"/>
      <c r="D138" s="119" t="s">
        <v>194</v>
      </c>
      <c r="E138" s="120"/>
      <c r="F138" s="121" t="s">
        <v>25</v>
      </c>
      <c r="G138" s="1"/>
      <c r="H138" s="1"/>
      <c r="I138" s="1"/>
      <c r="J138" s="12"/>
      <c r="K138" s="12"/>
      <c r="L138" s="12"/>
      <c r="M138" s="12"/>
      <c r="P138" s="86"/>
      <c r="Q138" s="86"/>
      <c r="R138" s="113"/>
      <c r="S138" s="94"/>
      <c r="T138" s="22"/>
      <c r="U138" s="22"/>
    </row>
    <row r="139" spans="1:22" ht="12.75" customHeight="1" thickBot="1" x14ac:dyDescent="0.25">
      <c r="A139" s="1"/>
      <c r="B139" s="1"/>
      <c r="C139" s="122"/>
      <c r="D139" s="123" t="s">
        <v>3</v>
      </c>
      <c r="E139" s="124"/>
      <c r="F139" s="124" t="s">
        <v>11</v>
      </c>
      <c r="G139" s="1"/>
      <c r="H139" s="1"/>
      <c r="I139" s="1"/>
      <c r="J139" s="12"/>
      <c r="K139" s="12"/>
      <c r="L139" s="12"/>
      <c r="M139" s="12"/>
      <c r="P139" s="86"/>
      <c r="Q139" s="86"/>
      <c r="R139" s="113"/>
      <c r="S139" s="114"/>
      <c r="T139" s="22"/>
      <c r="U139" s="22"/>
    </row>
    <row r="140" spans="1:22" x14ac:dyDescent="0.2">
      <c r="A140" s="1"/>
      <c r="B140" s="1"/>
      <c r="C140" s="125"/>
      <c r="D140" s="126" t="s">
        <v>195</v>
      </c>
      <c r="E140" s="10"/>
      <c r="F140" s="10">
        <v>5</v>
      </c>
      <c r="G140" s="1"/>
      <c r="H140" s="1"/>
      <c r="I140" s="1"/>
      <c r="J140" s="12"/>
      <c r="K140" s="12"/>
      <c r="L140" s="12"/>
      <c r="M140" s="12"/>
      <c r="P140" s="86"/>
      <c r="Q140" s="86"/>
      <c r="R140" s="113"/>
      <c r="S140" s="114"/>
      <c r="T140" s="22"/>
      <c r="U140" s="22"/>
    </row>
    <row r="141" spans="1:22" x14ac:dyDescent="0.2">
      <c r="A141" s="1"/>
      <c r="B141" s="1"/>
      <c r="C141" s="125"/>
      <c r="D141" s="126" t="s">
        <v>196</v>
      </c>
      <c r="E141" s="10"/>
      <c r="F141" s="10">
        <v>6</v>
      </c>
      <c r="G141" s="1"/>
      <c r="H141" s="1"/>
      <c r="I141" s="1"/>
      <c r="J141" s="12"/>
      <c r="K141" s="12"/>
      <c r="L141" s="12"/>
      <c r="M141" s="12"/>
      <c r="O141" s="86"/>
      <c r="P141" s="86"/>
      <c r="Q141" s="86"/>
      <c r="R141" s="113"/>
      <c r="S141" s="114"/>
      <c r="T141" s="22"/>
      <c r="U141" s="22"/>
    </row>
    <row r="142" spans="1:22" x14ac:dyDescent="0.2">
      <c r="A142" s="1"/>
      <c r="B142" s="1"/>
      <c r="C142" s="125"/>
      <c r="D142" s="126" t="s">
        <v>197</v>
      </c>
      <c r="E142" s="10"/>
      <c r="F142" s="10">
        <v>8</v>
      </c>
      <c r="G142" s="1"/>
      <c r="H142" s="1"/>
      <c r="I142" s="1"/>
      <c r="J142" s="12"/>
      <c r="K142" s="12"/>
      <c r="L142" s="12"/>
      <c r="M142" s="12"/>
      <c r="Q142" s="86"/>
      <c r="R142" s="113"/>
      <c r="S142" s="114"/>
      <c r="T142" s="22"/>
      <c r="U142" s="22"/>
    </row>
    <row r="143" spans="1:22" ht="12.75" customHeight="1" thickBot="1" x14ac:dyDescent="0.25">
      <c r="A143" s="1"/>
      <c r="B143" s="1"/>
      <c r="C143" s="122"/>
      <c r="D143" s="7" t="s">
        <v>198</v>
      </c>
      <c r="E143" s="9"/>
      <c r="F143" s="9">
        <v>10</v>
      </c>
      <c r="G143" s="1"/>
      <c r="H143" s="1"/>
      <c r="I143" s="1"/>
      <c r="J143" s="12"/>
      <c r="K143" s="12"/>
      <c r="L143" s="12"/>
      <c r="M143" s="12"/>
      <c r="Q143" s="86"/>
      <c r="R143" s="113"/>
      <c r="S143" s="114"/>
      <c r="T143" s="22"/>
      <c r="U143" s="22"/>
    </row>
    <row r="144" spans="1:22" ht="15.75" x14ac:dyDescent="0.3">
      <c r="A144" s="1"/>
      <c r="B144" s="1"/>
      <c r="C144" s="1"/>
      <c r="D144" s="127" t="s">
        <v>201</v>
      </c>
      <c r="E144" s="1">
        <f>IF(H86&lt;15,5,IF(H86&lt;36,6,IF(H86&lt;60,8,10)))</f>
        <v>5</v>
      </c>
      <c r="F144" s="5" t="s">
        <v>11</v>
      </c>
      <c r="G144" s="1"/>
      <c r="H144" s="1"/>
      <c r="I144" s="1"/>
      <c r="J144" s="12"/>
      <c r="K144" s="12"/>
      <c r="L144" s="12"/>
      <c r="M144" s="12"/>
      <c r="Q144" s="86"/>
      <c r="R144" s="113"/>
      <c r="S144" s="114"/>
      <c r="T144" s="22"/>
      <c r="U144" s="22"/>
    </row>
    <row r="145" spans="1:21" x14ac:dyDescent="0.2">
      <c r="A145" s="1"/>
      <c r="B145" s="1"/>
      <c r="C145" s="1"/>
      <c r="D145" s="1"/>
      <c r="E145" s="1"/>
      <c r="F145" s="1"/>
      <c r="G145" s="1"/>
      <c r="H145" s="1"/>
      <c r="J145" s="12"/>
      <c r="K145" s="12"/>
      <c r="L145" s="12">
        <f t="shared" ref="L145:L151" si="19">Redondear_Lista($M$157:$M$172,G158)</f>
        <v>5</v>
      </c>
      <c r="M145" s="12"/>
      <c r="Q145" s="86"/>
      <c r="R145" s="113"/>
      <c r="S145" s="114"/>
      <c r="T145" s="22"/>
      <c r="U145" s="22"/>
    </row>
    <row r="146" spans="1:21" x14ac:dyDescent="0.2">
      <c r="A146" s="38" t="s">
        <v>518</v>
      </c>
      <c r="B146" s="1"/>
      <c r="C146" s="1"/>
      <c r="D146" s="1"/>
      <c r="E146" s="126"/>
      <c r="F146" s="1"/>
      <c r="G146" s="1"/>
      <c r="H146" s="1"/>
      <c r="I146" s="1"/>
      <c r="J146" s="12"/>
      <c r="K146" s="12"/>
      <c r="L146" s="12">
        <f t="shared" si="19"/>
        <v>5</v>
      </c>
      <c r="M146" s="12"/>
      <c r="Q146" s="86"/>
      <c r="R146" s="113"/>
      <c r="S146" s="114"/>
      <c r="T146" s="22"/>
      <c r="U146" s="22"/>
    </row>
    <row r="147" spans="1:21" x14ac:dyDescent="0.2">
      <c r="A147" s="1"/>
      <c r="B147" s="1"/>
      <c r="C147" s="1"/>
      <c r="D147" s="1"/>
      <c r="E147" s="1"/>
      <c r="F147" s="1"/>
      <c r="G147" s="1"/>
      <c r="H147" s="1"/>
      <c r="I147" s="1"/>
      <c r="J147" s="12"/>
      <c r="K147" s="12"/>
      <c r="L147" s="12">
        <f t="shared" si="19"/>
        <v>5</v>
      </c>
      <c r="M147" s="12"/>
      <c r="Q147" s="86"/>
      <c r="R147" s="113"/>
      <c r="S147" s="114"/>
      <c r="T147" s="22"/>
      <c r="U147" s="22"/>
    </row>
    <row r="148" spans="1:21" ht="13.5" thickBot="1" x14ac:dyDescent="0.25">
      <c r="A148" s="1"/>
      <c r="B148" s="5" t="s">
        <v>342</v>
      </c>
      <c r="C148" s="1"/>
      <c r="D148" s="62" t="s">
        <v>343</v>
      </c>
      <c r="E148" s="340">
        <v>90</v>
      </c>
      <c r="F148" s="22" t="s">
        <v>18</v>
      </c>
      <c r="G148" s="1"/>
      <c r="H148" s="1"/>
      <c r="I148" s="1"/>
      <c r="J148" s="12"/>
      <c r="K148" s="12"/>
      <c r="L148" s="12">
        <f t="shared" si="19"/>
        <v>5</v>
      </c>
      <c r="M148" s="12"/>
      <c r="Q148" s="86"/>
      <c r="R148" s="113"/>
      <c r="S148" s="94"/>
      <c r="T148" s="22"/>
      <c r="U148" s="22"/>
    </row>
    <row r="149" spans="1:21" ht="13.5" thickBot="1" x14ac:dyDescent="0.25">
      <c r="A149" s="1"/>
      <c r="B149" s="1"/>
      <c r="C149" s="1"/>
      <c r="D149" s="55" t="s">
        <v>199</v>
      </c>
      <c r="E149" s="129">
        <f>LOOKUP(J93,K79:K92,T79:T92)*IF(K149,E151,1)</f>
        <v>1.63098878695209</v>
      </c>
      <c r="F149" s="64" t="s">
        <v>96</v>
      </c>
      <c r="G149" s="22"/>
      <c r="H149" s="1"/>
      <c r="I149" s="1"/>
      <c r="J149" s="110" t="s">
        <v>314</v>
      </c>
      <c r="K149" s="456" t="b">
        <v>0</v>
      </c>
      <c r="L149" s="12">
        <f t="shared" si="19"/>
        <v>5</v>
      </c>
      <c r="M149" s="12"/>
      <c r="Q149" s="86"/>
      <c r="R149" s="86"/>
      <c r="S149" s="87"/>
      <c r="T149" s="22"/>
      <c r="U149" s="22"/>
    </row>
    <row r="150" spans="1:21" ht="12.75" customHeight="1" x14ac:dyDescent="0.2">
      <c r="A150" s="1"/>
      <c r="B150" s="1"/>
      <c r="C150" s="55"/>
      <c r="D150" s="62" t="s">
        <v>200</v>
      </c>
      <c r="E150" s="130">
        <f>LOOKUP(J93,K79:K92,N79:N92)*IF(K149,E151,1)</f>
        <v>1.7474879860200963</v>
      </c>
      <c r="F150" s="64" t="s">
        <v>96</v>
      </c>
      <c r="G150" s="1"/>
      <c r="H150" s="1"/>
      <c r="I150" s="1"/>
      <c r="J150" s="131"/>
      <c r="K150" s="12"/>
      <c r="L150" s="12">
        <f t="shared" si="19"/>
        <v>5</v>
      </c>
      <c r="M150" s="12"/>
      <c r="Q150" s="86"/>
      <c r="R150" s="113"/>
      <c r="S150" s="94"/>
      <c r="T150" s="22"/>
      <c r="U150" s="22"/>
    </row>
    <row r="151" spans="1:21" ht="12.75" customHeight="1" x14ac:dyDescent="0.2">
      <c r="A151" s="1"/>
      <c r="B151" s="1"/>
      <c r="C151" s="62"/>
      <c r="D151" s="46" t="str">
        <f>IF(K149,"F1 =","")</f>
        <v/>
      </c>
      <c r="E151" s="505">
        <v>0.9</v>
      </c>
      <c r="G151" s="1"/>
      <c r="H151" s="1"/>
      <c r="I151" s="1"/>
      <c r="J151" s="131"/>
      <c r="K151" s="12"/>
      <c r="L151" s="12">
        <f t="shared" si="19"/>
        <v>6</v>
      </c>
      <c r="M151" s="12"/>
      <c r="Q151" s="86"/>
      <c r="R151" s="113"/>
      <c r="S151" s="94"/>
      <c r="T151" s="22"/>
      <c r="U151" s="22"/>
    </row>
    <row r="152" spans="1:21" x14ac:dyDescent="0.2">
      <c r="B152" s="1"/>
      <c r="C152" s="1"/>
      <c r="D152" s="1"/>
      <c r="E152" s="1"/>
      <c r="F152" s="1"/>
      <c r="G152" s="1"/>
      <c r="H152" s="1"/>
      <c r="I152" s="1"/>
      <c r="J152" s="12"/>
      <c r="K152" s="12"/>
      <c r="L152" s="12"/>
      <c r="M152" s="12"/>
      <c r="O152" s="86"/>
      <c r="P152" s="86"/>
      <c r="Q152" s="86"/>
      <c r="R152" s="86"/>
      <c r="S152" s="87"/>
      <c r="T152" s="22"/>
      <c r="U152" s="22"/>
    </row>
    <row r="153" spans="1:21" x14ac:dyDescent="0.2">
      <c r="A153" s="38" t="s">
        <v>519</v>
      </c>
      <c r="B153" s="1"/>
      <c r="C153" s="1"/>
      <c r="D153" s="1"/>
      <c r="E153" s="1"/>
      <c r="F153" s="1"/>
      <c r="G153" s="1"/>
      <c r="H153" s="1"/>
      <c r="I153" s="1"/>
      <c r="J153" s="12"/>
      <c r="K153" s="12"/>
      <c r="L153" s="12"/>
      <c r="M153" s="12"/>
      <c r="N153" s="15"/>
      <c r="O153" s="86"/>
      <c r="P153" s="86"/>
      <c r="Q153" s="86"/>
      <c r="R153" s="86"/>
      <c r="S153" s="87"/>
      <c r="T153" s="22"/>
      <c r="U153" s="22"/>
    </row>
    <row r="154" spans="1:21" ht="36.75" customHeight="1" thickBot="1" x14ac:dyDescent="0.25">
      <c r="A154" s="1"/>
      <c r="B154" s="577" t="s">
        <v>567</v>
      </c>
      <c r="C154" s="577"/>
      <c r="D154" s="478">
        <v>10</v>
      </c>
      <c r="E154" s="132"/>
      <c r="F154" s="132"/>
      <c r="G154" s="132"/>
      <c r="H154" s="132"/>
      <c r="I154" s="133"/>
      <c r="J154" s="12"/>
      <c r="K154" s="12"/>
      <c r="L154" s="12"/>
      <c r="M154" s="12"/>
      <c r="N154" s="15"/>
      <c r="O154" s="86"/>
      <c r="P154" s="86"/>
      <c r="Q154" s="86"/>
      <c r="R154" s="86"/>
      <c r="S154" s="87"/>
      <c r="T154" s="22"/>
      <c r="U154" s="22"/>
    </row>
    <row r="155" spans="1:21" ht="23.25" thickBot="1" x14ac:dyDescent="0.25">
      <c r="A155" s="1"/>
      <c r="B155" s="568" t="s">
        <v>28</v>
      </c>
      <c r="C155" s="571" t="s">
        <v>26</v>
      </c>
      <c r="D155" s="572"/>
      <c r="E155" s="572"/>
      <c r="F155" s="572"/>
      <c r="G155" s="573"/>
      <c r="H155" s="134" t="s">
        <v>27</v>
      </c>
      <c r="I155" s="133"/>
      <c r="J155" s="12"/>
      <c r="K155" s="30" t="s">
        <v>164</v>
      </c>
      <c r="L155" s="31" t="s">
        <v>158</v>
      </c>
      <c r="M155" s="135"/>
      <c r="N155" s="15"/>
      <c r="O155" s="86"/>
      <c r="P155" s="86"/>
      <c r="Q155" s="86"/>
      <c r="R155" s="86"/>
      <c r="S155" s="87"/>
      <c r="T155" s="22"/>
      <c r="U155" s="22"/>
    </row>
    <row r="156" spans="1:21" x14ac:dyDescent="0.2">
      <c r="A156" s="1"/>
      <c r="B156" s="569"/>
      <c r="C156" s="136" t="s">
        <v>29</v>
      </c>
      <c r="D156" s="574" t="s">
        <v>30</v>
      </c>
      <c r="E156" s="575"/>
      <c r="F156" s="576"/>
      <c r="G156" s="137" t="s">
        <v>31</v>
      </c>
      <c r="H156" s="138" t="s">
        <v>77</v>
      </c>
      <c r="I156" s="133"/>
      <c r="J156" s="404" t="s">
        <v>35</v>
      </c>
      <c r="K156" s="139"/>
      <c r="L156" s="140"/>
      <c r="M156" s="141" t="s">
        <v>11</v>
      </c>
      <c r="N156" s="15"/>
      <c r="O156" s="86" t="s">
        <v>357</v>
      </c>
      <c r="P156" s="86"/>
      <c r="Q156" s="86"/>
      <c r="R156" s="86"/>
      <c r="S156" s="87"/>
      <c r="T156" s="22"/>
      <c r="U156" s="22"/>
    </row>
    <row r="157" spans="1:21" ht="13.5" thickBot="1" x14ac:dyDescent="0.25">
      <c r="A157" s="1"/>
      <c r="B157" s="570"/>
      <c r="C157" s="396" t="s">
        <v>32</v>
      </c>
      <c r="D157" s="142" t="s">
        <v>563</v>
      </c>
      <c r="E157" s="143" t="s">
        <v>564</v>
      </c>
      <c r="F157" s="144" t="s">
        <v>202</v>
      </c>
      <c r="G157" s="397" t="s">
        <v>33</v>
      </c>
      <c r="H157" s="398" t="s">
        <v>34</v>
      </c>
      <c r="J157" s="405"/>
      <c r="K157" s="39" t="s">
        <v>165</v>
      </c>
      <c r="L157" s="40">
        <v>1</v>
      </c>
      <c r="M157" s="145">
        <v>4</v>
      </c>
      <c r="N157" s="15"/>
      <c r="O157" s="86" t="s">
        <v>511</v>
      </c>
      <c r="P157" s="86"/>
      <c r="Q157" s="86"/>
      <c r="R157" s="86"/>
      <c r="S157" s="87"/>
      <c r="T157" s="22"/>
      <c r="U157" s="22"/>
    </row>
    <row r="158" spans="1:21" x14ac:dyDescent="0.2">
      <c r="A158" s="1"/>
      <c r="B158" s="479">
        <v>1</v>
      </c>
      <c r="C158" s="469">
        <f>H90*1/10</f>
        <v>1</v>
      </c>
      <c r="D158" s="480">
        <f>4.9*$H$86*(C158-$H$89-0.3)*$H$91/($E$149*E148)+$H$99</f>
        <v>1.89985625</v>
      </c>
      <c r="E158" s="480">
        <f>4.9*$H$86*(C158-$H$89-0.3)/($E$150*E148)</f>
        <v>-9.3467499999999981E-2</v>
      </c>
      <c r="F158" s="480">
        <f t="shared" ref="F158:F167" si="20">MAX(D158,E158,$E$144)</f>
        <v>5</v>
      </c>
      <c r="G158" s="511">
        <v>5</v>
      </c>
      <c r="H158" s="481">
        <f>PI()*$H$86*G158/1000*7.85*C158</f>
        <v>1.2330751165339937</v>
      </c>
      <c r="I158" s="146" t="str">
        <f t="shared" ref="I158:I167" si="21">IF(G158&gt;=F158,"","Aumentar")</f>
        <v/>
      </c>
      <c r="J158" s="403">
        <f>H158*(0+C158)/2</f>
        <v>0.61653755826699685</v>
      </c>
      <c r="K158" s="39" t="s">
        <v>166</v>
      </c>
      <c r="L158" s="40">
        <f t="shared" ref="L158:L172" si="22">L157+1</f>
        <v>2</v>
      </c>
      <c r="M158" s="145">
        <v>5</v>
      </c>
      <c r="N158" s="15"/>
      <c r="O158" s="86">
        <f>Redondear_Lista($M$157:$M$172,F158)</f>
        <v>5</v>
      </c>
      <c r="P158" s="86"/>
      <c r="Q158" s="86"/>
      <c r="R158" s="86"/>
      <c r="S158" s="87"/>
      <c r="T158" s="22"/>
      <c r="U158" s="22"/>
    </row>
    <row r="159" spans="1:21" x14ac:dyDescent="0.2">
      <c r="A159" s="1"/>
      <c r="B159" s="479">
        <v>2</v>
      </c>
      <c r="C159" s="469">
        <f>H90*2/10</f>
        <v>2</v>
      </c>
      <c r="D159" s="480">
        <f>4.9*$H$86*(C159-$H$89-0.3)*$H$91/($E$149*E148)+$H$99</f>
        <v>2.2336687500000001</v>
      </c>
      <c r="E159" s="480">
        <f>4.9*$H$86*(C159-$H$89-0.3)/($E$150*E148)</f>
        <v>0.21809083333333329</v>
      </c>
      <c r="F159" s="480">
        <f t="shared" si="20"/>
        <v>5</v>
      </c>
      <c r="G159" s="511">
        <v>5</v>
      </c>
      <c r="H159" s="481">
        <f t="shared" ref="H159:H167" si="23">PI()*$H$86*G159/1000*7.85*(C159-C158)</f>
        <v>1.2330751165339937</v>
      </c>
      <c r="I159" s="146" t="str">
        <f t="shared" si="21"/>
        <v/>
      </c>
      <c r="J159" s="403">
        <f>H159*(C159+C158)/2</f>
        <v>1.8496126748009907</v>
      </c>
      <c r="K159" s="39" t="s">
        <v>167</v>
      </c>
      <c r="L159" s="40">
        <f t="shared" si="22"/>
        <v>3</v>
      </c>
      <c r="M159" s="145">
        <v>6</v>
      </c>
      <c r="N159" s="15"/>
      <c r="O159" s="86">
        <f t="shared" ref="O159:O167" si="24">Redondear_Lista($M$157:$M$172,F159)</f>
        <v>5</v>
      </c>
      <c r="P159" s="86"/>
      <c r="Q159" s="86"/>
      <c r="R159" s="86"/>
      <c r="S159" s="87"/>
      <c r="T159" s="22"/>
      <c r="U159" s="22"/>
    </row>
    <row r="160" spans="1:21" x14ac:dyDescent="0.2">
      <c r="A160" s="1"/>
      <c r="B160" s="479">
        <v>3</v>
      </c>
      <c r="C160" s="469">
        <f>H90*3/10</f>
        <v>3</v>
      </c>
      <c r="D160" s="480">
        <f>4.9*$H$86*(C160-$H$89-0.3)*$H$91/($E$149*E148)+$H$99</f>
        <v>2.5674812499999997</v>
      </c>
      <c r="E160" s="480">
        <f>4.9*$H$86*(C160-$H$89-0.3)/($E$150*E148)</f>
        <v>0.52964916666666662</v>
      </c>
      <c r="F160" s="480">
        <f t="shared" si="20"/>
        <v>5</v>
      </c>
      <c r="G160" s="511">
        <v>5</v>
      </c>
      <c r="H160" s="481">
        <f t="shared" si="23"/>
        <v>1.2330751165339937</v>
      </c>
      <c r="I160" s="146" t="str">
        <f t="shared" si="21"/>
        <v/>
      </c>
      <c r="J160" s="403">
        <f t="shared" ref="J160:J167" si="25">H160*(C160+C159)/2</f>
        <v>3.0826877913349842</v>
      </c>
      <c r="K160" s="39" t="s">
        <v>168</v>
      </c>
      <c r="L160" s="40">
        <f t="shared" si="22"/>
        <v>4</v>
      </c>
      <c r="M160" s="145">
        <v>8</v>
      </c>
      <c r="N160" s="15"/>
      <c r="O160" s="86">
        <f t="shared" si="24"/>
        <v>5</v>
      </c>
      <c r="P160" s="86"/>
      <c r="Q160" s="86"/>
      <c r="R160" s="86"/>
      <c r="S160" s="87"/>
      <c r="T160" s="22"/>
      <c r="U160" s="22"/>
    </row>
    <row r="161" spans="1:21" x14ac:dyDescent="0.2">
      <c r="A161" s="1"/>
      <c r="B161" s="479">
        <v>4</v>
      </c>
      <c r="C161" s="469">
        <f>H90*4/10</f>
        <v>4</v>
      </c>
      <c r="D161" s="480">
        <f>4.9*$H$86*(C161-$H$89-0.3)*$H$91/($E$149*E148)+$H$99</f>
        <v>2.9012937499999998</v>
      </c>
      <c r="E161" s="480">
        <f>4.9*$H$86*(C161-$H$89-0.3)/($E$150*E148)</f>
        <v>0.8412075</v>
      </c>
      <c r="F161" s="480">
        <f t="shared" si="20"/>
        <v>5</v>
      </c>
      <c r="G161" s="511">
        <v>5</v>
      </c>
      <c r="H161" s="481">
        <f t="shared" si="23"/>
        <v>1.2330751165339937</v>
      </c>
      <c r="I161" s="146" t="str">
        <f t="shared" si="21"/>
        <v/>
      </c>
      <c r="J161" s="403">
        <f t="shared" si="25"/>
        <v>4.3157629078689776</v>
      </c>
      <c r="K161" s="39" t="s">
        <v>169</v>
      </c>
      <c r="L161" s="40">
        <f t="shared" si="22"/>
        <v>5</v>
      </c>
      <c r="M161" s="145">
        <v>10</v>
      </c>
      <c r="N161" s="15"/>
      <c r="O161" s="86">
        <f t="shared" si="24"/>
        <v>5</v>
      </c>
      <c r="P161" s="86"/>
      <c r="Q161" s="86"/>
      <c r="R161" s="86"/>
      <c r="S161" s="87"/>
      <c r="T161" s="22"/>
      <c r="U161" s="22"/>
    </row>
    <row r="162" spans="1:21" x14ac:dyDescent="0.2">
      <c r="A162" s="1"/>
      <c r="B162" s="479">
        <v>5</v>
      </c>
      <c r="C162" s="469">
        <f>H90*5/10</f>
        <v>5</v>
      </c>
      <c r="D162" s="480">
        <f>4.9*$H$86*(C162-$H$89-0.3)*$H$91/($E$149*E148)+$H$99</f>
        <v>3.2351062499999999</v>
      </c>
      <c r="E162" s="480">
        <f>4.9*$H$86*(C162-$H$89-0.3)/($E$150*E148)</f>
        <v>1.1527658333333333</v>
      </c>
      <c r="F162" s="480">
        <f t="shared" si="20"/>
        <v>5</v>
      </c>
      <c r="G162" s="511">
        <v>5</v>
      </c>
      <c r="H162" s="481">
        <f t="shared" si="23"/>
        <v>1.2330751165339937</v>
      </c>
      <c r="I162" s="146" t="str">
        <f t="shared" si="21"/>
        <v/>
      </c>
      <c r="J162" s="403">
        <f t="shared" si="25"/>
        <v>5.548838024402972</v>
      </c>
      <c r="K162" s="39" t="s">
        <v>170</v>
      </c>
      <c r="L162" s="40">
        <f t="shared" si="22"/>
        <v>6</v>
      </c>
      <c r="M162" s="145">
        <v>12</v>
      </c>
      <c r="N162" s="15"/>
      <c r="O162" s="86">
        <f t="shared" si="24"/>
        <v>5</v>
      </c>
      <c r="P162" s="86"/>
      <c r="Q162" s="86"/>
      <c r="R162" s="86"/>
      <c r="S162" s="87"/>
      <c r="T162" s="22"/>
      <c r="U162" s="22"/>
    </row>
    <row r="163" spans="1:21" x14ac:dyDescent="0.2">
      <c r="A163" s="1"/>
      <c r="B163" s="479">
        <v>6</v>
      </c>
      <c r="C163" s="469">
        <f>H90*6/10</f>
        <v>6</v>
      </c>
      <c r="D163" s="480">
        <f>4.9*$H$86*(C163-$H$89-0.3)*$H$91/($E$149*E148)+$H$99</f>
        <v>3.5689187499999999</v>
      </c>
      <c r="E163" s="480">
        <f>4.9*$H$86*(C163-$H$89-0.3)/($E$150*E148)</f>
        <v>1.4643241666666666</v>
      </c>
      <c r="F163" s="480">
        <f t="shared" si="20"/>
        <v>5</v>
      </c>
      <c r="G163" s="511">
        <v>5</v>
      </c>
      <c r="H163" s="481">
        <f t="shared" si="23"/>
        <v>1.2330751165339937</v>
      </c>
      <c r="I163" s="146" t="str">
        <f t="shared" si="21"/>
        <v/>
      </c>
      <c r="J163" s="403">
        <f>H163*(C163+C162)/2</f>
        <v>6.7819131409369655</v>
      </c>
      <c r="K163" s="39" t="s">
        <v>171</v>
      </c>
      <c r="L163" s="40">
        <f t="shared" si="22"/>
        <v>7</v>
      </c>
      <c r="M163" s="145">
        <v>14</v>
      </c>
      <c r="N163" s="15"/>
      <c r="O163" s="86">
        <f t="shared" si="24"/>
        <v>5</v>
      </c>
      <c r="P163" s="86"/>
      <c r="Q163" s="86"/>
      <c r="R163" s="86"/>
      <c r="S163" s="87"/>
      <c r="T163" s="22"/>
      <c r="U163" s="22"/>
    </row>
    <row r="164" spans="1:21" x14ac:dyDescent="0.2">
      <c r="A164" s="1"/>
      <c r="B164" s="479">
        <v>7</v>
      </c>
      <c r="C164" s="469">
        <f>H90*7/10</f>
        <v>7</v>
      </c>
      <c r="D164" s="480">
        <f>4.9*$H$86*(C164-$H$89-0.3)*$H$91/($E$149*E148)+$H$99</f>
        <v>3.9027312499999995</v>
      </c>
      <c r="E164" s="480">
        <f>4.9*$H$86*(C164-$H$89-0.3)/($E$150*E148)</f>
        <v>1.7758824999999998</v>
      </c>
      <c r="F164" s="480">
        <f t="shared" si="20"/>
        <v>5</v>
      </c>
      <c r="G164" s="511">
        <v>6</v>
      </c>
      <c r="H164" s="481">
        <f t="shared" si="23"/>
        <v>1.4796901398407925</v>
      </c>
      <c r="I164" s="146" t="str">
        <f t="shared" si="21"/>
        <v/>
      </c>
      <c r="J164" s="403">
        <f t="shared" si="25"/>
        <v>9.6179859089651512</v>
      </c>
      <c r="K164" s="39" t="s">
        <v>172</v>
      </c>
      <c r="L164" s="40">
        <f t="shared" si="22"/>
        <v>8</v>
      </c>
      <c r="M164" s="145">
        <v>16</v>
      </c>
      <c r="N164" s="15"/>
      <c r="O164" s="86">
        <f t="shared" si="24"/>
        <v>5</v>
      </c>
      <c r="P164" s="86"/>
      <c r="Q164" s="86"/>
      <c r="R164" s="86"/>
      <c r="S164" s="87"/>
      <c r="T164" s="22"/>
      <c r="U164" s="22"/>
    </row>
    <row r="165" spans="1:21" ht="12.75" customHeight="1" x14ac:dyDescent="0.2">
      <c r="A165" s="1"/>
      <c r="B165" s="479">
        <v>8</v>
      </c>
      <c r="C165" s="469">
        <f>H90*8/10</f>
        <v>8</v>
      </c>
      <c r="D165" s="480">
        <f>4.9*$H$86*(C165-$H$89-0.3)*$H$91/($E$149*E148)+$H$99</f>
        <v>4.2365437499999992</v>
      </c>
      <c r="E165" s="480">
        <f>4.9*$H$86*(C165-$H$89-0.3)/($E$150*E148)</f>
        <v>2.087440833333333</v>
      </c>
      <c r="F165" s="480">
        <f t="shared" si="20"/>
        <v>5</v>
      </c>
      <c r="G165" s="511">
        <v>8</v>
      </c>
      <c r="H165" s="481">
        <f t="shared" si="23"/>
        <v>1.9729201864543902</v>
      </c>
      <c r="I165" s="146" t="str">
        <f t="shared" si="21"/>
        <v/>
      </c>
      <c r="J165" s="403">
        <f t="shared" si="25"/>
        <v>14.796901398407925</v>
      </c>
      <c r="K165" s="39" t="s">
        <v>173</v>
      </c>
      <c r="L165" s="40">
        <f t="shared" si="22"/>
        <v>9</v>
      </c>
      <c r="M165" s="145">
        <v>18</v>
      </c>
      <c r="N165" s="15"/>
      <c r="O165" s="86">
        <f t="shared" si="24"/>
        <v>5</v>
      </c>
      <c r="P165" s="113"/>
      <c r="Q165" s="113"/>
      <c r="R165" s="113"/>
      <c r="S165" s="87"/>
      <c r="T165" s="22"/>
      <c r="U165" s="22"/>
    </row>
    <row r="166" spans="1:21" x14ac:dyDescent="0.2">
      <c r="A166" s="1"/>
      <c r="B166" s="479">
        <v>9</v>
      </c>
      <c r="C166" s="469">
        <f>H90*9/10</f>
        <v>9</v>
      </c>
      <c r="D166" s="480">
        <f>4.9*$H$86*(C166-$H$89-0.3)*$H$91/($E$149*E148)+$H$99</f>
        <v>4.5703562499999997</v>
      </c>
      <c r="E166" s="480">
        <f>4.9*$H$86*(C166-$H$89-0.3)/($E$150*E148)</f>
        <v>2.3989991666666666</v>
      </c>
      <c r="F166" s="480">
        <f t="shared" si="20"/>
        <v>5</v>
      </c>
      <c r="G166" s="511">
        <v>10</v>
      </c>
      <c r="H166" s="481">
        <f t="shared" si="23"/>
        <v>2.4661502330679874</v>
      </c>
      <c r="I166" s="146" t="str">
        <f>IF(G166&gt;=F166,"","Aumentar")</f>
        <v/>
      </c>
      <c r="J166" s="403">
        <f t="shared" si="25"/>
        <v>20.962276981077892</v>
      </c>
      <c r="K166" s="39" t="s">
        <v>174</v>
      </c>
      <c r="L166" s="40">
        <f t="shared" si="22"/>
        <v>10</v>
      </c>
      <c r="M166" s="145">
        <v>20</v>
      </c>
      <c r="N166" s="15"/>
      <c r="O166" s="86">
        <f t="shared" si="24"/>
        <v>5</v>
      </c>
      <c r="P166" s="113"/>
      <c r="Q166" s="113"/>
      <c r="R166" s="113"/>
      <c r="S166" s="87"/>
      <c r="T166" s="22"/>
      <c r="U166" s="22"/>
    </row>
    <row r="167" spans="1:21" ht="13.5" thickBot="1" x14ac:dyDescent="0.25">
      <c r="A167" s="1"/>
      <c r="B167" s="482">
        <v>10</v>
      </c>
      <c r="C167" s="470">
        <f>H90*10/10</f>
        <v>10</v>
      </c>
      <c r="D167" s="483">
        <f>4.9*$H$86*(C167-$H$89-0.3)*$H$91/($E$149*E148)+$H$99</f>
        <v>4.9041687499999993</v>
      </c>
      <c r="E167" s="483">
        <f>4.9*$H$86*(C167-$H$89-0.3)/($E$150*E148)</f>
        <v>2.7105574999999993</v>
      </c>
      <c r="F167" s="483">
        <f t="shared" si="20"/>
        <v>5</v>
      </c>
      <c r="G167" s="512">
        <v>12</v>
      </c>
      <c r="H167" s="484">
        <f t="shared" si="23"/>
        <v>2.9593802796815849</v>
      </c>
      <c r="I167" s="146" t="str">
        <f t="shared" si="21"/>
        <v/>
      </c>
      <c r="J167" s="406">
        <f t="shared" si="25"/>
        <v>28.114112656975056</v>
      </c>
      <c r="K167" s="39" t="s">
        <v>175</v>
      </c>
      <c r="L167" s="40">
        <f t="shared" si="22"/>
        <v>11</v>
      </c>
      <c r="M167" s="145">
        <v>22</v>
      </c>
      <c r="N167" s="15"/>
      <c r="O167" s="86">
        <f t="shared" si="24"/>
        <v>5</v>
      </c>
      <c r="P167" s="113"/>
      <c r="Q167" s="113"/>
      <c r="R167" s="113"/>
      <c r="S167" s="87"/>
      <c r="T167" s="22"/>
      <c r="U167" s="22"/>
    </row>
    <row r="168" spans="1:21" x14ac:dyDescent="0.2">
      <c r="A168" s="1"/>
      <c r="B168" s="399"/>
      <c r="C168" s="400"/>
      <c r="D168" s="401"/>
      <c r="E168" s="401"/>
      <c r="F168" s="401"/>
      <c r="G168" s="402"/>
      <c r="H168" s="400">
        <f>SUM(H158:H167)</f>
        <v>16.276591538248717</v>
      </c>
      <c r="I168" s="133"/>
      <c r="J168" s="400">
        <f>SUM(J158:J167)</f>
        <v>95.686629043037911</v>
      </c>
      <c r="K168" s="39" t="s">
        <v>176</v>
      </c>
      <c r="L168" s="40">
        <f t="shared" si="22"/>
        <v>12</v>
      </c>
      <c r="M168" s="145">
        <v>25</v>
      </c>
      <c r="N168" s="15"/>
      <c r="O168" s="113"/>
      <c r="P168" s="113"/>
      <c r="Q168" s="113"/>
      <c r="R168" s="113"/>
      <c r="S168" s="87"/>
      <c r="T168" s="22"/>
      <c r="U168" s="22"/>
    </row>
    <row r="169" spans="1:21" x14ac:dyDescent="0.2">
      <c r="A169" s="38" t="s">
        <v>520</v>
      </c>
      <c r="B169" s="1"/>
      <c r="C169" s="1"/>
      <c r="D169" s="1"/>
      <c r="E169" s="1"/>
      <c r="F169" s="1"/>
      <c r="G169" s="1"/>
      <c r="H169" s="1"/>
      <c r="I169" s="1"/>
      <c r="J169" s="407"/>
      <c r="K169" s="39" t="s">
        <v>177</v>
      </c>
      <c r="L169" s="40">
        <f t="shared" si="22"/>
        <v>13</v>
      </c>
      <c r="M169" s="145">
        <v>28</v>
      </c>
      <c r="P169" s="12"/>
    </row>
    <row r="170" spans="1:21" ht="13.5" thickBot="1" x14ac:dyDescent="0.25">
      <c r="A170" s="1"/>
      <c r="B170" s="1"/>
      <c r="C170" s="1"/>
      <c r="D170" s="1"/>
      <c r="E170" s="1"/>
      <c r="F170" s="1"/>
      <c r="G170" s="1"/>
      <c r="H170" s="1"/>
      <c r="I170" s="1"/>
      <c r="J170" s="12"/>
      <c r="K170" s="39" t="s">
        <v>178</v>
      </c>
      <c r="L170" s="40">
        <f t="shared" si="22"/>
        <v>14</v>
      </c>
      <c r="M170" s="145">
        <v>32</v>
      </c>
      <c r="P170" s="12"/>
    </row>
    <row r="171" spans="1:21" x14ac:dyDescent="0.2">
      <c r="A171" s="1"/>
      <c r="B171" s="1"/>
      <c r="C171" s="578" t="s">
        <v>214</v>
      </c>
      <c r="D171" s="579"/>
      <c r="E171" s="578" t="s">
        <v>216</v>
      </c>
      <c r="F171" s="580"/>
      <c r="G171" s="580"/>
      <c r="H171" s="579"/>
      <c r="I171" s="1"/>
      <c r="J171" s="12"/>
      <c r="K171" s="39" t="s">
        <v>179</v>
      </c>
      <c r="L171" s="40">
        <f t="shared" si="22"/>
        <v>15</v>
      </c>
      <c r="M171" s="145">
        <v>35</v>
      </c>
      <c r="P171" s="12"/>
    </row>
    <row r="172" spans="1:21" ht="13.5" thickBot="1" x14ac:dyDescent="0.25">
      <c r="A172" s="1"/>
      <c r="B172" s="1"/>
      <c r="C172" s="565" t="s">
        <v>215</v>
      </c>
      <c r="D172" s="566"/>
      <c r="E172" s="6"/>
      <c r="F172" s="581" t="s">
        <v>208</v>
      </c>
      <c r="G172" s="581"/>
      <c r="H172" s="9"/>
      <c r="I172" s="1"/>
      <c r="J172" s="12"/>
      <c r="K172" s="147" t="s">
        <v>180</v>
      </c>
      <c r="L172" s="53">
        <f t="shared" si="22"/>
        <v>16</v>
      </c>
      <c r="M172" s="148">
        <v>40</v>
      </c>
      <c r="P172" s="12"/>
    </row>
    <row r="173" spans="1:21" ht="13.5" thickBot="1" x14ac:dyDescent="0.25">
      <c r="A173" s="1"/>
      <c r="B173" s="1"/>
      <c r="C173" s="582" t="s">
        <v>11</v>
      </c>
      <c r="D173" s="583"/>
      <c r="E173" s="149" t="s">
        <v>217</v>
      </c>
      <c r="F173" s="150" t="s">
        <v>220</v>
      </c>
      <c r="G173" s="150" t="s">
        <v>218</v>
      </c>
      <c r="H173" s="151" t="s">
        <v>219</v>
      </c>
      <c r="I173" s="1"/>
      <c r="J173" s="12"/>
      <c r="K173" s="12"/>
      <c r="L173" s="12"/>
      <c r="M173" s="12"/>
      <c r="P173" s="12"/>
    </row>
    <row r="174" spans="1:21" x14ac:dyDescent="0.2">
      <c r="A174" s="1"/>
      <c r="B174" s="1"/>
      <c r="C174" s="565" t="s">
        <v>209</v>
      </c>
      <c r="D174" s="566"/>
      <c r="E174" s="126">
        <v>6</v>
      </c>
      <c r="F174" s="11">
        <v>6</v>
      </c>
      <c r="G174" s="11">
        <v>7</v>
      </c>
      <c r="H174" s="10">
        <v>9</v>
      </c>
      <c r="I174" s="1"/>
      <c r="J174" s="152">
        <f>IF($H$182&lt;190,E174,IF($H$182&lt;210,F174,IF($H$182&lt;230,G174,H174)))</f>
        <v>6</v>
      </c>
      <c r="K174" s="12"/>
      <c r="L174" s="12"/>
      <c r="M174" s="12"/>
      <c r="P174" s="12"/>
    </row>
    <row r="175" spans="1:21" x14ac:dyDescent="0.2">
      <c r="A175" s="1"/>
      <c r="B175" s="1"/>
      <c r="C175" s="565" t="s">
        <v>210</v>
      </c>
      <c r="D175" s="566"/>
      <c r="E175" s="126">
        <v>6</v>
      </c>
      <c r="F175" s="11">
        <v>7</v>
      </c>
      <c r="G175" s="11">
        <v>10</v>
      </c>
      <c r="H175" s="10">
        <v>11</v>
      </c>
      <c r="I175" s="1"/>
      <c r="J175" s="152">
        <f>IF($H$182&lt;190,E175,IF($H$182&lt;210,F175,IF($H$182&lt;230,G175,H175)))</f>
        <v>6</v>
      </c>
      <c r="K175" s="12"/>
      <c r="L175" s="12"/>
      <c r="M175" s="12"/>
      <c r="P175" s="12"/>
    </row>
    <row r="176" spans="1:21" x14ac:dyDescent="0.2">
      <c r="A176" s="1"/>
      <c r="B176" s="1"/>
      <c r="C176" s="565" t="s">
        <v>211</v>
      </c>
      <c r="D176" s="566"/>
      <c r="E176" s="126">
        <v>6</v>
      </c>
      <c r="F176" s="11">
        <v>9</v>
      </c>
      <c r="G176" s="11">
        <v>12</v>
      </c>
      <c r="H176" s="10">
        <v>14</v>
      </c>
      <c r="I176" s="1"/>
      <c r="J176" s="152">
        <f>IF($H$182&lt;190,E176,IF($H$182&lt;210,F176,IF($H$182&lt;230,G176,H176)))</f>
        <v>6</v>
      </c>
      <c r="K176" s="12"/>
      <c r="L176" s="12"/>
      <c r="M176" s="12"/>
      <c r="P176" s="12"/>
    </row>
    <row r="177" spans="1:21" x14ac:dyDescent="0.2">
      <c r="A177" s="1"/>
      <c r="B177" s="1"/>
      <c r="C177" s="565" t="s">
        <v>212</v>
      </c>
      <c r="D177" s="566"/>
      <c r="E177" s="126">
        <v>8</v>
      </c>
      <c r="F177" s="11">
        <v>11</v>
      </c>
      <c r="G177" s="11">
        <v>14</v>
      </c>
      <c r="H177" s="10">
        <v>17</v>
      </c>
      <c r="I177" s="1"/>
      <c r="J177" s="152">
        <f>IF($H$182&lt;190,E177,IF($H$182&lt;210,F177,IF($H$182&lt;230,G177,H177)))</f>
        <v>8</v>
      </c>
      <c r="K177" s="12"/>
      <c r="L177" s="12"/>
      <c r="M177" s="12"/>
      <c r="P177" s="12"/>
    </row>
    <row r="178" spans="1:21" ht="13.5" thickBot="1" x14ac:dyDescent="0.25">
      <c r="A178" s="1"/>
      <c r="B178" s="1"/>
      <c r="C178" s="582" t="s">
        <v>213</v>
      </c>
      <c r="D178" s="583"/>
      <c r="E178" s="7">
        <v>9</v>
      </c>
      <c r="F178" s="8">
        <v>13</v>
      </c>
      <c r="G178" s="8">
        <v>16</v>
      </c>
      <c r="H178" s="9">
        <v>19</v>
      </c>
      <c r="I178" s="1"/>
      <c r="J178" s="152">
        <f>IF($H$182&lt;190,E178,IF($H$182&lt;210,F178,IF($H$182&lt;230,G178,H178)))</f>
        <v>9</v>
      </c>
      <c r="K178" s="12"/>
      <c r="L178" s="12"/>
      <c r="M178" s="12"/>
      <c r="P178" s="12"/>
    </row>
    <row r="179" spans="1:21" x14ac:dyDescent="0.2">
      <c r="A179" s="1"/>
      <c r="B179" s="1"/>
      <c r="C179" s="5"/>
      <c r="D179" s="1"/>
      <c r="E179" s="1"/>
      <c r="F179" s="1"/>
      <c r="G179" s="1"/>
      <c r="H179" s="1"/>
      <c r="I179" s="1"/>
      <c r="J179" s="12"/>
      <c r="K179" s="12"/>
      <c r="L179" s="12"/>
      <c r="M179" s="12"/>
      <c r="P179" s="12"/>
    </row>
    <row r="180" spans="1:21" x14ac:dyDescent="0.2">
      <c r="A180" s="1"/>
      <c r="B180" s="5" t="s">
        <v>510</v>
      </c>
      <c r="C180" s="1"/>
      <c r="D180" s="1"/>
      <c r="E180" s="1"/>
      <c r="F180" s="46" t="s">
        <v>74</v>
      </c>
      <c r="G180" s="47" t="s">
        <v>2</v>
      </c>
      <c r="H180" s="473">
        <v>10</v>
      </c>
      <c r="I180" s="5" t="str">
        <f>"mm" &amp; IF(J94="ACERO CARBONO",IF(H180-H100&lt;6," AUMENTAR",""),IF(H180-H100&lt;5," AUMENTAR",""))</f>
        <v>mm</v>
      </c>
      <c r="J180" s="12"/>
      <c r="K180" s="12"/>
      <c r="L180" s="12"/>
      <c r="M180" s="12"/>
      <c r="P180" s="12"/>
    </row>
    <row r="181" spans="1:21" x14ac:dyDescent="0.2">
      <c r="A181" s="1"/>
      <c r="B181" s="5" t="s">
        <v>206</v>
      </c>
      <c r="D181" s="1"/>
      <c r="E181" s="1"/>
      <c r="F181" s="1"/>
      <c r="G181" s="1"/>
      <c r="H181" s="48">
        <f>LOOKUP(D154,B158:B167,G158:G167)</f>
        <v>12</v>
      </c>
      <c r="I181" s="5" t="s">
        <v>11</v>
      </c>
      <c r="J181" s="12"/>
      <c r="K181" s="12"/>
      <c r="L181" s="12"/>
      <c r="M181" s="12"/>
      <c r="P181" s="12"/>
    </row>
    <row r="182" spans="1:21" x14ac:dyDescent="0.2">
      <c r="A182" s="1"/>
      <c r="B182" s="5" t="s">
        <v>207</v>
      </c>
      <c r="C182" s="1"/>
      <c r="D182" s="1"/>
      <c r="E182" s="1"/>
      <c r="F182" s="1"/>
      <c r="G182" s="1"/>
      <c r="H182" s="63">
        <f>4.9*$H$86*(H87-0.3)/H181</f>
        <v>35.524999999999999</v>
      </c>
      <c r="I182" s="1" t="s">
        <v>208</v>
      </c>
      <c r="J182" s="12"/>
      <c r="K182" s="12"/>
      <c r="L182" s="12"/>
      <c r="M182" s="12"/>
      <c r="P182" s="12"/>
    </row>
    <row r="183" spans="1:21" x14ac:dyDescent="0.2">
      <c r="A183" s="1"/>
      <c r="B183" s="5" t="s">
        <v>203</v>
      </c>
      <c r="C183" s="5"/>
      <c r="D183" s="5"/>
      <c r="E183" s="5"/>
      <c r="F183" s="46" t="s">
        <v>509</v>
      </c>
      <c r="G183" s="47" t="s">
        <v>2</v>
      </c>
      <c r="H183" s="48">
        <f>IF(H181&lt;19,J174,IF(H181&lt;25,J175,IF(H181&lt;32,J176,IF(H181&lt;38,J177,J178))))+H100</f>
        <v>8</v>
      </c>
      <c r="I183" s="5" t="s">
        <v>11</v>
      </c>
      <c r="J183" s="12"/>
      <c r="K183" s="12"/>
      <c r="L183" s="12"/>
      <c r="M183" s="12"/>
      <c r="P183" s="12"/>
    </row>
    <row r="184" spans="1:21" x14ac:dyDescent="0.2">
      <c r="A184" s="1"/>
      <c r="B184" s="1"/>
      <c r="C184" s="1"/>
      <c r="D184" s="1"/>
      <c r="E184" s="1"/>
      <c r="F184" s="1"/>
      <c r="G184" s="1"/>
      <c r="H184" s="51"/>
      <c r="I184" s="1"/>
      <c r="O184" s="113"/>
      <c r="P184" s="113"/>
      <c r="Q184" s="113"/>
      <c r="R184" s="113"/>
      <c r="S184" s="87"/>
      <c r="T184" s="22"/>
      <c r="U184" s="22"/>
    </row>
    <row r="185" spans="1:21" ht="15.75" x14ac:dyDescent="0.25">
      <c r="A185" s="117" t="s">
        <v>535</v>
      </c>
      <c r="B185" s="1"/>
      <c r="C185" s="1"/>
      <c r="D185" s="1"/>
      <c r="E185" s="1"/>
      <c r="F185" s="1"/>
      <c r="G185" s="1"/>
      <c r="H185" s="51"/>
      <c r="I185" s="1"/>
      <c r="L185" s="82"/>
      <c r="M185" s="355"/>
      <c r="N185" s="113"/>
      <c r="O185" s="113"/>
      <c r="P185" s="113"/>
      <c r="Q185" s="113"/>
      <c r="R185" s="113"/>
      <c r="S185" s="87"/>
      <c r="T185" s="22"/>
      <c r="U185" s="22"/>
    </row>
    <row r="186" spans="1:21" x14ac:dyDescent="0.2">
      <c r="A186" s="1"/>
      <c r="B186" s="1"/>
      <c r="C186" s="1"/>
      <c r="D186" s="1"/>
      <c r="E186" s="1"/>
      <c r="F186" s="1"/>
      <c r="G186" s="1"/>
      <c r="H186" s="51"/>
      <c r="I186" s="1"/>
      <c r="L186" s="82"/>
      <c r="M186" s="355"/>
      <c r="N186" s="113"/>
      <c r="O186" s="113"/>
      <c r="P186" s="113"/>
      <c r="Q186" s="113"/>
      <c r="R186" s="113"/>
      <c r="S186" s="87"/>
      <c r="T186" s="22"/>
      <c r="U186" s="22"/>
    </row>
    <row r="187" spans="1:21" x14ac:dyDescent="0.2">
      <c r="A187" s="38" t="s">
        <v>524</v>
      </c>
      <c r="B187" s="1"/>
      <c r="C187" s="1"/>
      <c r="D187" s="1"/>
      <c r="E187" s="1"/>
      <c r="F187" s="1"/>
      <c r="G187" s="1"/>
      <c r="H187" s="51"/>
      <c r="I187" s="1"/>
      <c r="L187" s="82"/>
      <c r="M187" s="355"/>
      <c r="N187" s="113"/>
      <c r="O187" s="113"/>
      <c r="P187" s="113"/>
      <c r="Q187" s="113"/>
      <c r="R187" s="113"/>
      <c r="S187" s="87"/>
      <c r="T187" s="22"/>
      <c r="U187" s="22"/>
    </row>
    <row r="188" spans="1:21" x14ac:dyDescent="0.2">
      <c r="A188" s="1"/>
      <c r="B188" s="5" t="s">
        <v>36</v>
      </c>
      <c r="C188" s="5"/>
      <c r="D188" s="5"/>
      <c r="E188" s="5"/>
      <c r="F188" s="46" t="s">
        <v>78</v>
      </c>
      <c r="G188" s="47" t="s">
        <v>2</v>
      </c>
      <c r="H188" s="486">
        <f>+H131</f>
        <v>5.3122501776897124</v>
      </c>
      <c r="I188" s="5" t="s">
        <v>14</v>
      </c>
      <c r="J188" s="357"/>
      <c r="L188" s="82"/>
      <c r="M188" s="358"/>
      <c r="N188" s="157"/>
      <c r="O188" s="113"/>
      <c r="P188" s="113"/>
      <c r="Q188" s="113"/>
      <c r="R188" s="113"/>
      <c r="S188" s="87"/>
      <c r="T188" s="22"/>
      <c r="U188" s="22"/>
    </row>
    <row r="189" spans="1:21" x14ac:dyDescent="0.2">
      <c r="A189" s="1"/>
      <c r="B189" s="5" t="s">
        <v>643</v>
      </c>
      <c r="C189" s="5"/>
      <c r="D189" s="5"/>
      <c r="E189" s="5"/>
      <c r="F189" s="46" t="s">
        <v>79</v>
      </c>
      <c r="G189" s="47" t="s">
        <v>2</v>
      </c>
      <c r="H189" s="154">
        <f>+H168+H121</f>
        <v>17.276591538248717</v>
      </c>
      <c r="I189" s="5" t="s">
        <v>14</v>
      </c>
      <c r="J189" s="357"/>
      <c r="L189" s="82"/>
      <c r="M189" s="355"/>
      <c r="N189" s="113"/>
      <c r="O189" s="113"/>
      <c r="P189" s="113"/>
      <c r="Q189" s="113"/>
      <c r="R189" s="113"/>
      <c r="S189" s="87"/>
      <c r="T189" s="22"/>
      <c r="U189" s="22"/>
    </row>
    <row r="190" spans="1:21" x14ac:dyDescent="0.2">
      <c r="A190" s="1"/>
      <c r="B190" s="5" t="s">
        <v>37</v>
      </c>
      <c r="C190" s="5"/>
      <c r="D190" s="5"/>
      <c r="E190" s="5"/>
      <c r="F190" s="46" t="s">
        <v>80</v>
      </c>
      <c r="G190" s="47" t="s">
        <v>2</v>
      </c>
      <c r="H190" s="158">
        <f>PI()*H86*H86/4*H87*H91</f>
        <v>706.85834705770344</v>
      </c>
      <c r="I190" s="5" t="s">
        <v>14</v>
      </c>
      <c r="J190" s="357"/>
      <c r="L190" s="82"/>
      <c r="M190" s="355"/>
      <c r="N190" s="113"/>
      <c r="O190" s="113"/>
      <c r="P190" s="113"/>
      <c r="Q190" s="113"/>
      <c r="R190" s="113"/>
      <c r="S190" s="87"/>
      <c r="T190" s="22"/>
      <c r="U190" s="22"/>
    </row>
    <row r="191" spans="1:21" x14ac:dyDescent="0.2">
      <c r="A191" s="1"/>
      <c r="B191" s="5" t="s">
        <v>38</v>
      </c>
      <c r="C191" s="5"/>
      <c r="D191" s="5"/>
      <c r="E191" s="5"/>
      <c r="F191" s="46" t="s">
        <v>81</v>
      </c>
      <c r="G191" s="47" t="s">
        <v>2</v>
      </c>
      <c r="H191" s="158">
        <f>SUM(H188:H190)</f>
        <v>729.44718877364187</v>
      </c>
      <c r="I191" s="5" t="s">
        <v>14</v>
      </c>
      <c r="J191" s="357"/>
      <c r="L191" s="82"/>
      <c r="M191" s="355"/>
      <c r="N191" s="113"/>
      <c r="O191" s="113"/>
      <c r="P191" s="113"/>
      <c r="Q191" s="113"/>
      <c r="R191" s="113"/>
      <c r="S191" s="87"/>
      <c r="T191" s="22"/>
      <c r="U191" s="22"/>
    </row>
    <row r="192" spans="1:21" x14ac:dyDescent="0.2">
      <c r="A192" s="1"/>
      <c r="B192" s="5" t="s">
        <v>622</v>
      </c>
      <c r="C192" s="5"/>
      <c r="D192" s="5"/>
      <c r="E192" s="5"/>
      <c r="F192" s="46" t="s">
        <v>82</v>
      </c>
      <c r="G192" s="47" t="s">
        <v>2</v>
      </c>
      <c r="H192" s="507">
        <f>+H90+H126</f>
        <v>12</v>
      </c>
      <c r="I192" s="5" t="s">
        <v>3</v>
      </c>
      <c r="J192" s="357"/>
      <c r="L192" s="82"/>
      <c r="M192" s="355"/>
      <c r="N192" s="113"/>
      <c r="O192" s="113"/>
      <c r="P192" s="113"/>
      <c r="Q192" s="113"/>
      <c r="R192" s="113"/>
      <c r="S192" s="87"/>
      <c r="T192" s="22"/>
      <c r="U192" s="22"/>
    </row>
    <row r="193" spans="1:21" x14ac:dyDescent="0.2">
      <c r="A193" s="1"/>
      <c r="B193" s="5" t="s">
        <v>39</v>
      </c>
      <c r="C193" s="5"/>
      <c r="D193" s="5"/>
      <c r="E193" s="5"/>
      <c r="F193" s="46" t="s">
        <v>83</v>
      </c>
      <c r="G193" s="47" t="s">
        <v>2</v>
      </c>
      <c r="H193" s="154">
        <f>H90-J168/H168</f>
        <v>4.1212121212121211</v>
      </c>
      <c r="I193" s="5" t="s">
        <v>3</v>
      </c>
      <c r="J193" s="357"/>
      <c r="L193" s="82"/>
      <c r="M193" s="358"/>
      <c r="N193" s="157"/>
      <c r="O193" s="157"/>
      <c r="P193" s="157"/>
      <c r="Q193" s="157"/>
      <c r="R193" s="157"/>
      <c r="S193" s="87"/>
      <c r="T193" s="22"/>
      <c r="U193" s="22"/>
    </row>
    <row r="194" spans="1:21" x14ac:dyDescent="0.2">
      <c r="A194" s="1"/>
      <c r="B194" s="5"/>
      <c r="C194" s="5"/>
      <c r="D194" s="5"/>
      <c r="E194" s="5"/>
      <c r="F194" s="46"/>
      <c r="G194" s="47"/>
      <c r="H194" s="154"/>
      <c r="I194" s="5"/>
      <c r="J194" s="357"/>
      <c r="L194" s="82"/>
      <c r="M194" s="355"/>
      <c r="N194" s="113"/>
      <c r="O194" s="159"/>
      <c r="P194" s="159"/>
      <c r="Q194" s="159"/>
      <c r="R194" s="160"/>
      <c r="S194" s="87"/>
      <c r="T194" s="22"/>
      <c r="U194" s="22"/>
    </row>
    <row r="195" spans="1:21" x14ac:dyDescent="0.2">
      <c r="A195" s="38" t="s">
        <v>525</v>
      </c>
      <c r="B195" s="5"/>
      <c r="C195" s="5"/>
      <c r="D195" s="5"/>
      <c r="E195" s="5"/>
      <c r="F195" s="46" t="s">
        <v>40</v>
      </c>
      <c r="G195" s="47" t="s">
        <v>2</v>
      </c>
      <c r="H195" s="154">
        <f>H86/H87</f>
        <v>1.1111111111111112</v>
      </c>
      <c r="I195" s="5"/>
      <c r="J195" s="354"/>
      <c r="K195" s="354"/>
      <c r="L195" s="82"/>
      <c r="M195" s="355"/>
      <c r="N195" s="113"/>
      <c r="O195" s="159"/>
      <c r="P195" s="159"/>
      <c r="Q195" s="159"/>
      <c r="R195" s="160"/>
      <c r="S195" s="87"/>
      <c r="T195" s="22"/>
      <c r="U195" s="22"/>
    </row>
    <row r="196" spans="1:21" x14ac:dyDescent="0.2">
      <c r="A196" s="1"/>
      <c r="B196" s="5" t="s">
        <v>389</v>
      </c>
      <c r="C196" s="5"/>
      <c r="D196" s="5"/>
      <c r="E196" s="5"/>
      <c r="F196" s="46" t="s">
        <v>84</v>
      </c>
      <c r="G196" s="47" t="s">
        <v>2</v>
      </c>
      <c r="H196" s="154">
        <f>TANH(0.866*H195)/(0.866*H195)</f>
        <v>0.77452633948478777</v>
      </c>
      <c r="I196" s="5"/>
      <c r="J196" s="357"/>
      <c r="L196" s="82"/>
      <c r="M196" s="355"/>
      <c r="N196" s="113"/>
      <c r="O196" s="159"/>
      <c r="P196" s="159"/>
      <c r="Q196" s="159"/>
      <c r="R196" s="160"/>
      <c r="S196" s="87"/>
      <c r="T196" s="22"/>
      <c r="U196" s="22"/>
    </row>
    <row r="197" spans="1:21" x14ac:dyDescent="0.2">
      <c r="A197" s="1"/>
      <c r="B197" s="5" t="s">
        <v>389</v>
      </c>
      <c r="C197" s="5"/>
      <c r="D197" s="5"/>
      <c r="E197" s="5"/>
      <c r="F197" s="46" t="s">
        <v>85</v>
      </c>
      <c r="G197" s="47" t="s">
        <v>2</v>
      </c>
      <c r="H197" s="154">
        <f>0.23*H195*TANH(3.68/H195)</f>
        <v>0.25487764520193273</v>
      </c>
      <c r="I197" s="5"/>
      <c r="J197" s="357"/>
      <c r="L197" s="82"/>
      <c r="M197" s="355"/>
      <c r="N197" s="113"/>
      <c r="O197" s="159"/>
      <c r="P197" s="159"/>
      <c r="Q197" s="159"/>
      <c r="R197" s="160"/>
      <c r="S197" s="87"/>
      <c r="T197" s="22"/>
      <c r="U197" s="22"/>
    </row>
    <row r="198" spans="1:21" x14ac:dyDescent="0.2">
      <c r="A198" s="1"/>
      <c r="B198" s="5" t="s">
        <v>389</v>
      </c>
      <c r="C198" s="5"/>
      <c r="D198" s="5"/>
      <c r="E198" s="5"/>
      <c r="F198" s="46" t="s">
        <v>86</v>
      </c>
      <c r="G198" s="47" t="s">
        <v>2</v>
      </c>
      <c r="H198" s="154">
        <f>IF(H195&lt;4/3,0.5-0.09375*H195,0.375)</f>
        <v>0.39583333333333331</v>
      </c>
      <c r="I198" s="5"/>
      <c r="J198" s="357"/>
      <c r="L198" s="82"/>
      <c r="M198" s="355"/>
      <c r="N198" s="113"/>
      <c r="O198" s="113"/>
      <c r="P198" s="113"/>
      <c r="Q198" s="113"/>
      <c r="R198" s="113"/>
      <c r="S198" s="87"/>
      <c r="T198" s="22"/>
      <c r="U198" s="22"/>
    </row>
    <row r="199" spans="1:21" x14ac:dyDescent="0.2">
      <c r="A199" s="1"/>
      <c r="B199" s="5" t="s">
        <v>389</v>
      </c>
      <c r="C199" s="5"/>
      <c r="D199" s="5"/>
      <c r="E199" s="5"/>
      <c r="F199" s="46" t="s">
        <v>87</v>
      </c>
      <c r="G199" s="47" t="s">
        <v>2</v>
      </c>
      <c r="H199" s="154">
        <f>1-(COSH(3.68/H195)-1)/(3.68/H195*SINH(3.68/H195))</f>
        <v>0.71930060699590292</v>
      </c>
      <c r="I199" s="5"/>
      <c r="J199" s="357"/>
      <c r="L199" s="82"/>
      <c r="M199" s="358"/>
      <c r="N199" s="157"/>
      <c r="O199" s="113"/>
      <c r="P199" s="113"/>
      <c r="Q199" s="113"/>
      <c r="R199" s="113"/>
      <c r="S199" s="87"/>
      <c r="T199" s="22"/>
      <c r="U199" s="22"/>
    </row>
    <row r="200" spans="1:21" x14ac:dyDescent="0.2">
      <c r="A200" s="1"/>
      <c r="B200" s="5" t="s">
        <v>389</v>
      </c>
      <c r="C200" s="5"/>
      <c r="D200" s="5"/>
      <c r="E200" s="5"/>
      <c r="F200" s="46" t="s">
        <v>44</v>
      </c>
      <c r="G200" s="47" t="s">
        <v>2</v>
      </c>
      <c r="H200" s="154">
        <f>2*PI()/SQRT(118.4*TANH(3.68/H195))</f>
        <v>0.57820362141683868</v>
      </c>
      <c r="I200" s="5"/>
      <c r="J200" s="357"/>
      <c r="L200" s="82"/>
      <c r="M200" s="355"/>
      <c r="N200" s="113"/>
      <c r="O200" s="113"/>
      <c r="P200" s="113"/>
      <c r="Q200" s="113"/>
      <c r="R200" s="113"/>
      <c r="S200" s="87"/>
      <c r="T200" s="22"/>
      <c r="U200" s="22"/>
    </row>
    <row r="201" spans="1:21" x14ac:dyDescent="0.2">
      <c r="A201" s="1"/>
      <c r="B201" s="5" t="s">
        <v>45</v>
      </c>
      <c r="C201" s="5"/>
      <c r="D201" s="5"/>
      <c r="E201" s="5"/>
      <c r="F201" s="46" t="s">
        <v>88</v>
      </c>
      <c r="G201" s="47" t="s">
        <v>2</v>
      </c>
      <c r="H201" s="158">
        <f>H190*H196</f>
        <v>547.4804080808708</v>
      </c>
      <c r="I201" s="5" t="s">
        <v>14</v>
      </c>
      <c r="J201" s="357"/>
      <c r="L201" s="82"/>
      <c r="M201" s="355"/>
      <c r="N201" s="113"/>
      <c r="O201" s="113"/>
      <c r="P201" s="113"/>
      <c r="Q201" s="113"/>
      <c r="R201" s="113"/>
      <c r="S201" s="87"/>
      <c r="T201" s="22"/>
      <c r="U201" s="22"/>
    </row>
    <row r="202" spans="1:21" x14ac:dyDescent="0.2">
      <c r="A202" s="1"/>
      <c r="B202" s="5" t="s">
        <v>46</v>
      </c>
      <c r="C202" s="5"/>
      <c r="D202" s="5"/>
      <c r="E202" s="5"/>
      <c r="F202" s="46" t="s">
        <v>89</v>
      </c>
      <c r="G202" s="47" t="s">
        <v>2</v>
      </c>
      <c r="H202" s="158">
        <f>H190*H197</f>
        <v>180.16239098939798</v>
      </c>
      <c r="I202" s="5" t="s">
        <v>14</v>
      </c>
      <c r="J202" s="357"/>
      <c r="L202" s="82"/>
      <c r="M202" s="355"/>
      <c r="N202" s="113"/>
      <c r="O202" s="113"/>
      <c r="P202" s="113"/>
      <c r="Q202" s="113"/>
      <c r="R202" s="113"/>
      <c r="S202" s="87"/>
      <c r="T202" s="22"/>
      <c r="U202" s="22"/>
    </row>
    <row r="203" spans="1:21" x14ac:dyDescent="0.2">
      <c r="A203" s="1"/>
      <c r="B203" s="4" t="s">
        <v>154</v>
      </c>
      <c r="C203" s="5"/>
      <c r="D203" s="5"/>
      <c r="E203" s="5"/>
      <c r="F203" s="46" t="s">
        <v>90</v>
      </c>
      <c r="G203" s="47" t="s">
        <v>2</v>
      </c>
      <c r="H203" s="154">
        <f>H87*H198</f>
        <v>3.5625</v>
      </c>
      <c r="I203" s="5" t="s">
        <v>3</v>
      </c>
      <c r="J203" s="357"/>
      <c r="L203" s="82"/>
      <c r="M203" s="355"/>
      <c r="N203" s="113"/>
      <c r="O203" s="113"/>
      <c r="P203" s="113"/>
      <c r="Q203" s="113"/>
      <c r="R203" s="113"/>
      <c r="S203" s="87"/>
      <c r="T203" s="22"/>
      <c r="U203" s="22"/>
    </row>
    <row r="204" spans="1:21" x14ac:dyDescent="0.2">
      <c r="A204" s="1"/>
      <c r="B204" s="4" t="s">
        <v>155</v>
      </c>
      <c r="C204" s="5"/>
      <c r="D204" s="5"/>
      <c r="E204" s="5"/>
      <c r="F204" s="46" t="s">
        <v>91</v>
      </c>
      <c r="G204" s="47" t="s">
        <v>2</v>
      </c>
      <c r="H204" s="154">
        <f>H87*H199</f>
        <v>6.4737054629631263</v>
      </c>
      <c r="I204" s="5" t="s">
        <v>3</v>
      </c>
      <c r="J204" s="357"/>
      <c r="L204" s="82"/>
      <c r="M204" s="355"/>
      <c r="N204" s="113"/>
      <c r="O204" s="113"/>
      <c r="P204" s="113"/>
      <c r="Q204" s="113"/>
      <c r="R204" s="113"/>
      <c r="S204" s="87"/>
      <c r="T204" s="22"/>
      <c r="U204" s="22"/>
    </row>
    <row r="205" spans="1:21" x14ac:dyDescent="0.2">
      <c r="A205" s="1"/>
      <c r="B205" s="5" t="s">
        <v>47</v>
      </c>
      <c r="C205" s="5"/>
      <c r="D205" s="5"/>
      <c r="E205" s="5"/>
      <c r="F205" s="46" t="s">
        <v>225</v>
      </c>
      <c r="G205" s="47" t="s">
        <v>2</v>
      </c>
      <c r="H205" s="154">
        <f>1.81*H200*H86^0.5</f>
        <v>3.3094771150132125</v>
      </c>
      <c r="I205" s="5" t="s">
        <v>48</v>
      </c>
      <c r="J205" s="357"/>
      <c r="L205" s="82"/>
      <c r="M205" s="355"/>
      <c r="N205" s="113"/>
      <c r="O205" s="113"/>
      <c r="P205" s="113"/>
      <c r="Q205" s="113"/>
      <c r="R205" s="113"/>
      <c r="S205" s="87"/>
      <c r="T205" s="22"/>
      <c r="U205" s="22"/>
    </row>
    <row r="206" spans="1:21" x14ac:dyDescent="0.2">
      <c r="A206" s="1"/>
      <c r="B206" s="5" t="s">
        <v>188</v>
      </c>
      <c r="C206" s="5"/>
      <c r="D206" s="5"/>
      <c r="E206" s="5"/>
      <c r="F206" s="46" t="s">
        <v>153</v>
      </c>
      <c r="G206" s="47" t="s">
        <v>2</v>
      </c>
      <c r="H206" s="154">
        <f>MAX(2.75*H104/4*(H111/H205)^H112*(0.05/0.005)^0.4,0.1*H104)</f>
        <v>4.0000000000000008E-2</v>
      </c>
      <c r="I206" s="5"/>
      <c r="J206" s="357"/>
      <c r="L206" s="82"/>
      <c r="M206" s="82"/>
      <c r="N206" s="82"/>
      <c r="O206" s="82"/>
      <c r="P206" s="82"/>
      <c r="Q206" s="82"/>
      <c r="R206" s="82"/>
    </row>
    <row r="207" spans="1:21" x14ac:dyDescent="0.2">
      <c r="A207" s="1"/>
      <c r="B207" s="5" t="s">
        <v>189</v>
      </c>
      <c r="C207" s="5"/>
      <c r="D207" s="5"/>
      <c r="E207" s="5"/>
      <c r="F207" s="46" t="s">
        <v>92</v>
      </c>
      <c r="G207" s="47" t="s">
        <v>2</v>
      </c>
      <c r="H207" s="154">
        <f>H110</f>
        <v>0.32</v>
      </c>
      <c r="I207" s="5"/>
      <c r="J207" s="357"/>
      <c r="L207" s="82"/>
      <c r="M207" s="82"/>
      <c r="N207" s="82"/>
      <c r="O207" s="82"/>
      <c r="P207" s="82"/>
      <c r="Q207" s="82"/>
      <c r="R207" s="82"/>
    </row>
    <row r="208" spans="1:21" x14ac:dyDescent="0.2">
      <c r="A208" s="1"/>
      <c r="B208" s="5" t="s">
        <v>156</v>
      </c>
      <c r="C208" s="5"/>
      <c r="E208" s="5"/>
      <c r="F208" s="46" t="s">
        <v>226</v>
      </c>
      <c r="G208" s="47" t="s">
        <v>2</v>
      </c>
      <c r="H208" s="154">
        <f>0.3426*H106*H206*H205^2*TANH(4.77/SQRT(H195))</f>
        <v>0.15005974175104675</v>
      </c>
      <c r="I208" s="5" t="s">
        <v>3</v>
      </c>
      <c r="J208" s="359"/>
    </row>
    <row r="209" spans="1:10" x14ac:dyDescent="0.2">
      <c r="A209" s="1"/>
      <c r="B209" s="1"/>
      <c r="C209" s="1"/>
      <c r="D209" s="1"/>
      <c r="E209" s="1"/>
      <c r="F209" s="1"/>
      <c r="G209" s="162" t="str">
        <f>IF(H208&lt;H89,"Revancha OK","Aumentar Revancha")</f>
        <v>Revancha OK</v>
      </c>
      <c r="H209" s="1"/>
      <c r="I209" s="1"/>
      <c r="J209" s="357"/>
    </row>
    <row r="210" spans="1:10" x14ac:dyDescent="0.2">
      <c r="A210" s="1"/>
      <c r="B210" s="5"/>
      <c r="C210" s="5"/>
      <c r="D210" s="5"/>
      <c r="E210" s="5"/>
      <c r="F210" s="46"/>
      <c r="G210" s="47"/>
      <c r="H210" s="163"/>
      <c r="I210" s="5"/>
      <c r="J210" s="357"/>
    </row>
    <row r="211" spans="1:10" x14ac:dyDescent="0.2">
      <c r="A211" s="1"/>
      <c r="B211" s="5"/>
      <c r="C211" s="5"/>
      <c r="D211" s="5"/>
      <c r="E211" s="5"/>
      <c r="F211" s="22"/>
      <c r="G211" s="47"/>
      <c r="H211" s="163"/>
      <c r="I211" s="5"/>
      <c r="J211" s="357"/>
    </row>
    <row r="212" spans="1:10" x14ac:dyDescent="0.2">
      <c r="A212" s="1"/>
      <c r="B212" s="5"/>
      <c r="C212" s="5"/>
      <c r="D212" s="5"/>
      <c r="E212" s="5"/>
      <c r="F212" s="46"/>
      <c r="G212" s="47"/>
      <c r="H212" s="163"/>
      <c r="I212" s="5"/>
      <c r="J212" s="357"/>
    </row>
    <row r="213" spans="1:10" ht="12" customHeight="1" x14ac:dyDescent="0.2">
      <c r="A213" s="1"/>
      <c r="B213" s="22"/>
      <c r="C213" s="164"/>
      <c r="D213" s="5"/>
      <c r="E213" s="22"/>
      <c r="F213" s="22"/>
      <c r="G213" s="47"/>
      <c r="H213" s="163"/>
      <c r="I213" s="5"/>
      <c r="J213" s="357"/>
    </row>
    <row r="214" spans="1:10" x14ac:dyDescent="0.2">
      <c r="A214" s="1"/>
      <c r="B214" s="1"/>
      <c r="C214" s="1"/>
      <c r="D214" s="1"/>
      <c r="E214" s="1"/>
      <c r="F214" s="1"/>
      <c r="G214" s="1"/>
      <c r="H214" s="22"/>
      <c r="I214" s="1"/>
      <c r="J214" s="357"/>
    </row>
    <row r="215" spans="1:10" x14ac:dyDescent="0.2">
      <c r="A215" s="1"/>
      <c r="B215" s="1"/>
      <c r="C215" s="1"/>
      <c r="D215" s="1"/>
      <c r="E215" s="1"/>
      <c r="F215" s="1"/>
      <c r="G215" s="1"/>
      <c r="H215" s="1"/>
      <c r="I215" s="1"/>
      <c r="J215" s="357"/>
    </row>
    <row r="216" spans="1:10" x14ac:dyDescent="0.2">
      <c r="A216" s="1"/>
      <c r="B216" s="1"/>
      <c r="C216" s="22"/>
      <c r="D216" s="22"/>
      <c r="E216" s="1"/>
      <c r="F216" s="1"/>
      <c r="G216" s="1"/>
      <c r="H216" s="1"/>
      <c r="I216" s="1"/>
      <c r="J216" s="357"/>
    </row>
    <row r="217" spans="1:10" x14ac:dyDescent="0.2">
      <c r="A217" s="1"/>
      <c r="B217" s="5"/>
      <c r="C217" s="5"/>
      <c r="D217" s="5"/>
      <c r="E217" s="5"/>
      <c r="F217" s="46"/>
      <c r="G217" s="22"/>
      <c r="H217" s="165"/>
      <c r="I217" s="5"/>
      <c r="J217" s="357"/>
    </row>
    <row r="218" spans="1:10" x14ac:dyDescent="0.2">
      <c r="A218" s="1"/>
      <c r="B218" s="5"/>
      <c r="C218" s="5"/>
      <c r="D218" s="5"/>
      <c r="E218" s="5"/>
      <c r="F218" s="46"/>
      <c r="G218" s="47"/>
      <c r="H218" s="165"/>
      <c r="I218" s="5"/>
      <c r="J218" s="357"/>
    </row>
    <row r="219" spans="1:10" x14ac:dyDescent="0.2">
      <c r="A219" s="1"/>
      <c r="B219" s="5"/>
      <c r="C219" s="22"/>
      <c r="D219" s="5"/>
      <c r="E219" s="22"/>
      <c r="F219" s="46"/>
      <c r="G219" s="47"/>
      <c r="H219" s="166"/>
      <c r="I219" s="5"/>
      <c r="J219" s="357"/>
    </row>
    <row r="220" spans="1:10" x14ac:dyDescent="0.2">
      <c r="A220" s="1"/>
      <c r="B220" s="5"/>
      <c r="C220" s="5"/>
      <c r="D220" s="5"/>
      <c r="E220" s="5"/>
      <c r="F220" s="46"/>
      <c r="G220" s="166"/>
      <c r="H220" s="165"/>
      <c r="I220" s="5"/>
      <c r="J220" s="357"/>
    </row>
    <row r="221" spans="1:10" x14ac:dyDescent="0.2">
      <c r="A221" s="1"/>
      <c r="B221" s="5"/>
      <c r="C221" s="5"/>
      <c r="D221" s="5"/>
      <c r="E221" s="5"/>
      <c r="F221" s="46"/>
      <c r="G221" s="47"/>
      <c r="H221" s="165"/>
      <c r="I221" s="5"/>
      <c r="J221" s="357"/>
    </row>
    <row r="222" spans="1:10" x14ac:dyDescent="0.2">
      <c r="A222" s="1"/>
      <c r="B222" s="5"/>
      <c r="C222" s="5"/>
      <c r="D222" s="5"/>
      <c r="E222" s="5"/>
      <c r="F222" s="46"/>
      <c r="G222" s="47"/>
      <c r="H222" s="165"/>
      <c r="I222" s="5"/>
      <c r="J222" s="357"/>
    </row>
    <row r="223" spans="1:10" x14ac:dyDescent="0.2">
      <c r="A223" s="1"/>
      <c r="B223" s="5"/>
      <c r="C223" s="5"/>
      <c r="D223" s="5"/>
      <c r="E223" s="5"/>
      <c r="F223" s="46"/>
      <c r="G223" s="47"/>
      <c r="H223" s="165"/>
      <c r="I223" s="5"/>
      <c r="J223" s="357"/>
    </row>
    <row r="224" spans="1:10" x14ac:dyDescent="0.2">
      <c r="A224" s="1"/>
      <c r="B224" s="5"/>
      <c r="C224" s="5"/>
      <c r="D224" s="5"/>
      <c r="E224" s="5"/>
      <c r="F224" s="46"/>
      <c r="G224" s="47"/>
      <c r="H224" s="165"/>
      <c r="I224" s="5"/>
      <c r="J224" s="357"/>
    </row>
    <row r="225" spans="1:13" x14ac:dyDescent="0.2">
      <c r="A225" s="1"/>
      <c r="B225" s="5"/>
      <c r="C225" s="5"/>
      <c r="D225" s="5"/>
      <c r="E225" s="5"/>
      <c r="F225" s="46"/>
      <c r="G225" s="47"/>
      <c r="H225" s="165"/>
      <c r="I225" s="5"/>
      <c r="J225" s="357"/>
    </row>
    <row r="226" spans="1:13" x14ac:dyDescent="0.2">
      <c r="A226" s="1"/>
      <c r="B226" s="5"/>
      <c r="C226" s="5"/>
      <c r="D226" s="5"/>
      <c r="E226" s="5"/>
      <c r="F226" s="46"/>
      <c r="G226" s="47"/>
      <c r="H226" s="165"/>
      <c r="I226" s="5"/>
      <c r="J226" s="357"/>
    </row>
    <row r="227" spans="1:13" x14ac:dyDescent="0.2">
      <c r="A227" s="1"/>
      <c r="B227" s="5"/>
      <c r="C227" s="5"/>
      <c r="D227" s="5"/>
      <c r="E227" s="5"/>
      <c r="F227" s="46"/>
      <c r="G227" s="47"/>
      <c r="H227" s="165"/>
      <c r="I227" s="166"/>
      <c r="J227" s="357"/>
    </row>
    <row r="228" spans="1:13" x14ac:dyDescent="0.2">
      <c r="A228" s="1"/>
      <c r="B228" s="5"/>
      <c r="C228" s="5"/>
      <c r="D228" s="5"/>
      <c r="E228" s="5"/>
      <c r="F228" s="46"/>
      <c r="G228" s="47"/>
      <c r="H228" s="165"/>
      <c r="I228" s="5"/>
      <c r="J228" s="357"/>
    </row>
    <row r="229" spans="1:13" x14ac:dyDescent="0.2">
      <c r="A229" s="1"/>
      <c r="B229" s="1"/>
      <c r="C229" s="1"/>
      <c r="D229" s="1"/>
      <c r="E229" s="5"/>
      <c r="F229" s="46"/>
      <c r="G229" s="47"/>
      <c r="H229" s="165"/>
      <c r="I229" s="5"/>
      <c r="J229" s="357"/>
    </row>
    <row r="230" spans="1:13" hidden="1" x14ac:dyDescent="0.2">
      <c r="A230" s="1"/>
      <c r="B230" s="1"/>
      <c r="C230" s="1"/>
      <c r="D230" s="1"/>
      <c r="E230" s="5"/>
      <c r="F230" s="46"/>
      <c r="G230" s="47"/>
      <c r="H230" s="165"/>
      <c r="I230" s="5"/>
      <c r="J230" s="357"/>
    </row>
    <row r="231" spans="1:13" hidden="1" x14ac:dyDescent="0.2">
      <c r="A231" s="1"/>
      <c r="B231" s="1"/>
      <c r="C231" s="1"/>
      <c r="D231" s="1"/>
      <c r="E231" s="5"/>
      <c r="F231" s="46"/>
      <c r="G231" s="47"/>
      <c r="H231" s="165"/>
      <c r="I231" s="5"/>
      <c r="J231" s="357"/>
    </row>
    <row r="232" spans="1:13" hidden="1" x14ac:dyDescent="0.2">
      <c r="A232" s="1"/>
      <c r="B232" s="1"/>
      <c r="C232" s="1"/>
      <c r="D232" s="1"/>
      <c r="E232" s="5"/>
      <c r="F232" s="46"/>
      <c r="G232" s="47"/>
      <c r="H232" s="165"/>
      <c r="I232" s="5"/>
      <c r="J232" s="357"/>
    </row>
    <row r="233" spans="1:13" hidden="1" x14ac:dyDescent="0.2">
      <c r="A233" s="1"/>
      <c r="B233" s="1"/>
      <c r="C233" s="1"/>
      <c r="D233" s="1"/>
      <c r="E233" s="5"/>
      <c r="F233" s="46"/>
      <c r="G233" s="47"/>
      <c r="H233" s="165"/>
      <c r="I233" s="5"/>
      <c r="J233" s="357"/>
    </row>
    <row r="234" spans="1:13" hidden="1" x14ac:dyDescent="0.2">
      <c r="A234" s="1"/>
      <c r="B234" s="1"/>
      <c r="C234" s="1"/>
      <c r="D234" s="1"/>
      <c r="E234" s="5"/>
      <c r="F234" s="46"/>
      <c r="G234" s="47"/>
      <c r="H234" s="165"/>
      <c r="I234" s="5"/>
      <c r="J234" s="357"/>
    </row>
    <row r="235" spans="1:13" hidden="1" x14ac:dyDescent="0.2">
      <c r="A235" s="1"/>
      <c r="B235" s="1"/>
      <c r="C235" s="1"/>
      <c r="D235" s="1"/>
      <c r="E235" s="5"/>
      <c r="F235" s="46"/>
      <c r="G235" s="47"/>
      <c r="H235" s="165"/>
      <c r="I235" s="5"/>
      <c r="J235" s="357"/>
    </row>
    <row r="236" spans="1:13" hidden="1" x14ac:dyDescent="0.2">
      <c r="A236" s="1"/>
      <c r="B236" s="1"/>
      <c r="C236" s="1"/>
      <c r="D236" s="1"/>
      <c r="E236" s="5"/>
      <c r="F236" s="46"/>
      <c r="G236" s="47"/>
      <c r="H236" s="165"/>
      <c r="I236" s="5"/>
      <c r="J236" s="357"/>
    </row>
    <row r="237" spans="1:13" x14ac:dyDescent="0.2">
      <c r="A237" s="38" t="s">
        <v>526</v>
      </c>
      <c r="B237" s="5"/>
      <c r="C237" s="5"/>
      <c r="D237" s="5"/>
      <c r="E237" s="5"/>
      <c r="F237" s="46"/>
      <c r="G237" s="47"/>
      <c r="H237" s="165"/>
      <c r="I237" s="5"/>
      <c r="J237" s="155"/>
      <c r="K237" s="12"/>
      <c r="L237" s="12"/>
      <c r="M237" s="12"/>
    </row>
    <row r="238" spans="1:13" x14ac:dyDescent="0.2">
      <c r="A238" s="5"/>
      <c r="C238" s="5"/>
      <c r="D238" s="5"/>
      <c r="E238" s="5"/>
      <c r="F238" s="46"/>
      <c r="G238" s="47"/>
      <c r="H238" s="165"/>
      <c r="I238" s="5"/>
      <c r="J238" s="155"/>
      <c r="K238" s="12"/>
      <c r="L238" s="12"/>
      <c r="M238" s="12"/>
    </row>
    <row r="239" spans="1:13" x14ac:dyDescent="0.2">
      <c r="A239" s="5"/>
      <c r="B239" s="5"/>
      <c r="C239" s="5"/>
      <c r="D239" s="5"/>
      <c r="E239" s="5"/>
      <c r="F239" s="46"/>
      <c r="G239" s="47"/>
      <c r="H239" s="165"/>
      <c r="I239" s="5"/>
      <c r="J239" s="155"/>
      <c r="K239" s="12"/>
      <c r="L239" s="12"/>
      <c r="M239" s="12"/>
    </row>
    <row r="240" spans="1:13" x14ac:dyDescent="0.2">
      <c r="A240" s="5"/>
      <c r="B240" s="5" t="s">
        <v>326</v>
      </c>
      <c r="C240" s="5"/>
      <c r="D240" s="5"/>
      <c r="E240" s="5"/>
      <c r="F240" s="46"/>
      <c r="G240" s="47"/>
      <c r="H240" s="165"/>
      <c r="I240" s="5"/>
      <c r="J240" s="155"/>
      <c r="K240" s="12"/>
      <c r="L240" s="12"/>
      <c r="M240" s="12"/>
    </row>
    <row r="241" spans="1:13" x14ac:dyDescent="0.2">
      <c r="A241" s="1"/>
      <c r="B241" s="5" t="s">
        <v>327</v>
      </c>
      <c r="C241" s="474">
        <v>0</v>
      </c>
      <c r="D241" s="5" t="s">
        <v>49</v>
      </c>
      <c r="E241" s="5"/>
      <c r="F241" s="46"/>
      <c r="G241" s="47"/>
      <c r="H241" s="165"/>
      <c r="I241" s="5"/>
      <c r="J241" s="155"/>
      <c r="K241" s="12"/>
      <c r="L241" s="12"/>
      <c r="M241" s="12"/>
    </row>
    <row r="242" spans="1:13" x14ac:dyDescent="0.2">
      <c r="A242" s="1"/>
      <c r="B242" s="5"/>
      <c r="C242" s="5"/>
      <c r="D242" s="5"/>
      <c r="E242" s="5"/>
      <c r="F242" s="46"/>
      <c r="G242" s="47"/>
      <c r="H242" s="165"/>
      <c r="I242" s="5"/>
      <c r="J242" s="155"/>
      <c r="K242" s="12"/>
      <c r="L242" s="12"/>
      <c r="M242" s="12"/>
    </row>
    <row r="243" spans="1:13" x14ac:dyDescent="0.2">
      <c r="A243" s="1"/>
      <c r="B243" s="5" t="s">
        <v>324</v>
      </c>
      <c r="C243" s="5"/>
      <c r="D243" s="5"/>
      <c r="E243" s="5"/>
      <c r="F243" s="46"/>
      <c r="G243" s="47"/>
      <c r="H243" s="165"/>
      <c r="I243" s="5"/>
      <c r="J243" s="155"/>
      <c r="K243" s="12"/>
      <c r="L243" s="12"/>
      <c r="M243" s="12"/>
    </row>
    <row r="244" spans="1:13" x14ac:dyDescent="0.2">
      <c r="A244" s="1"/>
      <c r="B244" s="5" t="s">
        <v>328</v>
      </c>
      <c r="C244" s="474">
        <v>0</v>
      </c>
      <c r="D244" s="5" t="s">
        <v>50</v>
      </c>
      <c r="E244" s="5"/>
      <c r="F244" s="46"/>
      <c r="G244" s="47"/>
      <c r="H244" s="165"/>
      <c r="I244" s="5"/>
      <c r="J244" s="155"/>
      <c r="K244" s="12"/>
      <c r="L244" s="12"/>
      <c r="M244" s="12"/>
    </row>
    <row r="245" spans="1:13" x14ac:dyDescent="0.2">
      <c r="A245" s="1"/>
      <c r="B245" s="5"/>
      <c r="C245" s="5"/>
      <c r="D245" s="5"/>
      <c r="E245" s="5"/>
      <c r="F245" s="46"/>
      <c r="G245" s="47"/>
      <c r="H245" s="165"/>
      <c r="I245" s="5"/>
      <c r="J245" s="155"/>
      <c r="K245" s="12"/>
      <c r="L245" s="12"/>
      <c r="M245" s="12"/>
    </row>
    <row r="246" spans="1:13" x14ac:dyDescent="0.2">
      <c r="A246" s="1"/>
      <c r="B246" s="5" t="s">
        <v>325</v>
      </c>
      <c r="C246" s="5"/>
      <c r="D246" s="5"/>
      <c r="E246" s="5"/>
      <c r="F246" s="46"/>
      <c r="G246" s="47"/>
      <c r="H246" s="165"/>
      <c r="I246" s="5"/>
      <c r="J246" s="155"/>
      <c r="K246" s="12"/>
      <c r="L246" s="12"/>
      <c r="M246" s="12"/>
    </row>
    <row r="247" spans="1:13" x14ac:dyDescent="0.2">
      <c r="A247" s="1"/>
      <c r="B247" s="5" t="s">
        <v>329</v>
      </c>
      <c r="C247" s="474">
        <v>0</v>
      </c>
      <c r="D247" s="5" t="s">
        <v>50</v>
      </c>
      <c r="E247" s="5"/>
      <c r="F247" s="46"/>
      <c r="G247" s="47"/>
      <c r="H247" s="165"/>
      <c r="I247" s="5"/>
      <c r="J247" s="357"/>
    </row>
    <row r="248" spans="1:13" x14ac:dyDescent="0.2">
      <c r="A248" s="1"/>
      <c r="B248" s="5"/>
      <c r="C248" s="5"/>
      <c r="D248" s="5"/>
      <c r="E248" s="5"/>
      <c r="F248" s="46"/>
      <c r="G248" s="47"/>
      <c r="H248" s="165"/>
      <c r="I248" s="5"/>
      <c r="J248" s="357"/>
    </row>
    <row r="249" spans="1:13" x14ac:dyDescent="0.2">
      <c r="A249" s="38" t="s">
        <v>576</v>
      </c>
      <c r="B249" s="5"/>
      <c r="C249" s="5"/>
      <c r="D249" s="5"/>
      <c r="E249" s="5"/>
      <c r="F249" s="46"/>
      <c r="G249" s="47"/>
      <c r="H249" s="167"/>
      <c r="I249" s="5"/>
      <c r="J249" s="357"/>
    </row>
    <row r="250" spans="1:13" x14ac:dyDescent="0.2">
      <c r="A250" s="1"/>
      <c r="B250" s="5" t="s">
        <v>190</v>
      </c>
      <c r="C250" s="5"/>
      <c r="D250" s="5"/>
      <c r="E250" s="5"/>
      <c r="F250" s="46" t="s">
        <v>331</v>
      </c>
      <c r="G250" s="47" t="s">
        <v>2</v>
      </c>
      <c r="H250" s="168">
        <f>H106*(H207*H189*H193+H207*H188*H192+H207*H201*H203+H206*H202*H204)</f>
        <v>713.96359559267535</v>
      </c>
      <c r="I250" s="5" t="s">
        <v>49</v>
      </c>
      <c r="J250" s="357"/>
    </row>
    <row r="251" spans="1:13" x14ac:dyDescent="0.2">
      <c r="A251" s="1"/>
      <c r="B251" s="5" t="s">
        <v>191</v>
      </c>
      <c r="C251" s="5"/>
      <c r="D251" s="5"/>
      <c r="E251" s="5"/>
      <c r="F251" s="46" t="s">
        <v>330</v>
      </c>
      <c r="G251" s="47" t="s">
        <v>2</v>
      </c>
      <c r="H251" s="168">
        <f>H106*(H207*H189+H207*H188+H207*H201+H206*H202)</f>
        <v>189.6286555745549</v>
      </c>
      <c r="I251" s="5" t="s">
        <v>50</v>
      </c>
      <c r="J251" s="357"/>
    </row>
    <row r="252" spans="1:13" x14ac:dyDescent="0.2">
      <c r="A252" s="1"/>
      <c r="B252" s="1"/>
      <c r="C252" s="1"/>
      <c r="D252" s="1"/>
      <c r="E252" s="1"/>
      <c r="F252" s="1"/>
      <c r="G252" s="1"/>
      <c r="H252" s="1"/>
      <c r="I252" s="5"/>
      <c r="J252" s="357"/>
    </row>
    <row r="253" spans="1:13" x14ac:dyDescent="0.2">
      <c r="A253" s="38" t="s">
        <v>570</v>
      </c>
      <c r="D253" s="489"/>
      <c r="E253" s="113"/>
      <c r="F253" s="113"/>
      <c r="G253" s="113"/>
      <c r="H253" s="113"/>
      <c r="I253" s="5"/>
      <c r="J253" s="357"/>
    </row>
    <row r="254" spans="1:13" x14ac:dyDescent="0.2">
      <c r="A254" s="113"/>
      <c r="B254" s="113"/>
      <c r="C254" s="113"/>
      <c r="D254" s="489"/>
      <c r="E254" s="113"/>
      <c r="F254" s="113"/>
      <c r="G254" s="113"/>
      <c r="H254" s="113"/>
      <c r="I254" s="5"/>
      <c r="J254" s="357"/>
    </row>
    <row r="255" spans="1:13" x14ac:dyDescent="0.2">
      <c r="A255" s="113"/>
      <c r="B255" s="1"/>
      <c r="C255" s="384"/>
      <c r="D255" s="490" t="s">
        <v>445</v>
      </c>
      <c r="E255" s="491">
        <f>950*((H181-H99)/10)^2/(H87^2*H86*H91)</f>
        <v>1.1728395061728396</v>
      </c>
      <c r="F255" s="490"/>
      <c r="G255" s="492"/>
      <c r="H255" s="113"/>
      <c r="I255" s="5"/>
      <c r="J255" s="357"/>
    </row>
    <row r="256" spans="1:13" x14ac:dyDescent="0.2">
      <c r="A256" s="113"/>
      <c r="B256" s="1"/>
      <c r="C256" s="385"/>
      <c r="D256" s="113"/>
      <c r="E256" s="113" t="str">
        <f>IF(E255&lt;0.44,"Alta probabilidad de daños y colapso",IF(E255&lt;0.66,"Probabilidad de daños reparables después de terremoto fuerte","El estanque probablemente sobrevivira a terremotos fuertes"))</f>
        <v>El estanque probablemente sobrevivira a terremotos fuertes</v>
      </c>
      <c r="F256" s="113"/>
      <c r="G256" s="493"/>
      <c r="H256" s="113"/>
      <c r="I256" s="171"/>
      <c r="J256" s="357"/>
    </row>
    <row r="257" spans="1:9" x14ac:dyDescent="0.2">
      <c r="A257" s="113"/>
      <c r="B257" s="1"/>
      <c r="C257" s="386"/>
      <c r="D257" s="494"/>
      <c r="E257" s="495" t="str">
        <f>IF(E255&lt;=0.66,"Se recomienda anclar el estanque ó aumentar el espesor","")</f>
        <v/>
      </c>
      <c r="F257" s="494"/>
      <c r="G257" s="496"/>
      <c r="H257" s="113"/>
      <c r="I257" s="381"/>
    </row>
    <row r="258" spans="1:9" x14ac:dyDescent="0.2">
      <c r="A258" s="113"/>
      <c r="B258" s="113"/>
      <c r="C258" s="497"/>
      <c r="D258" s="489"/>
      <c r="E258" s="113"/>
      <c r="F258" s="113"/>
      <c r="G258" s="113"/>
      <c r="H258" s="113"/>
      <c r="I258" s="381"/>
    </row>
    <row r="259" spans="1:9" x14ac:dyDescent="0.2">
      <c r="A259" s="38" t="s">
        <v>537</v>
      </c>
      <c r="B259" s="113"/>
      <c r="C259" s="497"/>
      <c r="D259" s="489"/>
      <c r="E259" s="113"/>
      <c r="F259" s="113"/>
      <c r="G259" s="113"/>
      <c r="H259" s="113"/>
      <c r="I259" s="381"/>
    </row>
    <row r="260" spans="1:9" x14ac:dyDescent="0.2">
      <c r="A260" s="113"/>
      <c r="B260" s="113"/>
      <c r="C260" s="497"/>
      <c r="D260" s="489"/>
      <c r="E260" s="113"/>
      <c r="F260" s="113"/>
      <c r="G260" s="113"/>
      <c r="H260" s="113"/>
      <c r="I260" s="381"/>
    </row>
    <row r="261" spans="1:9" x14ac:dyDescent="0.2">
      <c r="A261" s="113"/>
      <c r="B261" s="5" t="s">
        <v>446</v>
      </c>
      <c r="C261" s="5"/>
      <c r="D261" s="5"/>
      <c r="E261" s="5"/>
      <c r="F261" s="498" t="s">
        <v>242</v>
      </c>
      <c r="G261" s="47" t="s">
        <v>2</v>
      </c>
      <c r="H261" s="279">
        <f>H94/(1-H95^2)</f>
        <v>2028.5423037716616</v>
      </c>
      <c r="I261" s="5" t="s">
        <v>96</v>
      </c>
    </row>
    <row r="262" spans="1:9" x14ac:dyDescent="0.2">
      <c r="A262" s="113"/>
      <c r="B262" s="5" t="s">
        <v>447</v>
      </c>
      <c r="C262" s="5"/>
      <c r="D262" s="5"/>
      <c r="E262" s="5"/>
      <c r="F262" s="102" t="s">
        <v>55</v>
      </c>
      <c r="G262" s="47" t="s">
        <v>2</v>
      </c>
      <c r="H262" s="191">
        <v>2.2999999999999998</v>
      </c>
      <c r="I262" s="5"/>
    </row>
    <row r="263" spans="1:9" x14ac:dyDescent="0.2">
      <c r="A263" s="113"/>
      <c r="B263" s="4" t="s">
        <v>448</v>
      </c>
      <c r="C263" s="5"/>
      <c r="D263" s="5"/>
      <c r="E263" s="5"/>
      <c r="F263" s="46" t="s">
        <v>449</v>
      </c>
      <c r="G263" s="47" t="s">
        <v>2</v>
      </c>
      <c r="H263" s="154">
        <f>H262*(H250+C241)</f>
        <v>1642.1162698631531</v>
      </c>
      <c r="I263" s="5" t="s">
        <v>49</v>
      </c>
    </row>
    <row r="264" spans="1:9" x14ac:dyDescent="0.2">
      <c r="A264" s="113"/>
      <c r="B264" s="4"/>
      <c r="C264" s="5"/>
      <c r="D264" s="5"/>
      <c r="E264" s="5"/>
      <c r="F264" s="46"/>
      <c r="G264" s="47"/>
      <c r="H264" s="154"/>
      <c r="I264" s="5"/>
    </row>
    <row r="265" spans="1:9" x14ac:dyDescent="0.2">
      <c r="A265" s="113"/>
      <c r="B265" s="4"/>
      <c r="C265" s="5"/>
      <c r="D265" s="5"/>
      <c r="E265" s="5"/>
      <c r="F265" s="46"/>
      <c r="G265" s="47"/>
      <c r="H265" s="154"/>
      <c r="I265" s="5"/>
    </row>
    <row r="266" spans="1:9" x14ac:dyDescent="0.2">
      <c r="A266" s="113"/>
      <c r="B266" s="489" t="s">
        <v>454</v>
      </c>
      <c r="C266" s="113"/>
      <c r="D266" s="113"/>
      <c r="E266" s="113"/>
      <c r="F266" s="499" t="s">
        <v>3</v>
      </c>
      <c r="G266" s="47" t="s">
        <v>2</v>
      </c>
      <c r="H266" s="507">
        <v>0.80064999999999953</v>
      </c>
      <c r="I266" s="171" t="str">
        <f>IF(H266&lt;0,"Anclar!","")</f>
        <v/>
      </c>
    </row>
    <row r="267" spans="1:9" x14ac:dyDescent="0.2">
      <c r="A267" s="113"/>
      <c r="B267" s="489" t="s">
        <v>457</v>
      </c>
      <c r="C267" s="113"/>
      <c r="D267" s="113"/>
      <c r="E267" s="113"/>
      <c r="F267" s="113" t="s">
        <v>7</v>
      </c>
      <c r="G267" s="47" t="s">
        <v>2</v>
      </c>
      <c r="H267" s="154">
        <f>H266*H86/2</f>
        <v>4.0032499999999978</v>
      </c>
      <c r="I267" s="5" t="s">
        <v>3</v>
      </c>
    </row>
    <row r="268" spans="1:9" x14ac:dyDescent="0.2">
      <c r="A268" s="113"/>
      <c r="B268" s="4" t="s">
        <v>456</v>
      </c>
      <c r="C268" s="5"/>
      <c r="D268" s="5"/>
      <c r="E268" s="5"/>
      <c r="F268" s="499" t="s">
        <v>455</v>
      </c>
      <c r="G268" s="47" t="s">
        <v>2</v>
      </c>
      <c r="H268" s="154">
        <f>ATAN(H266/(1-H266))</f>
        <v>1.3267729978179403</v>
      </c>
      <c r="I268" s="5"/>
    </row>
    <row r="269" spans="1:9" x14ac:dyDescent="0.2">
      <c r="A269" s="113"/>
      <c r="B269" s="489" t="s">
        <v>389</v>
      </c>
      <c r="C269" s="113"/>
      <c r="D269" s="113"/>
      <c r="E269" s="113"/>
      <c r="F269" s="113" t="s">
        <v>44</v>
      </c>
      <c r="G269" s="47" t="s">
        <v>2</v>
      </c>
      <c r="H269" s="154">
        <f>2/(H268^2)*(1-COS(H268))</f>
        <v>0.86164840211180505</v>
      </c>
      <c r="I269" s="113"/>
    </row>
    <row r="270" spans="1:9" x14ac:dyDescent="0.2">
      <c r="A270" s="113"/>
      <c r="B270" s="4" t="s">
        <v>451</v>
      </c>
      <c r="C270" s="5"/>
      <c r="D270" s="5"/>
      <c r="E270" s="5"/>
      <c r="F270" s="500" t="s">
        <v>450</v>
      </c>
      <c r="G270" s="47" t="s">
        <v>2</v>
      </c>
      <c r="H270" s="154">
        <f>PI()*H267^2*H87*H91</f>
        <v>453.12477344552138</v>
      </c>
      <c r="I270" s="5" t="s">
        <v>50</v>
      </c>
    </row>
    <row r="271" spans="1:9" x14ac:dyDescent="0.2">
      <c r="A271" s="113"/>
      <c r="B271" s="4" t="s">
        <v>453</v>
      </c>
      <c r="C271" s="5"/>
      <c r="D271" s="5"/>
      <c r="E271" s="5"/>
      <c r="F271" s="500" t="s">
        <v>452</v>
      </c>
      <c r="G271" s="47" t="s">
        <v>2</v>
      </c>
      <c r="H271" s="154">
        <f>H190+H189+H188-H270</f>
        <v>276.32241532812048</v>
      </c>
      <c r="I271" s="5" t="s">
        <v>50</v>
      </c>
    </row>
    <row r="272" spans="1:9" ht="12.75" customHeight="1" x14ac:dyDescent="0.2">
      <c r="A272" s="113"/>
      <c r="B272" s="4"/>
      <c r="C272" s="5"/>
      <c r="D272" s="5"/>
      <c r="E272" s="5"/>
      <c r="F272" s="500" t="s">
        <v>507</v>
      </c>
      <c r="G272" s="47" t="s">
        <v>2</v>
      </c>
      <c r="H272" s="154">
        <f>H86/2*H190*(H269*(1+(H189+H188)/H190)+(1-H269)*H266^2-H266^3)</f>
        <v>1642.1159561075729</v>
      </c>
      <c r="I272" s="5" t="s">
        <v>49</v>
      </c>
    </row>
    <row r="273" spans="1:22" ht="12.75" customHeight="1" x14ac:dyDescent="0.2">
      <c r="A273" s="113"/>
      <c r="B273" s="4" t="s">
        <v>458</v>
      </c>
      <c r="C273" s="5"/>
      <c r="D273" s="5"/>
      <c r="E273" s="5"/>
      <c r="F273" s="500" t="s">
        <v>508</v>
      </c>
      <c r="G273" s="47" t="s">
        <v>2</v>
      </c>
      <c r="H273" s="154">
        <f>H263-H272</f>
        <v>3.137555802368297E-4</v>
      </c>
      <c r="I273" s="171"/>
    </row>
    <row r="274" spans="1:22" ht="12.75" customHeight="1" x14ac:dyDescent="0.2">
      <c r="A274" s="113"/>
      <c r="B274" s="113"/>
      <c r="C274" s="497"/>
      <c r="D274" s="489"/>
      <c r="E274" s="113"/>
      <c r="F274" s="113"/>
      <c r="G274" s="113"/>
      <c r="H274" s="113"/>
      <c r="I274" s="5"/>
      <c r="J274" s="357"/>
    </row>
    <row r="275" spans="1:22" ht="12.75" customHeight="1" x14ac:dyDescent="0.2">
      <c r="A275" s="113"/>
      <c r="B275" s="113"/>
      <c r="C275" s="497"/>
      <c r="D275" s="489"/>
      <c r="E275" s="113"/>
      <c r="F275" s="113"/>
      <c r="G275" s="113"/>
      <c r="H275" s="113"/>
      <c r="I275" s="5"/>
    </row>
    <row r="276" spans="1:22" ht="12.75" customHeight="1" x14ac:dyDescent="0.2">
      <c r="A276" s="113"/>
      <c r="B276" s="113"/>
      <c r="C276" s="113"/>
      <c r="D276" s="489"/>
      <c r="E276" s="113"/>
      <c r="F276" s="113"/>
      <c r="G276" s="113"/>
      <c r="H276" s="113"/>
      <c r="I276" s="5"/>
    </row>
    <row r="277" spans="1:22" ht="12.75" customHeight="1" x14ac:dyDescent="0.2">
      <c r="A277" s="1"/>
      <c r="B277" s="4" t="s">
        <v>459</v>
      </c>
      <c r="C277" s="1"/>
      <c r="D277" s="1"/>
      <c r="E277" s="113"/>
      <c r="F277" s="113" t="s">
        <v>464</v>
      </c>
      <c r="G277" s="47" t="s">
        <v>2</v>
      </c>
      <c r="H277" s="159">
        <f>H87</f>
        <v>9</v>
      </c>
      <c r="I277" s="5" t="s">
        <v>3</v>
      </c>
    </row>
    <row r="278" spans="1:22" ht="12.75" customHeight="1" x14ac:dyDescent="0.2">
      <c r="A278" s="1"/>
      <c r="B278" s="4" t="s">
        <v>460</v>
      </c>
      <c r="C278" s="1"/>
      <c r="D278" s="1"/>
      <c r="E278" s="113"/>
      <c r="F278" s="113" t="s">
        <v>465</v>
      </c>
      <c r="G278" s="47" t="s">
        <v>2</v>
      </c>
      <c r="H278" s="159">
        <f>H91*H87</f>
        <v>9</v>
      </c>
      <c r="I278" s="489" t="s">
        <v>105</v>
      </c>
    </row>
    <row r="279" spans="1:22" ht="12.75" customHeight="1" x14ac:dyDescent="0.2">
      <c r="A279" s="1"/>
      <c r="B279" s="4" t="s">
        <v>461</v>
      </c>
      <c r="C279" s="1"/>
      <c r="D279" s="1"/>
      <c r="E279" s="113"/>
      <c r="F279" s="113" t="s">
        <v>466</v>
      </c>
      <c r="G279" s="47" t="s">
        <v>2</v>
      </c>
      <c r="H279" s="159">
        <f>IF(H86/H87&gt;=4/3,H262*H106*0.11*H104*H91*H87*(H277/H87-0.5*(H277/H87)^2)*TANH(0.866*H86/H87),IF(H277&lt;0.75*H86,H262*H106*0.068*H104*H91*H86*(H277/(0.75*H86)-0.5*(H277/(0.75*H86))^2),H262*H106*0.034*H104*H91*H86))*10</f>
        <v>3.1280000000000001</v>
      </c>
      <c r="I279" s="489" t="s">
        <v>105</v>
      </c>
      <c r="J279" s="82"/>
      <c r="K279" s="82"/>
      <c r="L279" s="82"/>
      <c r="M279" s="82"/>
      <c r="N279" s="82"/>
      <c r="O279" s="82"/>
      <c r="P279" s="82"/>
      <c r="Q279" s="82"/>
      <c r="R279" s="82"/>
    </row>
    <row r="280" spans="1:22" ht="12.75" customHeight="1" x14ac:dyDescent="0.2">
      <c r="A280" s="1"/>
      <c r="B280" s="4" t="s">
        <v>462</v>
      </c>
      <c r="C280" s="1"/>
      <c r="D280" s="1"/>
      <c r="E280" s="113"/>
      <c r="F280" s="113" t="s">
        <v>467</v>
      </c>
      <c r="G280" s="47" t="s">
        <v>2</v>
      </c>
      <c r="H280" s="159">
        <f>H262*H106*0.17*H206*H91*H86*COSH(3.68*(H87-H277)/H86)/COSH(3.68*H87/H86)*10</f>
        <v>0.11384317858965105</v>
      </c>
      <c r="I280" s="489" t="s">
        <v>105</v>
      </c>
      <c r="J280" s="356"/>
      <c r="K280" s="356"/>
      <c r="L280" s="356"/>
      <c r="M280" s="356"/>
      <c r="N280" s="176"/>
      <c r="O280" s="176"/>
      <c r="P280" s="176"/>
      <c r="Q280" s="176"/>
      <c r="R280" s="215"/>
    </row>
    <row r="281" spans="1:22" ht="12.75" customHeight="1" x14ac:dyDescent="0.2">
      <c r="A281" s="1"/>
      <c r="B281" s="4" t="s">
        <v>463</v>
      </c>
      <c r="C281" s="1"/>
      <c r="D281" s="1"/>
      <c r="E281" s="113"/>
      <c r="F281" s="113" t="s">
        <v>468</v>
      </c>
      <c r="G281" s="47" t="s">
        <v>2</v>
      </c>
      <c r="H281" s="159">
        <f>2/3*H104*H106*H91*H277</f>
        <v>2.4</v>
      </c>
      <c r="I281" s="489" t="s">
        <v>105</v>
      </c>
      <c r="J281" s="356"/>
      <c r="K281" s="356"/>
      <c r="L281" s="356"/>
      <c r="M281" s="356"/>
      <c r="N281" s="176"/>
      <c r="O281" s="176"/>
      <c r="P281" s="176"/>
      <c r="Q281" s="176"/>
      <c r="R281" s="82"/>
    </row>
    <row r="282" spans="1:22" ht="12.75" customHeight="1" x14ac:dyDescent="0.2">
      <c r="A282" s="1"/>
      <c r="B282" s="4" t="s">
        <v>472</v>
      </c>
      <c r="C282" s="1"/>
      <c r="D282" s="1"/>
      <c r="E282" s="113"/>
      <c r="F282" s="113" t="s">
        <v>469</v>
      </c>
      <c r="G282" s="47" t="s">
        <v>2</v>
      </c>
      <c r="H282" s="159">
        <f>H278+SQRT(H279^2+H280^2+H281^2)</f>
        <v>12.944279943070901</v>
      </c>
      <c r="I282" s="489" t="s">
        <v>105</v>
      </c>
      <c r="J282" s="387"/>
      <c r="K282" s="353"/>
      <c r="L282" s="360"/>
      <c r="M282" s="360"/>
      <c r="N282" s="181"/>
      <c r="O282" s="181"/>
      <c r="P282" s="181"/>
      <c r="Q282" s="388"/>
      <c r="R282" s="42"/>
    </row>
    <row r="283" spans="1:22" ht="12.75" customHeight="1" x14ac:dyDescent="0.2">
      <c r="A283" s="1"/>
      <c r="B283" s="4" t="s">
        <v>473</v>
      </c>
      <c r="C283" s="1"/>
      <c r="D283" s="1"/>
      <c r="E283" s="1"/>
      <c r="F283" s="113" t="s">
        <v>474</v>
      </c>
      <c r="G283" s="47" t="s">
        <v>2</v>
      </c>
      <c r="H283" s="159">
        <f>H278+SQRT(H279^2+H280^2)-H281</f>
        <v>9.7300709687339992</v>
      </c>
      <c r="I283" s="489" t="s">
        <v>105</v>
      </c>
      <c r="J283" s="387"/>
      <c r="K283" s="353"/>
      <c r="L283" s="360"/>
      <c r="M283" s="360"/>
      <c r="N283" s="181"/>
      <c r="O283" s="181"/>
      <c r="P283" s="181"/>
      <c r="Q283" s="388"/>
      <c r="R283" s="42"/>
      <c r="S283" s="183"/>
    </row>
    <row r="284" spans="1:22" ht="12.75" customHeight="1" x14ac:dyDescent="0.2">
      <c r="A284" s="1"/>
      <c r="B284" s="4" t="s">
        <v>389</v>
      </c>
      <c r="C284" s="1"/>
      <c r="D284" s="1"/>
      <c r="E284" s="113"/>
      <c r="F284" s="499" t="s">
        <v>464</v>
      </c>
      <c r="G284" s="47" t="s">
        <v>2</v>
      </c>
      <c r="H284" s="113">
        <v>1.24</v>
      </c>
      <c r="I284" s="113"/>
      <c r="J284" s="387"/>
      <c r="K284" s="353"/>
      <c r="L284" s="360"/>
      <c r="M284" s="360"/>
      <c r="N284" s="181"/>
      <c r="O284" s="181"/>
      <c r="P284" s="181"/>
      <c r="Q284" s="388"/>
      <c r="R284" s="42"/>
      <c r="S284" s="183"/>
    </row>
    <row r="285" spans="1:22" ht="12.75" customHeight="1" x14ac:dyDescent="0.2">
      <c r="A285" s="1"/>
      <c r="B285" s="4" t="s">
        <v>475</v>
      </c>
      <c r="C285" s="1"/>
      <c r="D285" s="1"/>
      <c r="E285" s="113"/>
      <c r="F285" s="499" t="s">
        <v>470</v>
      </c>
      <c r="G285" s="47" t="s">
        <v>2</v>
      </c>
      <c r="H285" s="159">
        <f>0.06*SQRT(1000*H86/2/(H181-H99))</f>
        <v>1.3416407864998738</v>
      </c>
      <c r="I285" s="113"/>
      <c r="J285" s="387"/>
      <c r="K285" s="353"/>
      <c r="L285" s="360"/>
      <c r="M285" s="360"/>
      <c r="N285" s="181"/>
      <c r="O285" s="181"/>
      <c r="P285" s="181"/>
      <c r="Q285" s="388"/>
      <c r="R285" s="42"/>
      <c r="S285" s="183"/>
    </row>
    <row r="286" spans="1:22" ht="12.75" customHeight="1" x14ac:dyDescent="0.2">
      <c r="A286" s="1"/>
      <c r="B286" s="4" t="s">
        <v>389</v>
      </c>
      <c r="C286" s="1"/>
      <c r="D286" s="1"/>
      <c r="E286" s="113"/>
      <c r="F286" s="501" t="s">
        <v>48</v>
      </c>
      <c r="G286" s="47" t="s">
        <v>2</v>
      </c>
      <c r="H286" s="159">
        <f>1-H284*H285*(SQRT(1+2/(H284*H285))-1)</f>
        <v>0.19483949455353122</v>
      </c>
      <c r="I286" s="113"/>
      <c r="J286" s="387"/>
      <c r="K286" s="353"/>
      <c r="L286" s="360"/>
      <c r="M286" s="360"/>
      <c r="N286" s="181"/>
      <c r="O286" s="181"/>
      <c r="P286" s="181"/>
      <c r="Q286" s="388"/>
      <c r="R286" s="42"/>
      <c r="S286" s="183"/>
    </row>
    <row r="287" spans="1:22" ht="12.75" customHeight="1" x14ac:dyDescent="0.2">
      <c r="A287" s="1"/>
      <c r="B287" s="4" t="s">
        <v>389</v>
      </c>
      <c r="C287" s="1"/>
      <c r="D287" s="1"/>
      <c r="E287" s="113"/>
      <c r="F287" s="499" t="s">
        <v>471</v>
      </c>
      <c r="G287" s="47" t="s">
        <v>2</v>
      </c>
      <c r="H287" s="159">
        <f>H93/(H286*H291)</f>
        <v>5.3301614517571476</v>
      </c>
      <c r="I287" s="113"/>
      <c r="J287" s="387"/>
      <c r="K287" s="353"/>
      <c r="L287" s="360"/>
      <c r="M287" s="360"/>
      <c r="N287" s="181"/>
      <c r="O287" s="181"/>
      <c r="P287" s="181"/>
      <c r="Q287" s="388"/>
      <c r="R287" s="42"/>
      <c r="S287" s="183"/>
    </row>
    <row r="288" spans="1:22" ht="12.75" customHeight="1" x14ac:dyDescent="0.2">
      <c r="A288" s="1"/>
      <c r="B288" s="4" t="s">
        <v>389</v>
      </c>
      <c r="C288" s="1"/>
      <c r="D288" s="1"/>
      <c r="E288" s="113"/>
      <c r="F288" s="113" t="s">
        <v>48</v>
      </c>
      <c r="G288" s="47" t="s">
        <v>2</v>
      </c>
      <c r="H288" s="159">
        <f>1000*H86/2/(H181-H99)/400</f>
        <v>1.25</v>
      </c>
      <c r="I288" s="113"/>
      <c r="J288" s="387"/>
      <c r="K288" s="353"/>
      <c r="L288" s="360"/>
      <c r="M288" s="360"/>
      <c r="N288" s="181"/>
      <c r="O288" s="181"/>
      <c r="P288" s="181"/>
      <c r="Q288" s="388"/>
      <c r="R288" s="42"/>
      <c r="S288" s="183"/>
      <c r="T288" s="191"/>
      <c r="U288" s="191"/>
      <c r="V288" s="191"/>
    </row>
    <row r="289" spans="1:22" x14ac:dyDescent="0.2">
      <c r="A289" s="1"/>
      <c r="B289" s="489" t="s">
        <v>484</v>
      </c>
      <c r="C289" s="1"/>
      <c r="D289" s="1"/>
      <c r="E289" s="1"/>
      <c r="F289" s="113" t="s">
        <v>476</v>
      </c>
      <c r="G289" s="47" t="s">
        <v>2</v>
      </c>
      <c r="H289" s="502">
        <f>H271*1.8/(H86/2*100*H268*(H181-H99)/10)</f>
        <v>0.74975952692529446</v>
      </c>
      <c r="I289" s="489" t="s">
        <v>96</v>
      </c>
      <c r="J289" s="66"/>
      <c r="K289" s="82"/>
      <c r="L289" s="82"/>
      <c r="M289" s="82"/>
      <c r="N289" s="82"/>
      <c r="O289" s="82"/>
      <c r="P289" s="82"/>
      <c r="Q289" s="82"/>
      <c r="R289" s="82"/>
      <c r="S289" s="183"/>
      <c r="T289" s="191"/>
      <c r="U289" s="191"/>
      <c r="V289" s="191"/>
    </row>
    <row r="290" spans="1:22" x14ac:dyDescent="0.2">
      <c r="A290" s="382"/>
      <c r="B290" s="489" t="s">
        <v>444</v>
      </c>
      <c r="C290" s="1"/>
      <c r="D290" s="1"/>
      <c r="E290" s="1"/>
      <c r="F290" s="113" t="s">
        <v>477</v>
      </c>
      <c r="G290" s="47" t="s">
        <v>2</v>
      </c>
      <c r="H290" s="502">
        <f>1/(H180/10)*(H261*(H180/10)*((H91*H87/10000)^2)*2*((H86/2*100)^2)*((1-H266)^2)/3)^(1/3)</f>
        <v>2.2160698195976556</v>
      </c>
      <c r="I290" s="489" t="s">
        <v>96</v>
      </c>
      <c r="J290" s="82"/>
      <c r="K290" s="82"/>
      <c r="L290" s="82"/>
      <c r="M290" s="82"/>
      <c r="N290" s="82"/>
      <c r="O290" s="82"/>
      <c r="P290" s="82"/>
      <c r="Q290" s="82"/>
      <c r="S290" s="183"/>
      <c r="T290" s="191"/>
      <c r="U290" s="191"/>
      <c r="V290" s="191"/>
    </row>
    <row r="291" spans="1:22" x14ac:dyDescent="0.2">
      <c r="A291" s="1"/>
      <c r="B291" s="489" t="s">
        <v>485</v>
      </c>
      <c r="C291" s="1"/>
      <c r="D291" s="1"/>
      <c r="E291" s="1"/>
      <c r="F291" s="113" t="s">
        <v>478</v>
      </c>
      <c r="G291" s="47" t="s">
        <v>2</v>
      </c>
      <c r="H291" s="502">
        <f>0.6*H94*(H181-H99)/(1000*H86/2)</f>
        <v>2.4342507645259941</v>
      </c>
      <c r="I291" s="489" t="s">
        <v>96</v>
      </c>
      <c r="J291" s="215"/>
      <c r="K291" s="215"/>
      <c r="L291" s="215"/>
      <c r="M291" s="356"/>
      <c r="N291" s="140"/>
      <c r="O291" s="215"/>
      <c r="P291" s="215"/>
      <c r="Q291" s="82"/>
      <c r="S291" s="183"/>
      <c r="T291" s="191"/>
      <c r="U291" s="191"/>
      <c r="V291" s="191"/>
    </row>
    <row r="292" spans="1:22" x14ac:dyDescent="0.2">
      <c r="A292" s="1"/>
      <c r="B292" s="489"/>
      <c r="C292" s="1"/>
      <c r="D292" s="1"/>
      <c r="E292" s="1"/>
      <c r="F292" s="498" t="s">
        <v>479</v>
      </c>
      <c r="G292" s="47" t="s">
        <v>2</v>
      </c>
      <c r="H292" s="502">
        <f>MIN(H283/10000*(100*H86/2)/((H181-H99)/10*H291),5)</f>
        <v>0.19985761349095588</v>
      </c>
      <c r="I292" s="489"/>
      <c r="J292" s="215"/>
      <c r="K292" s="215"/>
      <c r="L292" s="215"/>
      <c r="M292" s="215"/>
      <c r="N292" s="197"/>
      <c r="O292" s="197"/>
      <c r="P292" s="197"/>
      <c r="Q292" s="82"/>
      <c r="S292" s="183"/>
      <c r="T292" s="191"/>
      <c r="U292" s="191"/>
      <c r="V292" s="191"/>
    </row>
    <row r="293" spans="1:22" ht="15.75" x14ac:dyDescent="0.25">
      <c r="A293" s="117"/>
      <c r="B293" s="489"/>
      <c r="C293" s="1"/>
      <c r="D293" s="1"/>
      <c r="E293" s="1"/>
      <c r="F293" s="113" t="s">
        <v>480</v>
      </c>
      <c r="G293" s="47" t="s">
        <v>2</v>
      </c>
      <c r="H293" s="502">
        <f>IF(H287&lt;=2,H93*(1-H287/4),H286*H291)</f>
        <v>0.47428818857679161</v>
      </c>
      <c r="I293" s="489" t="s">
        <v>96</v>
      </c>
      <c r="J293" s="66"/>
      <c r="K293" s="66"/>
      <c r="L293" s="200"/>
      <c r="M293" s="200"/>
      <c r="N293" s="199"/>
      <c r="O293" s="200"/>
      <c r="P293" s="200"/>
      <c r="Q293" s="82"/>
    </row>
    <row r="294" spans="1:22" ht="15.75" x14ac:dyDescent="0.25">
      <c r="A294" s="117"/>
      <c r="B294" s="489"/>
      <c r="C294" s="1"/>
      <c r="D294" s="1"/>
      <c r="E294" s="1"/>
      <c r="F294" s="113" t="s">
        <v>481</v>
      </c>
      <c r="G294" s="47" t="s">
        <v>2</v>
      </c>
      <c r="H294" s="502">
        <f>MIN(H291*SQRT(1-((1-H292/5)^2)*(1-(H293/H291)^2)),H291)</f>
        <v>0.81949178592822336</v>
      </c>
      <c r="I294" s="489" t="s">
        <v>96</v>
      </c>
      <c r="J294" s="66"/>
      <c r="K294" s="66"/>
      <c r="L294" s="200"/>
      <c r="M294" s="200"/>
      <c r="N294" s="199"/>
      <c r="O294" s="200"/>
      <c r="P294" s="200"/>
      <c r="Q294" s="82"/>
    </row>
    <row r="295" spans="1:22" x14ac:dyDescent="0.2">
      <c r="A295" s="1"/>
      <c r="B295" s="489" t="s">
        <v>486</v>
      </c>
      <c r="C295" s="1"/>
      <c r="D295" s="1"/>
      <c r="E295" s="1"/>
      <c r="F295" s="113" t="s">
        <v>482</v>
      </c>
      <c r="G295" s="47" t="s">
        <v>2</v>
      </c>
      <c r="H295" s="502">
        <f>0.19*H291+0.81*H294</f>
        <v>1.1262959918617999</v>
      </c>
      <c r="I295" s="489" t="s">
        <v>96</v>
      </c>
      <c r="J295" s="66"/>
      <c r="K295" s="66"/>
      <c r="L295" s="200"/>
      <c r="M295" s="200"/>
      <c r="N295" s="199"/>
      <c r="O295" s="200"/>
      <c r="P295" s="200"/>
      <c r="Q295" s="82"/>
    </row>
    <row r="296" spans="1:22" ht="15.75" x14ac:dyDescent="0.25">
      <c r="A296" s="117"/>
      <c r="B296" s="489" t="s">
        <v>487</v>
      </c>
      <c r="C296" s="1"/>
      <c r="D296" s="1"/>
      <c r="E296" s="1"/>
      <c r="F296" s="113" t="s">
        <v>483</v>
      </c>
      <c r="G296" s="47" t="s">
        <v>2</v>
      </c>
      <c r="H296" s="502">
        <f>MAX(H291*(1-(H282/10000*1000*H86/2/((H181-H99)*H93))^2)*(1-1/(1.12+H288^1.5))*((H288+H93/2500)/(H288+1)),)</f>
        <v>0.76237225193067992</v>
      </c>
      <c r="I296" s="489" t="s">
        <v>96</v>
      </c>
      <c r="J296" s="66"/>
      <c r="K296" s="66"/>
      <c r="L296" s="200"/>
      <c r="M296" s="200"/>
      <c r="N296" s="199"/>
      <c r="O296" s="200"/>
      <c r="P296" s="200"/>
      <c r="Q296" s="82"/>
    </row>
    <row r="297" spans="1:22" ht="15.75" x14ac:dyDescent="0.25">
      <c r="A297" s="117"/>
      <c r="B297" s="489"/>
      <c r="C297" s="1"/>
      <c r="D297" s="1"/>
      <c r="E297" s="1"/>
      <c r="F297" s="113"/>
      <c r="G297" s="47" t="s">
        <v>2</v>
      </c>
      <c r="H297" s="113"/>
      <c r="I297" s="489"/>
      <c r="J297" s="353"/>
      <c r="K297" s="353"/>
      <c r="L297" s="360"/>
      <c r="M297" s="200"/>
      <c r="N297" s="199"/>
      <c r="O297" s="200"/>
      <c r="P297" s="200"/>
      <c r="Q297" s="82"/>
    </row>
    <row r="298" spans="1:22" ht="15.75" x14ac:dyDescent="0.25">
      <c r="A298" s="117"/>
      <c r="B298" s="489" t="s">
        <v>491</v>
      </c>
      <c r="C298" s="1"/>
      <c r="D298" s="1"/>
      <c r="E298" s="1"/>
      <c r="F298" s="497" t="s">
        <v>488</v>
      </c>
      <c r="G298" s="47" t="s">
        <v>2</v>
      </c>
      <c r="H298" s="503">
        <f>H289/H295</f>
        <v>0.66568604731152448</v>
      </c>
      <c r="I298" s="162" t="str">
        <f>IF(ROUND(H298,2)&lt;=1,"OK","No Cumple")</f>
        <v>OK</v>
      </c>
      <c r="J298" s="353"/>
      <c r="K298" s="353"/>
      <c r="L298" s="360"/>
      <c r="M298" s="200"/>
      <c r="N298" s="199"/>
      <c r="O298" s="200"/>
      <c r="P298" s="200"/>
      <c r="Q298" s="82"/>
    </row>
    <row r="299" spans="1:22" ht="15.75" x14ac:dyDescent="0.25">
      <c r="A299" s="117"/>
      <c r="B299" s="489" t="s">
        <v>492</v>
      </c>
      <c r="C299" s="1"/>
      <c r="D299" s="1"/>
      <c r="E299" s="1"/>
      <c r="F299" s="497" t="s">
        <v>489</v>
      </c>
      <c r="G299" s="47" t="s">
        <v>2</v>
      </c>
      <c r="H299" s="503">
        <f>IF(H296=0,"-",H289/H296)</f>
        <v>0.98345594953981574</v>
      </c>
      <c r="I299" s="162" t="str">
        <f>IF(H299="-","ERROR",IF(ROUND(H299,2)&lt;=1,"OK","No Cumple"))</f>
        <v>OK</v>
      </c>
      <c r="J299" s="353"/>
      <c r="K299" s="353"/>
      <c r="L299" s="360"/>
      <c r="M299" s="200"/>
      <c r="N299" s="199"/>
      <c r="O299" s="200"/>
      <c r="P299" s="200"/>
      <c r="Q299" s="82"/>
    </row>
    <row r="300" spans="1:22" ht="15.75" x14ac:dyDescent="0.25">
      <c r="A300" s="117"/>
      <c r="B300" s="489" t="s">
        <v>493</v>
      </c>
      <c r="C300" s="1"/>
      <c r="D300" s="1"/>
      <c r="E300" s="1"/>
      <c r="F300" s="497" t="s">
        <v>490</v>
      </c>
      <c r="G300" s="47" t="s">
        <v>2</v>
      </c>
      <c r="H300" s="503">
        <f>H290/H93</f>
        <v>0.87659858589729833</v>
      </c>
      <c r="I300" s="162" t="str">
        <f>IF(ROUND(H300,2)&lt;=1,"OK","No Cumple")</f>
        <v>OK</v>
      </c>
      <c r="J300" s="66"/>
      <c r="K300" s="82"/>
      <c r="L300" s="82"/>
      <c r="M300" s="82"/>
      <c r="N300" s="82"/>
      <c r="O300" s="82"/>
      <c r="P300" s="82"/>
      <c r="Q300" s="82"/>
    </row>
    <row r="301" spans="1:22" x14ac:dyDescent="0.2">
      <c r="A301" s="1"/>
      <c r="B301" s="1"/>
      <c r="C301" s="1"/>
      <c r="D301" s="1"/>
      <c r="E301" s="1"/>
      <c r="F301" s="1"/>
      <c r="G301" s="1"/>
      <c r="H301" s="1"/>
      <c r="I301" s="1"/>
      <c r="J301" s="82"/>
      <c r="K301" s="82"/>
      <c r="L301" s="82"/>
      <c r="M301" s="82"/>
      <c r="N301" s="82"/>
      <c r="O301" s="82"/>
      <c r="P301" s="82"/>
      <c r="Q301" s="82"/>
    </row>
    <row r="302" spans="1:22" x14ac:dyDescent="0.2">
      <c r="A302" s="1"/>
      <c r="B302" s="1"/>
      <c r="C302" s="1"/>
      <c r="D302" s="1"/>
      <c r="E302" s="1"/>
      <c r="F302" s="1"/>
      <c r="G302" s="1"/>
      <c r="H302" s="1"/>
      <c r="I302" s="1"/>
      <c r="J302" s="82"/>
      <c r="K302" s="82"/>
      <c r="L302" s="82"/>
      <c r="M302" s="82"/>
      <c r="N302" s="82"/>
      <c r="O302" s="82"/>
      <c r="P302" s="82"/>
      <c r="Q302" s="82"/>
    </row>
    <row r="303" spans="1:22" x14ac:dyDescent="0.2">
      <c r="A303" s="1"/>
      <c r="B303" s="1"/>
      <c r="C303" s="1"/>
      <c r="D303" s="1"/>
      <c r="E303" s="1"/>
      <c r="F303" s="1"/>
      <c r="G303" s="1"/>
      <c r="H303" s="1"/>
      <c r="I303" s="1"/>
    </row>
    <row r="304" spans="1:22" ht="15.75" x14ac:dyDescent="0.25">
      <c r="A304" s="117" t="s">
        <v>531</v>
      </c>
      <c r="B304" s="1"/>
      <c r="C304" s="1"/>
      <c r="D304" s="1"/>
      <c r="E304" s="1"/>
      <c r="F304" s="1"/>
      <c r="G304" s="1"/>
      <c r="H304" s="116"/>
      <c r="I304" s="1"/>
    </row>
    <row r="305" spans="1:17" x14ac:dyDescent="0.2">
      <c r="A305" s="1"/>
      <c r="B305" s="5" t="s">
        <v>250</v>
      </c>
      <c r="C305" s="1"/>
      <c r="D305" s="1"/>
      <c r="E305" s="1"/>
      <c r="F305" s="46" t="s">
        <v>50</v>
      </c>
      <c r="G305" s="47" t="s">
        <v>2</v>
      </c>
      <c r="H305" s="167">
        <f>MIN(G157:G166)</f>
        <v>5</v>
      </c>
      <c r="I305" s="5" t="s">
        <v>11</v>
      </c>
    </row>
    <row r="306" spans="1:17" x14ac:dyDescent="0.2">
      <c r="A306" s="38"/>
      <c r="B306" s="5" t="s">
        <v>248</v>
      </c>
      <c r="C306" s="1"/>
      <c r="D306" s="1"/>
      <c r="E306" s="1"/>
      <c r="F306" s="46" t="s">
        <v>249</v>
      </c>
      <c r="G306" s="47" t="s">
        <v>2</v>
      </c>
      <c r="H306" s="167">
        <f>9.47*H305*SQRT(H305/H86)^3</f>
        <v>16.740753044591518</v>
      </c>
      <c r="I306" s="5" t="s">
        <v>3</v>
      </c>
    </row>
    <row r="307" spans="1:17" x14ac:dyDescent="0.2">
      <c r="A307" s="1"/>
      <c r="B307" s="5" t="s">
        <v>251</v>
      </c>
      <c r="C307" s="5"/>
      <c r="D307" s="5"/>
      <c r="E307" s="5"/>
      <c r="F307" s="46"/>
      <c r="G307" s="47"/>
      <c r="H307" s="174">
        <f>ROUNDUP(H90/H306,0)</f>
        <v>1</v>
      </c>
      <c r="I307" s="5"/>
    </row>
    <row r="308" spans="1:17" x14ac:dyDescent="0.2">
      <c r="A308" s="1"/>
      <c r="B308" s="5" t="s">
        <v>254</v>
      </c>
      <c r="C308" s="5"/>
      <c r="D308" s="5"/>
      <c r="E308" s="5"/>
      <c r="F308" s="46" t="s">
        <v>255</v>
      </c>
      <c r="G308" s="47" t="s">
        <v>2</v>
      </c>
      <c r="H308" s="168">
        <f>H90/H307</f>
        <v>10</v>
      </c>
      <c r="I308" s="5" t="s">
        <v>3</v>
      </c>
    </row>
    <row r="309" spans="1:17" x14ac:dyDescent="0.2">
      <c r="A309" s="1"/>
      <c r="B309" s="5" t="s">
        <v>252</v>
      </c>
      <c r="C309" s="5"/>
      <c r="D309" s="5"/>
      <c r="E309" s="5"/>
      <c r="F309" s="46" t="s">
        <v>256</v>
      </c>
      <c r="G309" s="47" t="s">
        <v>2</v>
      </c>
      <c r="H309" s="168">
        <f>H86^2*H308/17</f>
        <v>58.823529411764703</v>
      </c>
      <c r="I309" s="5" t="s">
        <v>253</v>
      </c>
    </row>
    <row r="310" spans="1:17" x14ac:dyDescent="0.2">
      <c r="A310" s="1"/>
      <c r="B310" s="5"/>
      <c r="C310" s="5"/>
      <c r="D310" s="5"/>
      <c r="E310" s="5"/>
      <c r="F310" s="46"/>
      <c r="G310" s="47"/>
      <c r="H310" s="168"/>
      <c r="I310" s="5"/>
    </row>
    <row r="311" spans="1:17" x14ac:dyDescent="0.2">
      <c r="A311" s="1"/>
      <c r="B311" s="5"/>
      <c r="C311" s="5"/>
      <c r="D311" s="5"/>
      <c r="E311" s="5"/>
      <c r="F311" s="46"/>
      <c r="G311" s="47"/>
      <c r="H311" s="168"/>
      <c r="I311" s="5"/>
    </row>
    <row r="312" spans="1:17" ht="15.75" x14ac:dyDescent="0.25">
      <c r="A312" s="117" t="s">
        <v>536</v>
      </c>
      <c r="B312" s="254"/>
      <c r="C312" s="254"/>
      <c r="D312" s="254"/>
      <c r="E312" s="254"/>
      <c r="F312" s="1"/>
      <c r="G312" s="1"/>
      <c r="H312" s="1"/>
      <c r="I312" s="1"/>
      <c r="J312" s="82"/>
      <c r="K312" s="82"/>
      <c r="L312" s="82"/>
      <c r="M312" s="82"/>
      <c r="N312" s="82"/>
      <c r="O312" s="82"/>
      <c r="P312" s="82"/>
      <c r="Q312" s="82"/>
    </row>
    <row r="313" spans="1:17" x14ac:dyDescent="0.2">
      <c r="A313" s="1"/>
      <c r="B313" s="254"/>
      <c r="C313" s="254"/>
      <c r="D313" s="254"/>
      <c r="E313" s="254"/>
      <c r="F313" s="1"/>
      <c r="G313" s="1"/>
      <c r="H313" s="1"/>
      <c r="I313" s="1"/>
      <c r="J313" s="82"/>
      <c r="K313" s="82"/>
      <c r="L313" s="82"/>
      <c r="M313" s="82"/>
      <c r="N313" s="82"/>
      <c r="O313" s="82"/>
      <c r="P313" s="82"/>
      <c r="Q313" s="82"/>
    </row>
    <row r="314" spans="1:17" x14ac:dyDescent="0.2">
      <c r="A314" s="169">
        <v>1.5</v>
      </c>
      <c r="B314" s="392" t="s">
        <v>568</v>
      </c>
      <c r="C314" s="254"/>
      <c r="D314" s="254"/>
      <c r="E314" s="254"/>
      <c r="F314" s="391" t="s">
        <v>496</v>
      </c>
      <c r="G314" s="162" t="str">
        <f>IF(J124=2,"No Aplica",IF(H129&gt;=H128,"OK","No Cumple"))</f>
        <v>OK</v>
      </c>
      <c r="H314" s="1"/>
      <c r="I314" s="1"/>
      <c r="J314" s="82"/>
      <c r="K314" s="82"/>
      <c r="L314" s="82"/>
      <c r="M314" s="82"/>
      <c r="N314" s="82"/>
      <c r="O314" s="82"/>
      <c r="P314" s="82"/>
      <c r="Q314" s="82"/>
    </row>
    <row r="315" spans="1:17" x14ac:dyDescent="0.2">
      <c r="A315" s="169">
        <v>3.2</v>
      </c>
      <c r="B315" s="392" t="s">
        <v>498</v>
      </c>
      <c r="C315" s="254"/>
      <c r="D315" s="254"/>
      <c r="E315" s="254"/>
      <c r="F315" s="391" t="s">
        <v>496</v>
      </c>
      <c r="G315" s="162" t="str">
        <f>G209</f>
        <v>Revancha OK</v>
      </c>
      <c r="H315" s="1"/>
      <c r="I315" s="1"/>
      <c r="J315" s="82"/>
      <c r="K315" s="66"/>
      <c r="L315" s="82"/>
      <c r="M315" s="82"/>
      <c r="N315" s="82"/>
      <c r="O315" s="82"/>
      <c r="P315" s="82"/>
      <c r="Q315" s="82"/>
    </row>
    <row r="316" spans="1:17" x14ac:dyDescent="0.2">
      <c r="A316" s="169">
        <v>3.6</v>
      </c>
      <c r="B316" s="393" t="s">
        <v>505</v>
      </c>
      <c r="C316" s="254"/>
      <c r="D316" s="254"/>
      <c r="E316" s="254"/>
      <c r="F316" s="258" t="s">
        <v>501</v>
      </c>
      <c r="G316" s="344">
        <f>MAX(H298,H299)</f>
        <v>0.98345594953981574</v>
      </c>
      <c r="H316" s="162" t="str">
        <f>IF(ROUND(G316,2)&lt;=1,"OK","No Cumple")</f>
        <v>OK</v>
      </c>
      <c r="I316" s="1"/>
      <c r="J316" s="82"/>
      <c r="K316" s="82"/>
      <c r="L316" s="82"/>
      <c r="M316" s="82"/>
      <c r="N316" s="82"/>
      <c r="O316" s="82"/>
      <c r="P316" s="82"/>
      <c r="Q316" s="82"/>
    </row>
    <row r="317" spans="1:17" x14ac:dyDescent="0.2">
      <c r="A317" s="169">
        <v>3.6</v>
      </c>
      <c r="B317" s="393" t="s">
        <v>506</v>
      </c>
      <c r="C317" s="254"/>
      <c r="D317" s="254"/>
      <c r="E317" s="254"/>
      <c r="F317" s="258" t="s">
        <v>501</v>
      </c>
      <c r="G317" s="344">
        <f>H300</f>
        <v>0.87659858589729833</v>
      </c>
      <c r="H317" s="162" t="str">
        <f>IF(ROUND(G317,2)&lt;=1,"OK","No Cumple")</f>
        <v>OK</v>
      </c>
      <c r="I317" s="1"/>
      <c r="J317" s="82"/>
      <c r="K317" s="82"/>
      <c r="L317" s="82"/>
      <c r="M317" s="82"/>
      <c r="N317" s="82"/>
      <c r="O317" s="82"/>
      <c r="P317" s="82"/>
      <c r="Q317" s="82"/>
    </row>
    <row r="318" spans="1:17" x14ac:dyDescent="0.2">
      <c r="A318" s="1"/>
      <c r="B318" s="5"/>
      <c r="C318" s="254"/>
      <c r="D318" s="254"/>
      <c r="E318" s="254"/>
      <c r="F318" s="258"/>
      <c r="G318" s="344"/>
      <c r="H318" s="162"/>
      <c r="I318" s="1"/>
      <c r="J318" s="82"/>
      <c r="K318" s="82"/>
      <c r="L318" s="82"/>
      <c r="M318" s="82"/>
      <c r="N318" s="82"/>
      <c r="O318" s="82"/>
      <c r="P318" s="82"/>
      <c r="Q318" s="82"/>
    </row>
    <row r="319" spans="1:17" x14ac:dyDescent="0.2">
      <c r="A319" s="1"/>
      <c r="B319" s="393"/>
      <c r="C319" s="254"/>
      <c r="D319" s="254"/>
      <c r="E319" s="254"/>
      <c r="F319" s="258"/>
      <c r="G319" s="344"/>
      <c r="H319" s="162"/>
      <c r="I319" s="1"/>
      <c r="J319" s="356"/>
      <c r="K319" s="356"/>
      <c r="L319" s="356"/>
      <c r="M319" s="356"/>
      <c r="N319" s="82"/>
      <c r="O319" s="82"/>
      <c r="P319" s="82"/>
      <c r="Q319" s="82"/>
    </row>
    <row r="320" spans="1:17" x14ac:dyDescent="0.2">
      <c r="A320" s="1"/>
      <c r="B320" s="393"/>
      <c r="C320" s="254"/>
      <c r="D320" s="254"/>
      <c r="E320" s="254"/>
      <c r="F320" s="258"/>
      <c r="G320" s="344"/>
      <c r="H320" s="162"/>
      <c r="I320" s="1"/>
      <c r="J320" s="356"/>
      <c r="K320" s="356"/>
      <c r="L320" s="356"/>
      <c r="M320" s="356"/>
      <c r="N320" s="82"/>
      <c r="O320" s="82"/>
      <c r="P320" s="82"/>
      <c r="Q320" s="82"/>
    </row>
    <row r="321" spans="1:17" x14ac:dyDescent="0.2">
      <c r="A321" s="1"/>
      <c r="B321" s="393"/>
      <c r="C321" s="254"/>
      <c r="D321" s="254"/>
      <c r="E321" s="254"/>
      <c r="F321" s="258"/>
      <c r="G321" s="344"/>
      <c r="H321" s="162"/>
      <c r="I321" s="1"/>
      <c r="J321" s="353"/>
      <c r="K321" s="353"/>
      <c r="L321" s="353"/>
      <c r="M321" s="394"/>
      <c r="N321" s="82"/>
      <c r="O321" s="82"/>
      <c r="P321" s="82"/>
      <c r="Q321" s="82"/>
    </row>
    <row r="322" spans="1:17" x14ac:dyDescent="0.2">
      <c r="A322" s="1"/>
      <c r="B322" s="1"/>
      <c r="C322" s="1"/>
      <c r="D322" s="1"/>
      <c r="E322" s="1"/>
      <c r="F322" s="102"/>
      <c r="G322" s="47"/>
      <c r="H322" s="178"/>
      <c r="I322" s="5"/>
      <c r="J322" s="353"/>
      <c r="K322" s="353"/>
      <c r="L322" s="353"/>
      <c r="M322" s="394"/>
      <c r="N322" s="82"/>
      <c r="O322" s="82"/>
      <c r="P322" s="82"/>
      <c r="Q322" s="82"/>
    </row>
    <row r="323" spans="1:17" x14ac:dyDescent="0.2">
      <c r="A323" s="1"/>
      <c r="B323" s="1"/>
      <c r="C323" s="1"/>
      <c r="D323" s="1"/>
      <c r="E323" s="1"/>
      <c r="F323" s="102"/>
      <c r="G323" s="47"/>
      <c r="H323" s="178"/>
      <c r="I323" s="5"/>
      <c r="J323" s="353"/>
      <c r="K323" s="353"/>
      <c r="L323" s="353"/>
      <c r="M323" s="394"/>
      <c r="N323" s="82"/>
      <c r="O323" s="82"/>
      <c r="P323" s="82"/>
      <c r="Q323" s="82"/>
    </row>
    <row r="324" spans="1:17" x14ac:dyDescent="0.2">
      <c r="A324" s="1"/>
      <c r="B324" s="5"/>
      <c r="C324" s="1"/>
      <c r="D324" s="1"/>
      <c r="E324" s="1"/>
      <c r="F324" s="46"/>
      <c r="G324" s="47"/>
      <c r="H324" s="48"/>
      <c r="I324" s="5"/>
      <c r="J324" s="66"/>
      <c r="K324" s="82"/>
      <c r="L324" s="82"/>
      <c r="M324" s="82"/>
      <c r="N324" s="82"/>
      <c r="O324" s="82"/>
      <c r="P324" s="82"/>
      <c r="Q324" s="82"/>
    </row>
    <row r="325" spans="1:17" x14ac:dyDescent="0.2">
      <c r="A325" s="22"/>
      <c r="B325" s="5"/>
      <c r="C325" s="1"/>
      <c r="D325" s="1"/>
      <c r="E325" s="1"/>
      <c r="F325" s="46"/>
      <c r="G325" s="47"/>
      <c r="H325" s="48"/>
      <c r="I325" s="5"/>
      <c r="J325" s="82"/>
      <c r="K325" s="82"/>
      <c r="L325" s="82"/>
      <c r="M325" s="82"/>
      <c r="N325" s="82"/>
      <c r="O325" s="82"/>
      <c r="P325" s="82"/>
      <c r="Q325" s="82"/>
    </row>
    <row r="326" spans="1:17" x14ac:dyDescent="0.2">
      <c r="A326" s="1"/>
      <c r="B326" s="5"/>
      <c r="C326" s="1"/>
      <c r="D326" s="1"/>
      <c r="E326" s="1"/>
      <c r="F326" s="46"/>
      <c r="G326" s="47"/>
      <c r="H326" s="226"/>
      <c r="I326" s="5"/>
      <c r="J326" s="82"/>
      <c r="K326" s="82"/>
      <c r="L326" s="82"/>
      <c r="M326" s="82"/>
      <c r="N326" s="82"/>
      <c r="O326" s="82"/>
      <c r="P326" s="82"/>
      <c r="Q326" s="82"/>
    </row>
    <row r="327" spans="1:17" x14ac:dyDescent="0.2">
      <c r="A327" s="1"/>
      <c r="B327" s="5"/>
      <c r="C327" s="1"/>
      <c r="D327" s="1"/>
      <c r="E327" s="1"/>
      <c r="F327" s="46"/>
      <c r="G327" s="47"/>
      <c r="H327" s="47"/>
      <c r="I327" s="5"/>
      <c r="J327" s="82"/>
      <c r="K327" s="82"/>
      <c r="L327" s="82"/>
      <c r="M327" s="82"/>
      <c r="N327" s="82"/>
      <c r="O327" s="82"/>
      <c r="P327" s="82"/>
      <c r="Q327" s="82"/>
    </row>
    <row r="328" spans="1:17" x14ac:dyDescent="0.2">
      <c r="A328" s="1"/>
      <c r="B328" s="1"/>
      <c r="C328" s="1"/>
      <c r="D328" s="1"/>
      <c r="E328" s="1"/>
      <c r="F328" s="258"/>
      <c r="G328" s="365"/>
      <c r="H328" s="366"/>
      <c r="I328" s="171"/>
      <c r="J328" s="82"/>
      <c r="K328" s="82"/>
      <c r="L328" s="82"/>
      <c r="M328" s="82"/>
      <c r="N328" s="82"/>
      <c r="O328" s="82"/>
      <c r="P328" s="82"/>
      <c r="Q328" s="82"/>
    </row>
    <row r="329" spans="1:17" x14ac:dyDescent="0.2">
      <c r="A329" s="1"/>
      <c r="B329" s="5"/>
      <c r="C329" s="1"/>
      <c r="D329" s="1"/>
      <c r="E329" s="1"/>
      <c r="F329" s="1"/>
      <c r="G329" s="1"/>
      <c r="H329" s="1"/>
      <c r="I329" s="5"/>
      <c r="J329" s="82"/>
      <c r="K329" s="82"/>
      <c r="L329" s="82"/>
      <c r="M329" s="82"/>
      <c r="N329" s="82"/>
      <c r="O329" s="82"/>
      <c r="P329" s="82"/>
      <c r="Q329" s="82"/>
    </row>
    <row r="330" spans="1:17" x14ac:dyDescent="0.2">
      <c r="A330" s="1"/>
      <c r="B330" s="1"/>
      <c r="C330" s="1"/>
      <c r="D330" s="1"/>
      <c r="E330" s="1"/>
      <c r="F330" s="1"/>
      <c r="G330" s="1"/>
      <c r="H330" s="1"/>
      <c r="I330" s="1"/>
      <c r="J330" s="82"/>
      <c r="K330" s="82"/>
      <c r="L330" s="82"/>
      <c r="M330" s="82"/>
      <c r="N330" s="82"/>
    </row>
    <row r="331" spans="1:17" x14ac:dyDescent="0.2">
      <c r="A331" s="1"/>
      <c r="B331" s="1"/>
      <c r="C331" s="1"/>
      <c r="D331" s="1"/>
      <c r="E331" s="1"/>
      <c r="F331" s="1"/>
      <c r="G331" s="1"/>
      <c r="H331" s="1"/>
      <c r="I331" s="1"/>
      <c r="J331" s="66"/>
      <c r="K331" s="82"/>
      <c r="L331" s="82"/>
      <c r="M331" s="82"/>
      <c r="N331" s="82"/>
    </row>
    <row r="332" spans="1:17" x14ac:dyDescent="0.2">
      <c r="A332" s="1"/>
      <c r="B332" s="1"/>
      <c r="C332" s="1"/>
      <c r="D332" s="1"/>
      <c r="E332" s="1"/>
      <c r="F332" s="1"/>
      <c r="G332" s="1"/>
      <c r="H332" s="1"/>
      <c r="I332" s="1"/>
      <c r="J332" s="82"/>
      <c r="K332" s="82"/>
      <c r="L332" s="82"/>
      <c r="M332" s="82"/>
      <c r="N332" s="82"/>
    </row>
    <row r="333" spans="1:17" x14ac:dyDescent="0.2">
      <c r="A333" s="1"/>
      <c r="B333" s="1"/>
      <c r="C333" s="1"/>
      <c r="D333" s="1"/>
      <c r="E333" s="1"/>
      <c r="F333" s="1"/>
      <c r="G333" s="1"/>
      <c r="H333" s="1"/>
      <c r="I333" s="1"/>
      <c r="J333" s="378"/>
      <c r="K333" s="379"/>
      <c r="L333" s="379"/>
      <c r="M333" s="82"/>
      <c r="N333" s="82"/>
    </row>
    <row r="334" spans="1:17" x14ac:dyDescent="0.2">
      <c r="A334" s="68"/>
      <c r="B334" s="68"/>
      <c r="C334" s="68"/>
      <c r="D334" s="68"/>
      <c r="E334" s="68"/>
      <c r="F334" s="68"/>
      <c r="G334" s="68"/>
      <c r="H334" s="68"/>
      <c r="I334" s="68"/>
      <c r="J334" s="380"/>
      <c r="K334" s="233"/>
      <c r="L334" s="233"/>
      <c r="M334" s="82"/>
      <c r="N334" s="82"/>
    </row>
    <row r="335" spans="1:17" x14ac:dyDescent="0.2">
      <c r="A335" s="38"/>
      <c r="B335" s="1"/>
      <c r="C335" s="1"/>
      <c r="D335" s="1"/>
      <c r="E335" s="166"/>
      <c r="F335" s="1"/>
      <c r="G335" s="22"/>
      <c r="H335" s="1"/>
      <c r="I335" s="1"/>
      <c r="J335" s="380"/>
      <c r="K335" s="233"/>
      <c r="L335" s="233"/>
      <c r="M335" s="82"/>
      <c r="N335" s="82"/>
      <c r="O335" s="209"/>
      <c r="P335" s="210"/>
      <c r="Q335" s="211"/>
    </row>
    <row r="336" spans="1:17" x14ac:dyDescent="0.2">
      <c r="A336" s="128"/>
      <c r="B336" s="5"/>
      <c r="C336" s="1"/>
      <c r="D336" s="1"/>
      <c r="E336" s="1"/>
      <c r="F336" s="46"/>
      <c r="G336" s="47"/>
      <c r="H336" s="184"/>
      <c r="I336" s="5"/>
      <c r="J336" s="380"/>
      <c r="K336" s="233"/>
      <c r="L336" s="233"/>
      <c r="M336" s="82"/>
      <c r="N336" s="82"/>
    </row>
    <row r="337" spans="1:17" x14ac:dyDescent="0.2">
      <c r="A337" s="1"/>
      <c r="B337" s="5"/>
      <c r="C337" s="1"/>
      <c r="D337" s="1"/>
      <c r="E337" s="1"/>
      <c r="F337" s="46"/>
      <c r="G337" s="47"/>
      <c r="H337" s="184"/>
      <c r="I337" s="5"/>
      <c r="J337" s="380"/>
      <c r="K337" s="233"/>
      <c r="L337" s="233"/>
      <c r="M337" s="82"/>
      <c r="N337" s="82"/>
    </row>
    <row r="338" spans="1:17" x14ac:dyDescent="0.2">
      <c r="A338" s="1"/>
      <c r="B338" s="5"/>
      <c r="C338" s="1"/>
      <c r="D338" s="1"/>
      <c r="E338" s="1"/>
      <c r="F338" s="102"/>
      <c r="G338" s="47"/>
      <c r="H338" s="205"/>
      <c r="I338" s="5"/>
      <c r="J338" s="380"/>
      <c r="K338" s="233"/>
      <c r="L338" s="233"/>
      <c r="M338" s="82"/>
      <c r="N338" s="82"/>
    </row>
    <row r="339" spans="1:17" x14ac:dyDescent="0.2">
      <c r="A339" s="1"/>
      <c r="B339" s="5"/>
      <c r="C339" s="1"/>
      <c r="D339" s="1"/>
      <c r="E339" s="1"/>
      <c r="F339" s="46"/>
      <c r="G339" s="47"/>
      <c r="H339" s="351"/>
      <c r="I339" s="5"/>
      <c r="J339" s="380"/>
      <c r="K339" s="233"/>
      <c r="L339" s="233"/>
      <c r="M339" s="82"/>
      <c r="N339" s="82"/>
    </row>
    <row r="340" spans="1:17" x14ac:dyDescent="0.2">
      <c r="A340" s="128"/>
      <c r="B340" s="5"/>
      <c r="C340" s="1"/>
      <c r="D340" s="1"/>
      <c r="E340" s="1"/>
      <c r="F340" s="46"/>
      <c r="G340" s="47"/>
      <c r="H340" s="178"/>
      <c r="I340" s="171"/>
      <c r="J340" s="380"/>
      <c r="K340" s="233"/>
      <c r="L340" s="233"/>
      <c r="M340" s="82"/>
      <c r="N340" s="82"/>
      <c r="O340" s="209"/>
      <c r="P340" s="212"/>
      <c r="Q340" s="213"/>
    </row>
    <row r="341" spans="1:17" x14ac:dyDescent="0.2">
      <c r="A341" s="1"/>
      <c r="B341" s="1"/>
      <c r="C341" s="1"/>
      <c r="D341" s="1"/>
      <c r="E341" s="1"/>
      <c r="F341" s="1"/>
      <c r="G341" s="1"/>
      <c r="H341" s="1"/>
      <c r="I341" s="1"/>
      <c r="J341" s="361"/>
      <c r="K341" s="82"/>
      <c r="L341" s="82"/>
      <c r="M341" s="82"/>
      <c r="N341" s="82"/>
      <c r="O341" s="209"/>
      <c r="P341" s="212"/>
      <c r="Q341" s="213"/>
    </row>
    <row r="342" spans="1:17" x14ac:dyDescent="0.2">
      <c r="A342" s="38"/>
      <c r="B342" s="1"/>
      <c r="C342" s="1"/>
      <c r="D342" s="1"/>
      <c r="E342" s="1"/>
      <c r="F342" s="345"/>
      <c r="G342" s="346"/>
      <c r="H342" s="346"/>
      <c r="I342" s="346"/>
      <c r="J342" s="82"/>
      <c r="K342" s="82"/>
      <c r="L342" s="82"/>
      <c r="M342" s="82"/>
      <c r="N342" s="82"/>
      <c r="O342" s="209"/>
      <c r="P342" s="212"/>
      <c r="Q342" s="213"/>
    </row>
    <row r="343" spans="1:17" x14ac:dyDescent="0.2">
      <c r="A343" s="1"/>
      <c r="B343" s="5"/>
      <c r="C343" s="1"/>
      <c r="D343" s="28"/>
      <c r="E343" s="1"/>
      <c r="F343" s="169"/>
      <c r="G343" s="47"/>
      <c r="H343" s="184"/>
      <c r="I343" s="5"/>
      <c r="O343" s="209"/>
      <c r="P343" s="212"/>
      <c r="Q343" s="213"/>
    </row>
    <row r="344" spans="1:17" x14ac:dyDescent="0.2">
      <c r="A344" s="1"/>
      <c r="B344" s="5"/>
      <c r="C344" s="1"/>
      <c r="D344" s="1"/>
      <c r="E344" s="1"/>
      <c r="F344" s="169"/>
      <c r="G344" s="47"/>
      <c r="H344" s="184"/>
      <c r="I344" s="5"/>
      <c r="O344" s="209"/>
      <c r="P344" s="212"/>
      <c r="Q344" s="213"/>
    </row>
    <row r="345" spans="1:17" x14ac:dyDescent="0.2">
      <c r="A345" s="1"/>
      <c r="B345" s="5"/>
      <c r="C345" s="1"/>
      <c r="D345" s="1"/>
      <c r="E345" s="1"/>
      <c r="F345" s="169"/>
      <c r="G345" s="47"/>
      <c r="H345" s="184"/>
      <c r="I345" s="5"/>
      <c r="O345" s="209"/>
      <c r="P345" s="212"/>
      <c r="Q345" s="213"/>
    </row>
    <row r="346" spans="1:17" x14ac:dyDescent="0.2">
      <c r="A346" s="1"/>
      <c r="B346" s="5"/>
      <c r="C346" s="1"/>
      <c r="D346" s="1"/>
      <c r="E346" s="169"/>
      <c r="F346" s="47"/>
      <c r="G346" s="367"/>
      <c r="H346" s="5"/>
      <c r="I346" s="171"/>
      <c r="O346" s="209"/>
      <c r="P346" s="212"/>
      <c r="Q346" s="213"/>
    </row>
    <row r="347" spans="1:17" x14ac:dyDescent="0.2">
      <c r="A347" s="1"/>
      <c r="B347" s="5"/>
      <c r="C347" s="1"/>
      <c r="D347" s="1"/>
      <c r="E347" s="169"/>
      <c r="F347" s="47"/>
      <c r="G347" s="184"/>
      <c r="H347" s="5"/>
      <c r="I347" s="171"/>
      <c r="O347" s="209"/>
      <c r="P347" s="212"/>
      <c r="Q347" s="213"/>
    </row>
    <row r="348" spans="1:17" x14ac:dyDescent="0.2">
      <c r="A348" s="1"/>
      <c r="B348" s="1"/>
      <c r="C348" s="1"/>
      <c r="D348" s="1"/>
      <c r="E348" s="1"/>
      <c r="F348" s="1"/>
      <c r="G348" s="1"/>
      <c r="H348" s="1"/>
      <c r="I348" s="1"/>
      <c r="O348" s="209"/>
      <c r="P348" s="212"/>
      <c r="Q348" s="213"/>
    </row>
    <row r="349" spans="1:17" x14ac:dyDescent="0.2">
      <c r="A349" s="75"/>
      <c r="B349" s="68"/>
      <c r="C349" s="68"/>
      <c r="D349" s="68"/>
      <c r="E349" s="235"/>
      <c r="F349" s="68"/>
      <c r="G349" s="68"/>
      <c r="H349" s="68"/>
      <c r="I349" s="68"/>
      <c r="O349" s="209"/>
      <c r="P349" s="212"/>
      <c r="Q349" s="213"/>
    </row>
    <row r="350" spans="1:17" x14ac:dyDescent="0.2">
      <c r="A350" s="68"/>
      <c r="B350" s="76"/>
      <c r="C350" s="68"/>
      <c r="D350" s="68"/>
      <c r="E350" s="68"/>
      <c r="F350" s="236"/>
      <c r="G350" s="69"/>
      <c r="H350" s="237"/>
      <c r="I350" s="76"/>
      <c r="O350" s="209"/>
      <c r="P350" s="212"/>
      <c r="Q350" s="213"/>
    </row>
    <row r="351" spans="1:17" x14ac:dyDescent="0.2">
      <c r="A351" s="68"/>
      <c r="B351" s="76"/>
      <c r="C351" s="68"/>
      <c r="D351" s="68"/>
      <c r="E351" s="68"/>
      <c r="F351" s="236"/>
      <c r="G351" s="69"/>
      <c r="H351" s="237"/>
      <c r="I351" s="76"/>
    </row>
    <row r="352" spans="1:17" x14ac:dyDescent="0.2">
      <c r="A352" s="68"/>
      <c r="B352" s="76"/>
      <c r="C352" s="68"/>
      <c r="D352" s="68"/>
      <c r="E352" s="68"/>
      <c r="F352" s="236"/>
      <c r="G352" s="69"/>
      <c r="H352" s="504"/>
      <c r="I352" s="76"/>
      <c r="P352" s="212"/>
    </row>
    <row r="353" spans="1:23" x14ac:dyDescent="0.2">
      <c r="A353" s="68"/>
      <c r="B353" s="76"/>
      <c r="C353" s="68"/>
      <c r="D353" s="68"/>
      <c r="E353" s="68"/>
      <c r="F353" s="236"/>
      <c r="G353" s="69"/>
      <c r="H353" s="238"/>
      <c r="I353" s="76"/>
      <c r="J353" s="82"/>
      <c r="K353" s="82"/>
      <c r="L353" s="82"/>
      <c r="P353" s="212"/>
    </row>
    <row r="354" spans="1:23" x14ac:dyDescent="0.2">
      <c r="A354" s="68"/>
      <c r="B354" s="5"/>
      <c r="C354" s="1"/>
      <c r="D354" s="1"/>
      <c r="E354" s="1"/>
      <c r="F354" s="236"/>
      <c r="G354" s="69"/>
      <c r="H354" s="238"/>
      <c r="I354" s="76"/>
      <c r="J354" s="82"/>
      <c r="K354" s="82"/>
      <c r="L354" s="82"/>
      <c r="P354" s="212"/>
    </row>
    <row r="355" spans="1:23" x14ac:dyDescent="0.2">
      <c r="A355" s="68"/>
      <c r="B355" s="5"/>
      <c r="C355" s="1"/>
      <c r="D355" s="1"/>
      <c r="E355" s="1"/>
      <c r="F355" s="236"/>
      <c r="G355" s="69"/>
      <c r="H355" s="69"/>
      <c r="I355" s="76"/>
      <c r="J355" s="82"/>
      <c r="K355" s="82"/>
      <c r="L355" s="82"/>
      <c r="P355" s="212"/>
    </row>
    <row r="356" spans="1:23" x14ac:dyDescent="0.2">
      <c r="A356" s="68"/>
      <c r="B356" s="76"/>
      <c r="C356" s="68"/>
      <c r="D356" s="68"/>
      <c r="E356" s="68"/>
      <c r="F356" s="241"/>
      <c r="G356" s="69"/>
      <c r="H356" s="242"/>
      <c r="I356" s="243"/>
      <c r="J356" s="82"/>
      <c r="K356" s="82"/>
      <c r="L356" s="82"/>
      <c r="P356" s="212"/>
      <c r="U356" s="214"/>
      <c r="V356" s="214"/>
      <c r="W356" s="214"/>
    </row>
    <row r="357" spans="1:23" x14ac:dyDescent="0.2">
      <c r="A357" s="245"/>
      <c r="B357" s="68"/>
      <c r="C357" s="241"/>
      <c r="D357" s="246"/>
      <c r="E357" s="247"/>
      <c r="F357" s="241"/>
      <c r="G357" s="69"/>
      <c r="H357" s="242"/>
      <c r="I357" s="243"/>
      <c r="J357" s="16"/>
      <c r="K357" s="16"/>
      <c r="L357" s="16"/>
      <c r="M357" s="15"/>
      <c r="N357" s="215"/>
      <c r="O357" s="215"/>
    </row>
    <row r="358" spans="1:23" x14ac:dyDescent="0.2">
      <c r="A358" s="245"/>
      <c r="B358" s="68"/>
      <c r="C358" s="248"/>
      <c r="D358" s="249"/>
      <c r="E358" s="247"/>
      <c r="F358" s="241"/>
      <c r="G358" s="69"/>
      <c r="H358" s="242"/>
      <c r="I358" s="243"/>
      <c r="J358" s="16"/>
      <c r="K358" s="16"/>
      <c r="L358" s="16"/>
      <c r="M358" s="15"/>
      <c r="N358" s="66"/>
      <c r="O358" s="66"/>
    </row>
    <row r="359" spans="1:23" ht="12.75" customHeight="1" x14ac:dyDescent="0.2">
      <c r="A359" s="245"/>
      <c r="B359" s="68"/>
      <c r="C359" s="68"/>
      <c r="D359" s="68"/>
      <c r="E359" s="245"/>
      <c r="F359" s="241"/>
      <c r="G359" s="69"/>
      <c r="H359" s="252"/>
      <c r="I359" s="253"/>
      <c r="J359" s="15"/>
      <c r="K359" s="15"/>
      <c r="L359" s="15"/>
      <c r="M359" s="15"/>
      <c r="N359" s="66"/>
      <c r="O359" s="66"/>
    </row>
    <row r="360" spans="1:23" x14ac:dyDescent="0.2">
      <c r="A360" s="245"/>
      <c r="B360" s="68"/>
      <c r="C360" s="68"/>
      <c r="D360" s="68"/>
      <c r="E360" s="245"/>
      <c r="F360" s="241"/>
      <c r="G360" s="69"/>
      <c r="H360" s="252"/>
      <c r="I360" s="253"/>
    </row>
    <row r="361" spans="1:23" x14ac:dyDescent="0.2">
      <c r="A361" s="128"/>
      <c r="B361" s="162"/>
      <c r="C361" s="1"/>
      <c r="D361" s="1"/>
      <c r="E361" s="1"/>
      <c r="F361" s="1"/>
      <c r="G361" s="1"/>
      <c r="H361" s="1"/>
      <c r="I361" s="1"/>
      <c r="Q361" s="221"/>
    </row>
    <row r="362" spans="1:23" x14ac:dyDescent="0.2">
      <c r="A362" s="1"/>
      <c r="B362" s="254"/>
      <c r="C362" s="255"/>
      <c r="D362" s="256"/>
      <c r="E362" s="254"/>
      <c r="F362" s="1"/>
      <c r="G362" s="1"/>
      <c r="H362" s="1"/>
      <c r="I362" s="1"/>
      <c r="Q362" s="221"/>
    </row>
    <row r="363" spans="1:23" x14ac:dyDescent="0.2">
      <c r="A363" s="255"/>
      <c r="B363" s="257"/>
      <c r="C363" s="254"/>
      <c r="D363" s="254"/>
      <c r="E363" s="254"/>
      <c r="F363" s="1"/>
      <c r="G363" s="1"/>
      <c r="H363" s="1"/>
      <c r="I363" s="1"/>
    </row>
    <row r="364" spans="1:23" x14ac:dyDescent="0.2">
      <c r="A364" s="1"/>
      <c r="B364" s="254"/>
      <c r="C364" s="254"/>
      <c r="D364" s="254"/>
      <c r="E364" s="254"/>
      <c r="F364" s="1"/>
      <c r="G364" s="1"/>
      <c r="H364" s="1"/>
      <c r="I364" s="1"/>
      <c r="M364" s="229"/>
    </row>
    <row r="365" spans="1:23" x14ac:dyDescent="0.2">
      <c r="A365" s="1"/>
      <c r="B365" s="254"/>
      <c r="C365" s="254"/>
      <c r="D365" s="254"/>
      <c r="E365" s="258"/>
      <c r="F365" s="1"/>
      <c r="G365" s="1"/>
      <c r="H365" s="1"/>
      <c r="I365" s="1"/>
    </row>
    <row r="366" spans="1:23" x14ac:dyDescent="0.2">
      <c r="A366" s="1"/>
      <c r="B366" s="254"/>
      <c r="C366" s="254"/>
      <c r="D366" s="254"/>
      <c r="E366" s="254"/>
      <c r="F366" s="1"/>
      <c r="G366" s="1"/>
      <c r="H366" s="1"/>
      <c r="I366" s="1"/>
      <c r="R366" s="223"/>
    </row>
    <row r="367" spans="1:23" x14ac:dyDescent="0.2">
      <c r="A367" s="1"/>
      <c r="B367" s="254"/>
      <c r="C367" s="254"/>
      <c r="D367" s="254"/>
      <c r="E367" s="254"/>
      <c r="F367" s="1"/>
      <c r="G367" s="1"/>
      <c r="H367" s="1"/>
      <c r="I367" s="1"/>
      <c r="R367" s="223"/>
    </row>
    <row r="368" spans="1:23" x14ac:dyDescent="0.2">
      <c r="A368" s="1"/>
      <c r="B368" s="254"/>
      <c r="C368" s="254"/>
      <c r="D368" s="254"/>
      <c r="E368" s="254"/>
      <c r="F368" s="256"/>
      <c r="G368" s="1"/>
      <c r="H368" s="1"/>
      <c r="I368" s="1"/>
    </row>
    <row r="369" spans="1:18" x14ac:dyDescent="0.2">
      <c r="A369" s="1"/>
      <c r="B369" s="259"/>
      <c r="C369" s="254"/>
      <c r="D369" s="254"/>
      <c r="E369" s="254"/>
      <c r="F369" s="1"/>
      <c r="G369" s="1"/>
      <c r="H369" s="166"/>
      <c r="I369" s="1"/>
      <c r="R369" s="223"/>
    </row>
    <row r="370" spans="1:18" x14ac:dyDescent="0.2">
      <c r="A370" s="1"/>
      <c r="B370" s="254"/>
      <c r="C370" s="254"/>
      <c r="D370" s="254"/>
      <c r="E370" s="254"/>
      <c r="F370" s="1"/>
      <c r="G370" s="1"/>
      <c r="H370" s="1"/>
      <c r="I370" s="1"/>
      <c r="M370" s="233"/>
    </row>
    <row r="371" spans="1:18" x14ac:dyDescent="0.2">
      <c r="A371" s="1"/>
      <c r="B371" s="254"/>
      <c r="C371" s="254"/>
      <c r="D371" s="260"/>
      <c r="E371" s="254"/>
      <c r="F371" s="1"/>
      <c r="G371" s="1"/>
      <c r="H371" s="1"/>
      <c r="I371" s="1"/>
    </row>
    <row r="372" spans="1:18" x14ac:dyDescent="0.2">
      <c r="A372" s="1"/>
      <c r="B372" s="254"/>
      <c r="C372" s="254"/>
      <c r="D372" s="254"/>
      <c r="E372" s="254"/>
      <c r="F372" s="1"/>
      <c r="G372" s="1"/>
      <c r="H372" s="1"/>
      <c r="I372" s="1"/>
    </row>
    <row r="373" spans="1:18" x14ac:dyDescent="0.2">
      <c r="A373" s="1"/>
      <c r="B373" s="254"/>
      <c r="C373" s="254"/>
      <c r="D373" s="254"/>
      <c r="E373" s="254"/>
      <c r="F373" s="1"/>
      <c r="G373" s="1"/>
      <c r="H373" s="1"/>
      <c r="I373" s="1"/>
      <c r="J373" s="15"/>
    </row>
    <row r="374" spans="1:18" x14ac:dyDescent="0.2">
      <c r="A374" s="1"/>
      <c r="B374" s="254"/>
      <c r="C374" s="254"/>
      <c r="D374" s="254"/>
      <c r="E374" s="254"/>
      <c r="F374" s="1"/>
      <c r="G374" s="1"/>
      <c r="H374" s="1"/>
      <c r="I374" s="1"/>
    </row>
    <row r="375" spans="1:18" x14ac:dyDescent="0.2">
      <c r="A375" s="75"/>
      <c r="B375" s="254"/>
      <c r="C375" s="254"/>
      <c r="D375" s="254"/>
      <c r="E375" s="254"/>
      <c r="F375" s="1"/>
      <c r="G375" s="1"/>
      <c r="H375" s="1"/>
      <c r="I375" s="1"/>
    </row>
    <row r="376" spans="1:18" x14ac:dyDescent="0.2">
      <c r="A376" s="1"/>
      <c r="B376" s="5"/>
      <c r="C376" s="5"/>
      <c r="D376" s="5"/>
      <c r="E376" s="5"/>
      <c r="F376" s="1"/>
      <c r="G376" s="1"/>
      <c r="H376" s="1"/>
      <c r="I376" s="1"/>
    </row>
    <row r="377" spans="1:18" x14ac:dyDescent="0.2">
      <c r="A377" s="1"/>
      <c r="B377" s="5"/>
      <c r="C377" s="5"/>
      <c r="D377" s="5"/>
      <c r="E377" s="5"/>
      <c r="F377" s="102"/>
      <c r="G377" s="47"/>
      <c r="H377" s="51"/>
      <c r="I377" s="243"/>
    </row>
    <row r="378" spans="1:18" x14ac:dyDescent="0.2">
      <c r="A378" s="1"/>
      <c r="B378" s="5"/>
      <c r="C378" s="5"/>
      <c r="D378" s="5"/>
      <c r="E378" s="5"/>
      <c r="F378" s="102"/>
      <c r="G378" s="47"/>
      <c r="H378" s="51"/>
      <c r="I378" s="243"/>
    </row>
    <row r="379" spans="1:18" x14ac:dyDescent="0.2">
      <c r="A379" s="1"/>
      <c r="B379" s="5"/>
      <c r="C379" s="5"/>
      <c r="D379" s="5"/>
      <c r="E379" s="5"/>
      <c r="F379" s="102"/>
      <c r="G379" s="47"/>
      <c r="H379" s="51"/>
      <c r="I379" s="243"/>
    </row>
    <row r="380" spans="1:18" x14ac:dyDescent="0.2">
      <c r="A380" s="1"/>
      <c r="B380" s="5"/>
      <c r="C380" s="5"/>
      <c r="D380" s="5"/>
      <c r="E380" s="5"/>
      <c r="F380" s="102"/>
      <c r="G380" s="47"/>
      <c r="H380" s="51"/>
      <c r="I380" s="243"/>
    </row>
    <row r="381" spans="1:18" x14ac:dyDescent="0.2">
      <c r="A381" s="1"/>
      <c r="B381" s="5"/>
      <c r="C381" s="5"/>
      <c r="D381" s="5"/>
      <c r="E381" s="5"/>
      <c r="F381" s="46"/>
      <c r="G381" s="47"/>
      <c r="H381" s="51"/>
      <c r="I381" s="243"/>
    </row>
    <row r="382" spans="1:18" x14ac:dyDescent="0.2">
      <c r="A382" s="1"/>
      <c r="B382" s="5"/>
      <c r="C382" s="5"/>
      <c r="D382" s="5"/>
      <c r="E382" s="5"/>
      <c r="F382" s="46"/>
      <c r="G382" s="47"/>
      <c r="H382" s="51"/>
      <c r="I382" s="243"/>
    </row>
    <row r="383" spans="1:18" x14ac:dyDescent="0.2">
      <c r="A383" s="1"/>
      <c r="B383" s="5"/>
      <c r="C383" s="5"/>
      <c r="D383" s="5"/>
      <c r="E383" s="5"/>
      <c r="F383" s="46"/>
      <c r="G383" s="47"/>
      <c r="H383" s="51"/>
      <c r="I383" s="243"/>
    </row>
    <row r="384" spans="1:18" x14ac:dyDescent="0.2">
      <c r="A384" s="1"/>
      <c r="B384" s="5"/>
      <c r="C384" s="5"/>
      <c r="D384" s="5"/>
      <c r="E384" s="5"/>
      <c r="F384" s="46"/>
      <c r="G384" s="47"/>
      <c r="H384" s="51"/>
      <c r="I384" s="243"/>
    </row>
    <row r="385" spans="1:15" x14ac:dyDescent="0.2">
      <c r="A385" s="1"/>
      <c r="B385" s="5"/>
      <c r="C385" s="5"/>
      <c r="D385" s="5"/>
      <c r="E385" s="5"/>
      <c r="F385" s="46"/>
      <c r="G385" s="47"/>
      <c r="H385" s="51"/>
      <c r="I385" s="243"/>
    </row>
    <row r="386" spans="1:15" x14ac:dyDescent="0.2">
      <c r="A386" s="1"/>
      <c r="B386" s="5"/>
      <c r="C386" s="5"/>
      <c r="D386" s="5"/>
      <c r="E386" s="5"/>
      <c r="F386" s="352"/>
      <c r="G386" s="47"/>
      <c r="H386" s="252"/>
      <c r="I386" s="253"/>
    </row>
    <row r="387" spans="1:15" x14ac:dyDescent="0.2">
      <c r="A387" s="1"/>
      <c r="B387" s="5"/>
      <c r="C387" s="5"/>
      <c r="D387" s="5"/>
      <c r="E387" s="5"/>
      <c r="F387" s="352"/>
      <c r="G387" s="47"/>
      <c r="H387" s="252"/>
      <c r="I387" s="253"/>
    </row>
    <row r="388" spans="1:15" x14ac:dyDescent="0.2">
      <c r="A388" s="1"/>
      <c r="B388" s="5"/>
      <c r="C388" s="5"/>
      <c r="D388" s="5"/>
      <c r="E388" s="5"/>
      <c r="F388" s="46"/>
      <c r="G388" s="47"/>
      <c r="H388" s="51"/>
      <c r="I388" s="1"/>
    </row>
    <row r="389" spans="1:15" x14ac:dyDescent="0.2">
      <c r="A389" s="1"/>
      <c r="B389" s="5"/>
      <c r="C389" s="5"/>
      <c r="D389" s="5"/>
      <c r="E389" s="5"/>
      <c r="F389" s="46"/>
      <c r="G389" s="47"/>
      <c r="H389" s="178"/>
      <c r="I389" s="1"/>
    </row>
    <row r="390" spans="1:15" x14ac:dyDescent="0.2">
      <c r="A390" s="1"/>
      <c r="B390" s="5"/>
      <c r="C390" s="5"/>
      <c r="D390" s="5"/>
      <c r="E390" s="5"/>
      <c r="F390" s="352"/>
      <c r="G390" s="47"/>
      <c r="H390" s="252"/>
      <c r="I390" s="253"/>
    </row>
    <row r="391" spans="1:15" x14ac:dyDescent="0.2">
      <c r="A391" s="1"/>
      <c r="B391" s="5"/>
      <c r="C391" s="5"/>
      <c r="D391" s="5"/>
      <c r="E391" s="5"/>
      <c r="F391" s="5"/>
      <c r="G391" s="1"/>
      <c r="H391" s="1"/>
      <c r="I391" s="1"/>
    </row>
    <row r="392" spans="1:15" x14ac:dyDescent="0.2">
      <c r="A392" s="1"/>
      <c r="B392" s="254"/>
      <c r="C392" s="254"/>
      <c r="D392" s="254"/>
      <c r="E392" s="254"/>
      <c r="F392" s="1"/>
      <c r="G392" s="1"/>
      <c r="H392" s="1"/>
      <c r="I392" s="1"/>
    </row>
    <row r="393" spans="1:15" x14ac:dyDescent="0.2">
      <c r="A393" s="1"/>
      <c r="B393" s="254"/>
      <c r="C393" s="254"/>
      <c r="D393" s="254"/>
      <c r="E393" s="254"/>
      <c r="F393" s="1"/>
      <c r="G393" s="1"/>
      <c r="H393" s="1"/>
      <c r="I393" s="1"/>
    </row>
    <row r="394" spans="1:15" x14ac:dyDescent="0.2">
      <c r="A394" s="1"/>
      <c r="B394" s="254"/>
      <c r="C394" s="254"/>
      <c r="D394" s="254"/>
      <c r="E394" s="254"/>
      <c r="F394" s="1"/>
      <c r="G394" s="1"/>
      <c r="H394" s="1"/>
      <c r="I394" s="1"/>
    </row>
    <row r="395" spans="1:15" x14ac:dyDescent="0.2">
      <c r="A395" s="1"/>
      <c r="B395" s="254"/>
      <c r="C395" s="254"/>
      <c r="D395" s="254"/>
      <c r="E395" s="254"/>
      <c r="F395" s="1"/>
      <c r="G395" s="1"/>
      <c r="H395" s="1"/>
      <c r="I395" s="1"/>
    </row>
    <row r="396" spans="1:15" x14ac:dyDescent="0.2">
      <c r="A396" s="1"/>
      <c r="B396" s="254"/>
      <c r="C396" s="254"/>
      <c r="D396" s="254"/>
      <c r="E396" s="254"/>
      <c r="F396" s="1"/>
      <c r="G396" s="1"/>
      <c r="H396" s="1"/>
      <c r="I396" s="1"/>
    </row>
    <row r="397" spans="1:15" x14ac:dyDescent="0.2">
      <c r="A397" s="1"/>
      <c r="B397" s="254"/>
      <c r="C397" s="254"/>
      <c r="D397" s="254"/>
      <c r="E397" s="254"/>
      <c r="F397" s="1"/>
      <c r="G397" s="1"/>
      <c r="H397" s="1"/>
      <c r="I397" s="1"/>
      <c r="J397" s="82"/>
      <c r="K397" s="82"/>
      <c r="L397" s="82"/>
      <c r="M397" s="82"/>
      <c r="N397" s="82"/>
      <c r="O397" s="82"/>
    </row>
    <row r="398" spans="1:15" x14ac:dyDescent="0.2">
      <c r="A398" s="1"/>
      <c r="B398" s="254"/>
      <c r="C398" s="254"/>
      <c r="D398" s="254"/>
      <c r="E398" s="254"/>
      <c r="F398" s="1"/>
      <c r="G398" s="1"/>
      <c r="H398" s="1"/>
      <c r="I398" s="1"/>
      <c r="J398" s="362"/>
      <c r="K398" s="363"/>
      <c r="L398" s="363"/>
      <c r="M398" s="82"/>
      <c r="N398" s="82"/>
      <c r="O398" s="82"/>
    </row>
    <row r="399" spans="1:15" x14ac:dyDescent="0.2">
      <c r="A399" s="1"/>
      <c r="B399" s="254"/>
      <c r="C399" s="254"/>
      <c r="D399" s="254"/>
      <c r="E399" s="254"/>
      <c r="F399" s="1"/>
      <c r="G399" s="1"/>
      <c r="H399" s="1"/>
      <c r="I399" s="1"/>
      <c r="J399" s="364"/>
      <c r="K399" s="82"/>
      <c r="L399" s="82"/>
      <c r="M399" s="82"/>
      <c r="N399" s="82"/>
      <c r="O399" s="82"/>
    </row>
    <row r="400" spans="1:15" x14ac:dyDescent="0.2">
      <c r="A400" s="1"/>
      <c r="B400" s="254"/>
      <c r="C400" s="254"/>
      <c r="D400" s="254"/>
      <c r="E400" s="254"/>
      <c r="F400" s="1"/>
      <c r="G400" s="1"/>
      <c r="H400" s="1"/>
      <c r="I400" s="1"/>
      <c r="J400" s="362"/>
      <c r="K400" s="363"/>
      <c r="L400" s="363"/>
      <c r="M400" s="82"/>
      <c r="N400" s="82"/>
      <c r="O400" s="82"/>
    </row>
    <row r="401" spans="1:64" x14ac:dyDescent="0.2">
      <c r="A401" s="1"/>
      <c r="B401" s="254"/>
      <c r="C401" s="254"/>
      <c r="D401" s="254"/>
      <c r="E401" s="254"/>
      <c r="F401" s="1"/>
      <c r="G401" s="1"/>
      <c r="H401" s="1"/>
      <c r="I401" s="1"/>
      <c r="J401" s="364"/>
      <c r="K401" s="82"/>
      <c r="L401" s="82"/>
      <c r="M401" s="82"/>
      <c r="N401" s="82"/>
      <c r="O401" s="82"/>
    </row>
    <row r="402" spans="1:64" x14ac:dyDescent="0.2">
      <c r="A402" s="3"/>
      <c r="B402" s="4"/>
      <c r="C402" s="4"/>
      <c r="D402" s="4"/>
      <c r="E402" s="3"/>
      <c r="F402" s="1"/>
      <c r="G402" s="1"/>
      <c r="H402" s="1"/>
      <c r="I402" s="1"/>
      <c r="J402" s="82"/>
      <c r="K402" s="82"/>
      <c r="L402" s="82"/>
    </row>
    <row r="403" spans="1:64" x14ac:dyDescent="0.2">
      <c r="A403" s="1"/>
      <c r="B403" s="3"/>
      <c r="C403" s="4"/>
      <c r="D403" s="4"/>
      <c r="E403" s="1"/>
      <c r="F403" s="1"/>
      <c r="G403" s="1"/>
      <c r="H403" s="1"/>
      <c r="I403" s="1"/>
      <c r="L403" s="82"/>
    </row>
    <row r="404" spans="1:64" x14ac:dyDescent="0.2">
      <c r="A404" s="1"/>
      <c r="B404" s="3"/>
      <c r="C404" s="4"/>
      <c r="D404" s="4"/>
      <c r="E404" s="1"/>
      <c r="F404" s="4"/>
      <c r="G404" s="3"/>
      <c r="H404" s="1"/>
      <c r="I404" s="1"/>
      <c r="L404" s="82"/>
    </row>
    <row r="405" spans="1:64" x14ac:dyDescent="0.2">
      <c r="A405" s="1"/>
      <c r="B405" s="3"/>
      <c r="C405" s="4"/>
      <c r="D405" s="4"/>
      <c r="E405" s="1"/>
      <c r="F405" s="4"/>
      <c r="G405" s="4"/>
      <c r="H405" s="1"/>
      <c r="I405" s="1"/>
      <c r="J405" s="82"/>
      <c r="K405" s="82"/>
      <c r="L405" s="82"/>
    </row>
    <row r="406" spans="1:64" s="74" customFormat="1" x14ac:dyDescent="0.2">
      <c r="A406" s="1"/>
      <c r="B406" s="3"/>
      <c r="C406" s="4"/>
      <c r="D406" s="4"/>
      <c r="E406" s="1"/>
      <c r="F406" s="4"/>
      <c r="G406" s="4"/>
      <c r="H406" s="1"/>
      <c r="I406" s="15"/>
      <c r="J406" s="72"/>
      <c r="K406" s="72"/>
      <c r="L406" s="72"/>
      <c r="M406" s="72"/>
      <c r="N406" s="72"/>
      <c r="O406" s="72"/>
      <c r="P406" s="72"/>
      <c r="Q406" s="72"/>
      <c r="R406" s="72"/>
      <c r="S406" s="227"/>
    </row>
    <row r="407" spans="1:64" s="261" customFormat="1" x14ac:dyDescent="0.2">
      <c r="A407" s="1"/>
      <c r="B407" s="1"/>
      <c r="C407" s="1"/>
      <c r="D407" s="1"/>
      <c r="E407" s="1"/>
      <c r="F407" s="1"/>
      <c r="G407" s="1"/>
      <c r="H407" s="1"/>
      <c r="I407" s="1"/>
      <c r="J407" s="277"/>
      <c r="K407" s="277"/>
      <c r="L407" s="277"/>
      <c r="M407" s="277"/>
      <c r="N407" s="277"/>
      <c r="O407" s="277"/>
      <c r="P407" s="277"/>
      <c r="Q407" s="277"/>
      <c r="R407" s="277"/>
      <c r="S407" s="338"/>
    </row>
    <row r="408" spans="1:64" s="261" customFormat="1" x14ac:dyDescent="0.2">
      <c r="A408" s="1"/>
      <c r="B408" s="1"/>
      <c r="C408" s="1"/>
      <c r="D408" s="1"/>
      <c r="E408" s="1"/>
      <c r="F408" s="1"/>
      <c r="G408" s="1"/>
      <c r="H408" s="1"/>
      <c r="I408" s="1"/>
      <c r="J408" s="277"/>
      <c r="K408" s="277"/>
      <c r="L408" s="277"/>
      <c r="M408" s="277"/>
      <c r="N408" s="277"/>
      <c r="O408" s="277"/>
      <c r="P408" s="277"/>
      <c r="Q408" s="277"/>
      <c r="R408" s="277"/>
      <c r="S408" s="338"/>
    </row>
    <row r="409" spans="1:64" s="261" customFormat="1" x14ac:dyDescent="0.2">
      <c r="A409" s="1"/>
      <c r="B409" s="1"/>
      <c r="C409" s="1"/>
      <c r="D409" s="1"/>
      <c r="E409" s="1"/>
      <c r="F409" s="1"/>
      <c r="G409" s="1"/>
      <c r="H409" s="1"/>
      <c r="I409" s="1"/>
      <c r="J409" s="277"/>
      <c r="K409" s="277"/>
      <c r="L409" s="277"/>
      <c r="M409" s="277"/>
      <c r="N409" s="277"/>
      <c r="O409" s="277"/>
      <c r="P409" s="277"/>
      <c r="Q409" s="277"/>
      <c r="R409" s="277"/>
      <c r="S409" s="338"/>
    </row>
    <row r="410" spans="1:64" s="261" customFormat="1" x14ac:dyDescent="0.2">
      <c r="A410" s="1"/>
      <c r="B410" s="1"/>
      <c r="C410" s="1"/>
      <c r="D410" s="1"/>
      <c r="E410" s="1"/>
      <c r="F410" s="1"/>
      <c r="G410" s="1"/>
      <c r="H410" s="1"/>
      <c r="I410" s="1"/>
      <c r="J410" s="277"/>
      <c r="K410" s="277"/>
      <c r="L410" s="277"/>
      <c r="M410" s="277"/>
      <c r="N410" s="277"/>
      <c r="O410" s="277"/>
      <c r="P410" s="277"/>
      <c r="Q410" s="277"/>
      <c r="R410" s="277"/>
      <c r="S410" s="338"/>
    </row>
    <row r="411" spans="1:64" s="166" customFormat="1" x14ac:dyDescent="0.2">
      <c r="A411" s="15"/>
      <c r="B411" s="15"/>
      <c r="C411" s="15"/>
      <c r="D411" s="15"/>
      <c r="E411" s="15"/>
      <c r="F411" s="15"/>
      <c r="G411" s="15"/>
      <c r="H411" s="15"/>
      <c r="I411" s="15"/>
      <c r="J411" s="310"/>
      <c r="K411" s="332"/>
      <c r="L411" s="310"/>
      <c r="M411" s="354"/>
      <c r="N411" s="81"/>
      <c r="O411" s="81"/>
      <c r="P411" s="81"/>
      <c r="Q411" s="81"/>
      <c r="R411" s="81"/>
      <c r="S411" s="269"/>
      <c r="T411" s="270"/>
      <c r="U411" s="270"/>
      <c r="V411" s="270"/>
      <c r="W411" s="270"/>
      <c r="X411" s="270"/>
      <c r="Y411" s="270"/>
      <c r="Z411" s="270"/>
      <c r="AA411" s="270"/>
      <c r="AB411" s="270"/>
      <c r="AC411" s="270"/>
      <c r="AD411" s="270"/>
      <c r="AE411" s="270"/>
      <c r="AF411" s="270"/>
      <c r="AG411" s="270"/>
      <c r="AH411" s="270"/>
      <c r="AI411" s="270"/>
      <c r="AJ411" s="270"/>
      <c r="AK411" s="270"/>
      <c r="AL411" s="270"/>
      <c r="AM411" s="270"/>
      <c r="AN411" s="270"/>
      <c r="AO411" s="270"/>
      <c r="AP411" s="270"/>
      <c r="AQ411" s="270"/>
      <c r="AR411" s="270"/>
      <c r="AS411" s="270"/>
      <c r="AT411" s="270"/>
      <c r="AU411" s="270"/>
      <c r="AV411" s="270"/>
      <c r="AW411" s="270"/>
      <c r="AX411" s="270"/>
      <c r="AY411" s="270"/>
      <c r="AZ411" s="270"/>
      <c r="BA411" s="270"/>
      <c r="BB411" s="270"/>
      <c r="BC411" s="270"/>
      <c r="BD411" s="270"/>
      <c r="BE411" s="270"/>
      <c r="BF411" s="270"/>
      <c r="BG411" s="22"/>
      <c r="BH411" s="22"/>
      <c r="BI411" s="22"/>
      <c r="BJ411" s="22"/>
      <c r="BK411" s="22"/>
      <c r="BL411" s="22"/>
    </row>
    <row r="412" spans="1:64" s="166" customFormat="1" x14ac:dyDescent="0.2">
      <c r="A412" s="15"/>
      <c r="B412" s="15"/>
      <c r="C412" s="15"/>
      <c r="D412" s="15"/>
      <c r="E412" s="15"/>
      <c r="F412" s="15"/>
      <c r="G412" s="15"/>
      <c r="H412" s="15"/>
      <c r="I412" s="15"/>
      <c r="J412" s="310"/>
      <c r="K412" s="310"/>
      <c r="L412" s="310"/>
      <c r="M412" s="354"/>
      <c r="N412" s="81"/>
      <c r="O412" s="81"/>
      <c r="P412" s="81"/>
      <c r="Q412" s="81"/>
      <c r="R412" s="81"/>
      <c r="S412" s="269"/>
      <c r="T412" s="270"/>
      <c r="U412" s="270"/>
      <c r="V412" s="270"/>
      <c r="W412" s="270"/>
      <c r="X412" s="270"/>
      <c r="Y412" s="270"/>
      <c r="Z412" s="270"/>
      <c r="AA412" s="270"/>
      <c r="AB412" s="270"/>
      <c r="AC412" s="270"/>
      <c r="AD412" s="270"/>
      <c r="AE412" s="270"/>
      <c r="AF412" s="270"/>
      <c r="AG412" s="270"/>
      <c r="AH412" s="270"/>
      <c r="AI412" s="270"/>
      <c r="AJ412" s="270"/>
      <c r="AK412" s="270"/>
      <c r="AL412" s="270"/>
      <c r="AM412" s="270"/>
      <c r="AN412" s="270"/>
      <c r="AO412" s="270"/>
      <c r="AP412" s="270"/>
      <c r="AQ412" s="270"/>
      <c r="AR412" s="270"/>
      <c r="AS412" s="270"/>
      <c r="AT412" s="270"/>
      <c r="AU412" s="270"/>
      <c r="AV412" s="270"/>
      <c r="AW412" s="270"/>
      <c r="AX412" s="270"/>
      <c r="AY412" s="270"/>
      <c r="AZ412" s="270"/>
      <c r="BA412" s="270"/>
      <c r="BB412" s="270"/>
      <c r="BC412" s="270"/>
      <c r="BD412" s="270"/>
      <c r="BE412" s="270"/>
      <c r="BF412" s="270"/>
      <c r="BG412" s="22"/>
      <c r="BH412" s="22"/>
      <c r="BI412" s="22"/>
      <c r="BJ412" s="22"/>
      <c r="BK412" s="22"/>
      <c r="BL412" s="22"/>
    </row>
    <row r="413" spans="1:64" s="166" customFormat="1" x14ac:dyDescent="0.2">
      <c r="A413" s="15"/>
      <c r="B413" s="15"/>
      <c r="C413" s="15"/>
      <c r="D413" s="15"/>
      <c r="E413" s="15"/>
      <c r="F413" s="15"/>
      <c r="G413" s="15"/>
      <c r="H413" s="15"/>
      <c r="I413" s="15"/>
      <c r="J413" s="310"/>
      <c r="K413" s="310"/>
      <c r="L413" s="310"/>
      <c r="M413" s="354"/>
      <c r="N413" s="81"/>
      <c r="O413" s="81"/>
      <c r="P413" s="81"/>
      <c r="Q413" s="81"/>
      <c r="R413" s="81"/>
      <c r="S413" s="269"/>
      <c r="T413" s="270"/>
      <c r="U413" s="270"/>
      <c r="V413" s="270"/>
      <c r="W413" s="270"/>
      <c r="X413" s="270"/>
      <c r="Y413" s="270"/>
      <c r="Z413" s="270"/>
      <c r="AA413" s="270"/>
      <c r="AB413" s="270"/>
      <c r="AC413" s="270"/>
      <c r="AD413" s="270"/>
      <c r="AE413" s="270"/>
      <c r="AF413" s="270"/>
      <c r="AG413" s="270"/>
      <c r="AH413" s="270"/>
      <c r="AI413" s="270"/>
      <c r="AJ413" s="270"/>
      <c r="AK413" s="270"/>
      <c r="AL413" s="270"/>
      <c r="AM413" s="270"/>
      <c r="AN413" s="270"/>
      <c r="AO413" s="270"/>
      <c r="AP413" s="270"/>
      <c r="AQ413" s="270"/>
      <c r="AR413" s="270"/>
      <c r="AS413" s="270"/>
      <c r="AT413" s="270"/>
      <c r="AU413" s="270"/>
      <c r="AV413" s="270"/>
      <c r="AW413" s="270"/>
      <c r="AX413" s="270"/>
      <c r="AY413" s="270"/>
      <c r="AZ413" s="270"/>
      <c r="BA413" s="270"/>
      <c r="BB413" s="270"/>
      <c r="BC413" s="270"/>
      <c r="BD413" s="270"/>
      <c r="BE413" s="270"/>
      <c r="BF413" s="270"/>
      <c r="BG413" s="22"/>
      <c r="BH413" s="22"/>
      <c r="BI413" s="22"/>
      <c r="BJ413" s="22"/>
      <c r="BK413" s="22"/>
      <c r="BL413" s="22"/>
    </row>
    <row r="414" spans="1:64" s="166" customFormat="1" x14ac:dyDescent="0.2">
      <c r="A414" s="15"/>
      <c r="B414" s="15"/>
      <c r="C414" s="15"/>
      <c r="D414" s="15"/>
      <c r="E414" s="15"/>
      <c r="F414" s="15"/>
      <c r="G414" s="15"/>
      <c r="H414" s="15"/>
      <c r="I414" s="15"/>
      <c r="J414" s="277"/>
      <c r="K414" s="277"/>
      <c r="L414" s="277"/>
      <c r="M414" s="354"/>
      <c r="N414" s="81"/>
      <c r="O414" s="81"/>
      <c r="P414" s="81"/>
      <c r="Q414" s="81"/>
      <c r="R414" s="81"/>
      <c r="S414" s="269"/>
      <c r="T414" s="270"/>
      <c r="U414" s="270"/>
      <c r="V414" s="270"/>
      <c r="W414" s="270"/>
      <c r="X414" s="270"/>
      <c r="Y414" s="270"/>
      <c r="Z414" s="270"/>
      <c r="AA414" s="270"/>
      <c r="AB414" s="270"/>
      <c r="AC414" s="270"/>
      <c r="AD414" s="270"/>
      <c r="AE414" s="270"/>
      <c r="AF414" s="270"/>
      <c r="AG414" s="270"/>
      <c r="AH414" s="270"/>
      <c r="AI414" s="270"/>
      <c r="AJ414" s="270"/>
      <c r="AK414" s="270"/>
      <c r="AL414" s="270"/>
      <c r="AM414" s="270"/>
      <c r="AN414" s="270"/>
      <c r="AO414" s="270"/>
      <c r="AP414" s="270"/>
      <c r="AQ414" s="270"/>
      <c r="AR414" s="270"/>
      <c r="AS414" s="270"/>
      <c r="AT414" s="270"/>
      <c r="AU414" s="270"/>
      <c r="AV414" s="270"/>
      <c r="AW414" s="270"/>
      <c r="AX414" s="270"/>
      <c r="AY414" s="270"/>
      <c r="AZ414" s="270"/>
      <c r="BA414" s="270"/>
      <c r="BB414" s="270"/>
      <c r="BC414" s="270"/>
      <c r="BD414" s="270"/>
      <c r="BE414" s="270"/>
      <c r="BF414" s="270"/>
      <c r="BG414" s="22"/>
      <c r="BH414" s="22"/>
      <c r="BI414" s="22"/>
      <c r="BJ414" s="22"/>
      <c r="BK414" s="22"/>
      <c r="BL414" s="22"/>
    </row>
  </sheetData>
  <sheetProtection algorithmName="SHA-512" hashValue="3HjnlfiLNIKyKpaTEkSkA50jI4AqWzCMkR7DeuqxO6ieGX3rBoywCY0EbWlY2uY1EemzpiEW7GE6X0UPpNOAsg==" saltValue="0y2gCVORSv9PVRKU3b0aQg==" spinCount="100000" sheet="1" objects="1" scenarios="1" formatCells="0"/>
  <mergeCells count="38">
    <mergeCell ref="A27:I27"/>
    <mergeCell ref="C177:D177"/>
    <mergeCell ref="C178:D178"/>
    <mergeCell ref="C173:D173"/>
    <mergeCell ref="C174:D174"/>
    <mergeCell ref="C175:D175"/>
    <mergeCell ref="C176:D176"/>
    <mergeCell ref="C171:D171"/>
    <mergeCell ref="E171:H171"/>
    <mergeCell ref="C172:D172"/>
    <mergeCell ref="E49:I49"/>
    <mergeCell ref="A82:I82"/>
    <mergeCell ref="F172:G172"/>
    <mergeCell ref="E43:I43"/>
    <mergeCell ref="E44:I44"/>
    <mergeCell ref="E45:I45"/>
    <mergeCell ref="E42:I42"/>
    <mergeCell ref="O77:S77"/>
    <mergeCell ref="B155:B157"/>
    <mergeCell ref="C155:G155"/>
    <mergeCell ref="D156:F156"/>
    <mergeCell ref="B154:C154"/>
    <mergeCell ref="U77:Y77"/>
    <mergeCell ref="O78:S78"/>
    <mergeCell ref="U78:Y78"/>
    <mergeCell ref="A26:I26"/>
    <mergeCell ref="A28:I28"/>
    <mergeCell ref="A29:I29"/>
    <mergeCell ref="A34:C34"/>
    <mergeCell ref="E36:I36"/>
    <mergeCell ref="E46:I46"/>
    <mergeCell ref="E47:I47"/>
    <mergeCell ref="E48:I48"/>
    <mergeCell ref="E37:I37"/>
    <mergeCell ref="E38:I38"/>
    <mergeCell ref="E39:I39"/>
    <mergeCell ref="E40:I40"/>
    <mergeCell ref="E41:I41"/>
  </mergeCells>
  <phoneticPr fontId="30" type="noConversion"/>
  <conditionalFormatting sqref="E151">
    <cfRule type="expression" dxfId="0" priority="1" stopIfTrue="1">
      <formula>$K$149=FALSE</formula>
    </cfRule>
  </conditionalFormatting>
  <printOptions horizontalCentered="1"/>
  <pageMargins left="0.59055118110236227" right="0.59055118110236227" top="0.19685039370078741" bottom="0.59055118110236227" header="0" footer="0"/>
  <pageSetup scale="90" orientation="portrait" r:id="rId1"/>
  <headerFooter alignWithMargins="0"/>
  <rowBreaks count="9" manualBreakCount="9">
    <brk id="32" max="8" man="1"/>
    <brk id="80" max="8" man="1"/>
    <brk id="132" max="8" man="1"/>
    <brk id="183" max="8" man="1"/>
    <brk id="228" max="8" man="1"/>
    <brk id="275" max="8" man="1"/>
    <brk id="333" max="8" man="1"/>
    <brk id="373" max="8" man="1"/>
    <brk id="401" max="8" man="1"/>
  </rowBreaks>
  <drawing r:id="rId2"/>
  <legacyDrawing r:id="rId3"/>
  <oleObjects>
    <mc:AlternateContent xmlns:mc="http://schemas.openxmlformats.org/markup-compatibility/2006">
      <mc:Choice Requires="x14">
        <oleObject progId="Equation.3" shapeId="14373" r:id="rId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4373" r:id="rId4"/>
      </mc:Fallback>
    </mc:AlternateContent>
    <mc:AlternateContent xmlns:mc="http://schemas.openxmlformats.org/markup-compatibility/2006">
      <mc:Choice Requires="x14">
        <oleObject progId="Equation.3" shapeId="14374" r:id="rId6">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4374" r:id="rId6"/>
      </mc:Fallback>
    </mc:AlternateContent>
    <mc:AlternateContent xmlns:mc="http://schemas.openxmlformats.org/markup-compatibility/2006">
      <mc:Choice Requires="x14">
        <oleObject progId="Equation.3" shapeId="14375" r:id="rId8">
          <objectPr defaultSize="0" autoPict="0" r:id="rId9">
            <anchor moveWithCells="1" sizeWithCells="1">
              <from>
                <xdr:col>5</xdr:col>
                <xdr:colOff>57150</xdr:colOff>
                <xdr:row>209</xdr:row>
                <xdr:rowOff>104775</xdr:rowOff>
              </from>
              <to>
                <xdr:col>8</xdr:col>
                <xdr:colOff>57150</xdr:colOff>
                <xdr:row>212</xdr:row>
                <xdr:rowOff>0</xdr:rowOff>
              </to>
            </anchor>
          </objectPr>
        </oleObject>
      </mc:Choice>
      <mc:Fallback>
        <oleObject progId="Equation.3" shapeId="14375" r:id="rId8"/>
      </mc:Fallback>
    </mc:AlternateContent>
    <mc:AlternateContent xmlns:mc="http://schemas.openxmlformats.org/markup-compatibility/2006">
      <mc:Choice Requires="x14">
        <oleObject progId="Equation.3" shapeId="14376" r:id="rId10">
          <objectPr defaultSize="0" autoPict="0" r:id="rId11">
            <anchor moveWithCells="1" sizeWithCells="1">
              <from>
                <xdr:col>1</xdr:col>
                <xdr:colOff>352425</xdr:colOff>
                <xdr:row>226</xdr:row>
                <xdr:rowOff>123825</xdr:rowOff>
              </from>
              <to>
                <xdr:col>2</xdr:col>
                <xdr:colOff>342900</xdr:colOff>
                <xdr:row>227</xdr:row>
                <xdr:rowOff>123825</xdr:rowOff>
              </to>
            </anchor>
          </objectPr>
        </oleObject>
      </mc:Choice>
      <mc:Fallback>
        <oleObject progId="Equation.3" shapeId="14376" r:id="rId10"/>
      </mc:Fallback>
    </mc:AlternateContent>
    <mc:AlternateContent xmlns:mc="http://schemas.openxmlformats.org/markup-compatibility/2006">
      <mc:Choice Requires="x14">
        <oleObject progId="Equation.3" shapeId="14377" r:id="rId12">
          <objectPr defaultSize="0" autoPict="0" r:id="rId13">
            <anchor moveWithCells="1" sizeWithCells="1">
              <from>
                <xdr:col>4</xdr:col>
                <xdr:colOff>676275</xdr:colOff>
                <xdr:row>246</xdr:row>
                <xdr:rowOff>114300</xdr:rowOff>
              </from>
              <to>
                <xdr:col>8</xdr:col>
                <xdr:colOff>514350</xdr:colOff>
                <xdr:row>247</xdr:row>
                <xdr:rowOff>123825</xdr:rowOff>
              </to>
            </anchor>
          </objectPr>
        </oleObject>
      </mc:Choice>
      <mc:Fallback>
        <oleObject progId="Equation.3" shapeId="14377" r:id="rId12"/>
      </mc:Fallback>
    </mc:AlternateContent>
    <mc:AlternateContent xmlns:mc="http://schemas.openxmlformats.org/markup-compatibility/2006">
      <mc:Choice Requires="x14">
        <oleObject progId="Equation.3" shapeId="14378" r:id="rId14">
          <objectPr defaultSize="0" autoPict="0" r:id="rId15">
            <anchor moveWithCells="1" sizeWithCells="1">
              <from>
                <xdr:col>5</xdr:col>
                <xdr:colOff>114300</xdr:colOff>
                <xdr:row>247</xdr:row>
                <xdr:rowOff>114300</xdr:rowOff>
              </from>
              <to>
                <xdr:col>7</xdr:col>
                <xdr:colOff>695325</xdr:colOff>
                <xdr:row>249</xdr:row>
                <xdr:rowOff>0</xdr:rowOff>
              </to>
            </anchor>
          </objectPr>
        </oleObject>
      </mc:Choice>
      <mc:Fallback>
        <oleObject progId="Equation.3" shapeId="14378" r:id="rId14"/>
      </mc:Fallback>
    </mc:AlternateContent>
    <mc:AlternateContent xmlns:mc="http://schemas.openxmlformats.org/markup-compatibility/2006">
      <mc:Choice Requires="x14">
        <oleObject progId="Equation.3" shapeId="14379" r:id="rId16">
          <objectPr defaultSize="0" autoPict="0" r:id="rId17">
            <anchor moveWithCells="1" sizeWithCells="1">
              <from>
                <xdr:col>1</xdr:col>
                <xdr:colOff>247650</xdr:colOff>
                <xdr:row>209</xdr:row>
                <xdr:rowOff>76200</xdr:rowOff>
              </from>
              <to>
                <xdr:col>2</xdr:col>
                <xdr:colOff>600075</xdr:colOff>
                <xdr:row>213</xdr:row>
                <xdr:rowOff>38100</xdr:rowOff>
              </to>
            </anchor>
          </objectPr>
        </oleObject>
      </mc:Choice>
      <mc:Fallback>
        <oleObject progId="Equation.3" shapeId="14379" r:id="rId16"/>
      </mc:Fallback>
    </mc:AlternateContent>
    <mc:AlternateContent xmlns:mc="http://schemas.openxmlformats.org/markup-compatibility/2006">
      <mc:Choice Requires="x14">
        <oleObject progId="Equation.3" shapeId="14380" r:id="rId18">
          <objectPr defaultSize="0" autoPict="0" r:id="rId19">
            <anchor moveWithCells="1" sizeWithCells="1">
              <from>
                <xdr:col>1</xdr:col>
                <xdr:colOff>200025</xdr:colOff>
                <xdr:row>213</xdr:row>
                <xdr:rowOff>85725</xdr:rowOff>
              </from>
              <to>
                <xdr:col>3</xdr:col>
                <xdr:colOff>371475</xdr:colOff>
                <xdr:row>215</xdr:row>
                <xdr:rowOff>142875</xdr:rowOff>
              </to>
            </anchor>
          </objectPr>
        </oleObject>
      </mc:Choice>
      <mc:Fallback>
        <oleObject progId="Equation.3" shapeId="14380" r:id="rId18"/>
      </mc:Fallback>
    </mc:AlternateContent>
    <mc:AlternateContent xmlns:mc="http://schemas.openxmlformats.org/markup-compatibility/2006">
      <mc:Choice Requires="x14">
        <oleObject progId="Equation.3" shapeId="14381" r:id="rId20">
          <objectPr defaultSize="0" autoPict="0" r:id="rId21">
            <anchor moveWithCells="1" sizeWithCells="1">
              <from>
                <xdr:col>1</xdr:col>
                <xdr:colOff>200025</xdr:colOff>
                <xdr:row>216</xdr:row>
                <xdr:rowOff>38100</xdr:rowOff>
              </from>
              <to>
                <xdr:col>3</xdr:col>
                <xdr:colOff>457200</xdr:colOff>
                <xdr:row>220</xdr:row>
                <xdr:rowOff>0</xdr:rowOff>
              </to>
            </anchor>
          </objectPr>
        </oleObject>
      </mc:Choice>
      <mc:Fallback>
        <oleObject progId="Equation.3" shapeId="14381" r:id="rId20"/>
      </mc:Fallback>
    </mc:AlternateContent>
    <mc:AlternateContent xmlns:mc="http://schemas.openxmlformats.org/markup-compatibility/2006">
      <mc:Choice Requires="x14">
        <oleObject progId="Equation.3" shapeId="14382" r:id="rId22">
          <objectPr defaultSize="0" autoPict="0" r:id="rId23">
            <anchor moveWithCells="1" sizeWithCells="1">
              <from>
                <xdr:col>1</xdr:col>
                <xdr:colOff>190500</xdr:colOff>
                <xdr:row>219</xdr:row>
                <xdr:rowOff>152400</xdr:rowOff>
              </from>
              <to>
                <xdr:col>3</xdr:col>
                <xdr:colOff>304800</xdr:colOff>
                <xdr:row>223</xdr:row>
                <xdr:rowOff>142875</xdr:rowOff>
              </to>
            </anchor>
          </objectPr>
        </oleObject>
      </mc:Choice>
      <mc:Fallback>
        <oleObject progId="Equation.3" shapeId="14382" r:id="rId22"/>
      </mc:Fallback>
    </mc:AlternateContent>
    <mc:AlternateContent xmlns:mc="http://schemas.openxmlformats.org/markup-compatibility/2006">
      <mc:Choice Requires="x14">
        <oleObject progId="Equation.3" shapeId="14383" r:id="rId24">
          <objectPr defaultSize="0" autoPict="0" r:id="rId25">
            <anchor moveWithCells="1" sizeWithCells="1">
              <from>
                <xdr:col>5</xdr:col>
                <xdr:colOff>133350</xdr:colOff>
                <xdr:row>212</xdr:row>
                <xdr:rowOff>47625</xdr:rowOff>
              </from>
              <to>
                <xdr:col>7</xdr:col>
                <xdr:colOff>676275</xdr:colOff>
                <xdr:row>214</xdr:row>
                <xdr:rowOff>123825</xdr:rowOff>
              </to>
            </anchor>
          </objectPr>
        </oleObject>
      </mc:Choice>
      <mc:Fallback>
        <oleObject progId="Equation.3" shapeId="14383" r:id="rId24"/>
      </mc:Fallback>
    </mc:AlternateContent>
    <mc:AlternateContent xmlns:mc="http://schemas.openxmlformats.org/markup-compatibility/2006">
      <mc:Choice Requires="x14">
        <oleObject progId="Equation.3" shapeId="14384" r:id="rId26">
          <objectPr defaultSize="0" autoPict="0" r:id="rId27">
            <anchor moveWithCells="1" sizeWithCells="1">
              <from>
                <xdr:col>1</xdr:col>
                <xdr:colOff>209550</xdr:colOff>
                <xdr:row>223</xdr:row>
                <xdr:rowOff>133350</xdr:rowOff>
              </from>
              <to>
                <xdr:col>3</xdr:col>
                <xdr:colOff>409575</xdr:colOff>
                <xdr:row>226</xdr:row>
                <xdr:rowOff>95250</xdr:rowOff>
              </to>
            </anchor>
          </objectPr>
        </oleObject>
      </mc:Choice>
      <mc:Fallback>
        <oleObject progId="Equation.3" shapeId="14384" r:id="rId26"/>
      </mc:Fallback>
    </mc:AlternateContent>
    <mc:AlternateContent xmlns:mc="http://schemas.openxmlformats.org/markup-compatibility/2006">
      <mc:Choice Requires="x14">
        <oleObject progId="Equation.3" shapeId="14394" r:id="rId28">
          <objectPr defaultSize="0" autoPict="0" r:id="rId29">
            <anchor moveWithCells="1" sizeWithCells="1">
              <from>
                <xdr:col>5</xdr:col>
                <xdr:colOff>447675</xdr:colOff>
                <xdr:row>301</xdr:row>
                <xdr:rowOff>133350</xdr:rowOff>
              </from>
              <to>
                <xdr:col>6</xdr:col>
                <xdr:colOff>438150</xdr:colOff>
                <xdr:row>304</xdr:row>
                <xdr:rowOff>19050</xdr:rowOff>
              </to>
            </anchor>
          </objectPr>
        </oleObject>
      </mc:Choice>
      <mc:Fallback>
        <oleObject progId="Equation.3" shapeId="14394" r:id="rId28"/>
      </mc:Fallback>
    </mc:AlternateContent>
    <mc:AlternateContent xmlns:mc="http://schemas.openxmlformats.org/markup-compatibility/2006">
      <mc:Choice Requires="x14">
        <oleObject progId="Equation.3" shapeId="14453" r:id="rId30">
          <objectPr defaultSize="0" autoPict="0" r:id="rId31">
            <anchor moveWithCells="1" sizeWithCells="1">
              <from>
                <xdr:col>1</xdr:col>
                <xdr:colOff>428625</xdr:colOff>
                <xdr:row>406</xdr:row>
                <xdr:rowOff>0</xdr:rowOff>
              </from>
              <to>
                <xdr:col>4</xdr:col>
                <xdr:colOff>276225</xdr:colOff>
                <xdr:row>406</xdr:row>
                <xdr:rowOff>0</xdr:rowOff>
              </to>
            </anchor>
          </objectPr>
        </oleObject>
      </mc:Choice>
      <mc:Fallback>
        <oleObject progId="Equation.3" shapeId="14453" r:id="rId30"/>
      </mc:Fallback>
    </mc:AlternateContent>
    <mc:AlternateContent xmlns:mc="http://schemas.openxmlformats.org/markup-compatibility/2006">
      <mc:Choice Requires="x14">
        <oleObject progId="Equation.3" shapeId="14504" r:id="rId32">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4504" r:id="rId32"/>
      </mc:Fallback>
    </mc:AlternateContent>
    <mc:AlternateContent xmlns:mc="http://schemas.openxmlformats.org/markup-compatibility/2006">
      <mc:Choice Requires="x14">
        <oleObject progId="Equation.3" shapeId="14505" r:id="rId33">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4505" r:id="rId33"/>
      </mc:Fallback>
    </mc:AlternateContent>
    <mc:AlternateContent xmlns:mc="http://schemas.openxmlformats.org/markup-compatibility/2006">
      <mc:Choice Requires="x14">
        <oleObject progId="Equation.3" shapeId="14512" r:id="rId34">
          <objectPr defaultSize="0" autoPict="0" r:id="rId5">
            <anchor moveWithCells="1" sizeWithCells="1">
              <from>
                <xdr:col>6</xdr:col>
                <xdr:colOff>47625</xdr:colOff>
                <xdr:row>146</xdr:row>
                <xdr:rowOff>66675</xdr:rowOff>
              </from>
              <to>
                <xdr:col>8</xdr:col>
                <xdr:colOff>180975</xdr:colOff>
                <xdr:row>148</xdr:row>
                <xdr:rowOff>123825</xdr:rowOff>
              </to>
            </anchor>
          </objectPr>
        </oleObject>
      </mc:Choice>
      <mc:Fallback>
        <oleObject progId="Equation.3" shapeId="14512" r:id="rId34"/>
      </mc:Fallback>
    </mc:AlternateContent>
    <mc:AlternateContent xmlns:mc="http://schemas.openxmlformats.org/markup-compatibility/2006">
      <mc:Choice Requires="x14">
        <oleObject progId="Equation.3" shapeId="14513" r:id="rId35">
          <objectPr defaultSize="0" autoPict="0" r:id="rId7">
            <anchor moveWithCells="1" sizeWithCells="1">
              <from>
                <xdr:col>6</xdr:col>
                <xdr:colOff>200025</xdr:colOff>
                <xdr:row>149</xdr:row>
                <xdr:rowOff>19050</xdr:rowOff>
              </from>
              <to>
                <xdr:col>8</xdr:col>
                <xdr:colOff>9525</xdr:colOff>
                <xdr:row>151</xdr:row>
                <xdr:rowOff>85725</xdr:rowOff>
              </to>
            </anchor>
          </objectPr>
        </oleObject>
      </mc:Choice>
      <mc:Fallback>
        <oleObject progId="Equation.3" shapeId="14513" r:id="rId35"/>
      </mc:Fallback>
    </mc:AlternateContent>
  </oleObjects>
  <mc:AlternateContent xmlns:mc="http://schemas.openxmlformats.org/markup-compatibility/2006">
    <mc:Choice Requires="x14">
      <controls>
        <mc:AlternateContent xmlns:mc="http://schemas.openxmlformats.org/markup-compatibility/2006">
          <mc:Choice Requires="x14">
            <control shapeId="14366" r:id="rId36" name="Drop Down 30">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4367" r:id="rId37" name="Drop Down 31">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4368" r:id="rId38" name="Drop Down 32">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369" r:id="rId39" name="Drop Down 33">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4457" r:id="rId40" name="Check Box 121">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4498" r:id="rId41" name="Button 162">
              <controlPr defaultSize="0" print="0" autoFill="0" autoPict="0" macro="[0]!Hoja1.Resolver1">
                <anchor moveWithCells="1" sizeWithCells="1">
                  <from>
                    <xdr:col>7</xdr:col>
                    <xdr:colOff>209550</xdr:colOff>
                    <xdr:row>273</xdr:row>
                    <xdr:rowOff>47625</xdr:rowOff>
                  </from>
                  <to>
                    <xdr:col>8</xdr:col>
                    <xdr:colOff>619125</xdr:colOff>
                    <xdr:row>274</xdr:row>
                    <xdr:rowOff>85725</xdr:rowOff>
                  </to>
                </anchor>
              </controlPr>
            </control>
          </mc:Choice>
        </mc:AlternateContent>
        <mc:AlternateContent xmlns:mc="http://schemas.openxmlformats.org/markup-compatibility/2006">
          <mc:Choice Requires="x14">
            <control shapeId="14499" r:id="rId42" name="Button 163">
              <controlPr defaultSize="0" print="0" autoFill="0" autoPict="0" macro="[0]!Boton_Cambia_Estanque">
                <anchor moveWithCells="1" sizeWithCells="1">
                  <from>
                    <xdr:col>7</xdr:col>
                    <xdr:colOff>142875</xdr:colOff>
                    <xdr:row>254</xdr:row>
                    <xdr:rowOff>85725</xdr:rowOff>
                  </from>
                  <to>
                    <xdr:col>8</xdr:col>
                    <xdr:colOff>571500</xdr:colOff>
                    <xdr:row>256</xdr:row>
                    <xdr:rowOff>76200</xdr:rowOff>
                  </to>
                </anchor>
              </controlPr>
            </control>
          </mc:Choice>
        </mc:AlternateContent>
        <mc:AlternateContent xmlns:mc="http://schemas.openxmlformats.org/markup-compatibility/2006">
          <mc:Choice Requires="x14">
            <control shapeId="14500" r:id="rId43" name="Drop Down 164">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4501" r:id="rId44" name="Drop Down 165">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4502" r:id="rId45" name="Drop Down 166">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503" r:id="rId46" name="Drop Down 167">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4507" r:id="rId47" name="Check Box 171">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4508" r:id="rId48" name="Drop Down 172">
              <controlPr defaultSize="0" autoLine="0" autoPict="0">
                <anchor moveWithCells="1">
                  <from>
                    <xdr:col>4</xdr:col>
                    <xdr:colOff>95250</xdr:colOff>
                    <xdr:row>104</xdr:row>
                    <xdr:rowOff>152400</xdr:rowOff>
                  </from>
                  <to>
                    <xdr:col>5</xdr:col>
                    <xdr:colOff>190500</xdr:colOff>
                    <xdr:row>106</xdr:row>
                    <xdr:rowOff>19050</xdr:rowOff>
                  </to>
                </anchor>
              </controlPr>
            </control>
          </mc:Choice>
        </mc:AlternateContent>
        <mc:AlternateContent xmlns:mc="http://schemas.openxmlformats.org/markup-compatibility/2006">
          <mc:Choice Requires="x14">
            <control shapeId="14509" r:id="rId49" name="Drop Down 173">
              <controlPr defaultSize="0" autoLine="0" autoPict="0">
                <anchor moveWithCells="1">
                  <from>
                    <xdr:col>4</xdr:col>
                    <xdr:colOff>95250</xdr:colOff>
                    <xdr:row>102</xdr:row>
                    <xdr:rowOff>152400</xdr:rowOff>
                  </from>
                  <to>
                    <xdr:col>5</xdr:col>
                    <xdr:colOff>190500</xdr:colOff>
                    <xdr:row>104</xdr:row>
                    <xdr:rowOff>28575</xdr:rowOff>
                  </to>
                </anchor>
              </controlPr>
            </control>
          </mc:Choice>
        </mc:AlternateContent>
        <mc:AlternateContent xmlns:mc="http://schemas.openxmlformats.org/markup-compatibility/2006">
          <mc:Choice Requires="x14">
            <control shapeId="14510" r:id="rId50" name="Drop Down 174">
              <controlPr defaultSize="0" autoLine="0" autoPict="0">
                <anchor moveWithCells="1">
                  <from>
                    <xdr:col>4</xdr:col>
                    <xdr:colOff>95250</xdr:colOff>
                    <xdr:row>110</xdr:row>
                    <xdr:rowOff>38100</xdr:rowOff>
                  </from>
                  <to>
                    <xdr:col>5</xdr:col>
                    <xdr:colOff>190500</xdr:colOff>
                    <xdr:row>111</xdr:row>
                    <xdr:rowOff>76200</xdr:rowOff>
                  </to>
                </anchor>
              </controlPr>
            </control>
          </mc:Choice>
        </mc:AlternateContent>
        <mc:AlternateContent xmlns:mc="http://schemas.openxmlformats.org/markup-compatibility/2006">
          <mc:Choice Requires="x14">
            <control shapeId="14511" r:id="rId51" name="Drop Down 175">
              <controlPr defaultSize="0" autoLine="0" autoPict="0">
                <anchor moveWithCells="1">
                  <from>
                    <xdr:col>3</xdr:col>
                    <xdr:colOff>619125</xdr:colOff>
                    <xdr:row>91</xdr:row>
                    <xdr:rowOff>142875</xdr:rowOff>
                  </from>
                  <to>
                    <xdr:col>5</xdr:col>
                    <xdr:colOff>209550</xdr:colOff>
                    <xdr:row>93</xdr:row>
                    <xdr:rowOff>0</xdr:rowOff>
                  </to>
                </anchor>
              </controlPr>
            </control>
          </mc:Choice>
        </mc:AlternateContent>
        <mc:AlternateContent xmlns:mc="http://schemas.openxmlformats.org/markup-compatibility/2006">
          <mc:Choice Requires="x14">
            <control shapeId="14515" r:id="rId52" name="Check Box 179">
              <controlPr defaultSize="0" autoFill="0" autoLine="0" autoPict="0">
                <anchor moveWithCells="1">
                  <from>
                    <xdr:col>0</xdr:col>
                    <xdr:colOff>552450</xdr:colOff>
                    <xdr:row>148</xdr:row>
                    <xdr:rowOff>95250</xdr:rowOff>
                  </from>
                  <to>
                    <xdr:col>3</xdr:col>
                    <xdr:colOff>9525</xdr:colOff>
                    <xdr:row>149</xdr:row>
                    <xdr:rowOff>142875</xdr:rowOff>
                  </to>
                </anchor>
              </controlPr>
            </control>
          </mc:Choice>
        </mc:AlternateContent>
        <mc:AlternateContent xmlns:mc="http://schemas.openxmlformats.org/markup-compatibility/2006">
          <mc:Choice Requires="x14">
            <control shapeId="14516" r:id="rId53" name="Drop Down 180">
              <controlPr defaultSize="0" autoLine="0" autoPict="0" macro="[0]!Genera_Capas">
                <anchor moveWithCells="1">
                  <from>
                    <xdr:col>3</xdr:col>
                    <xdr:colOff>85725</xdr:colOff>
                    <xdr:row>153</xdr:row>
                    <xdr:rowOff>133350</xdr:rowOff>
                  </from>
                  <to>
                    <xdr:col>3</xdr:col>
                    <xdr:colOff>504825</xdr:colOff>
                    <xdr:row>153</xdr:row>
                    <xdr:rowOff>333375</xdr:rowOff>
                  </to>
                </anchor>
              </controlPr>
            </control>
          </mc:Choice>
        </mc:AlternateContent>
        <mc:AlternateContent xmlns:mc="http://schemas.openxmlformats.org/markup-compatibility/2006">
          <mc:Choice Requires="x14">
            <control shapeId="14558" r:id="rId54" name="Drop Down 222">
              <controlPr defaultSize="0" autoLine="0" autoPict="0" macro="[0]!Techo">
                <anchor moveWithCells="1">
                  <from>
                    <xdr:col>1</xdr:col>
                    <xdr:colOff>38100</xdr:colOff>
                    <xdr:row>122</xdr:row>
                    <xdr:rowOff>38100</xdr:rowOff>
                  </from>
                  <to>
                    <xdr:col>5</xdr:col>
                    <xdr:colOff>514350</xdr:colOff>
                    <xdr:row>123</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vt:i4>
      </vt:variant>
    </vt:vector>
  </HeadingPairs>
  <TitlesOfParts>
    <vt:vector size="9" baseType="lpstr">
      <vt:lpstr>Estanque Anillo Continuo</vt:lpstr>
      <vt:lpstr>Estanque Silla Aislada</vt:lpstr>
      <vt:lpstr>Estanque No Anclado</vt:lpstr>
      <vt:lpstr>'Estanque Anillo Continuo'!Área_de_impresión</vt:lpstr>
      <vt:lpstr>'Estanque No Anclado'!Área_de_impresión</vt:lpstr>
      <vt:lpstr>'Estanque Silla Aislada'!Área_de_impresión</vt:lpstr>
      <vt:lpstr>'Estanque Anillo Continuo'!Títulos_a_imprimir</vt:lpstr>
      <vt:lpstr>'Estanque No Anclado'!Títulos_a_imprimir</vt:lpstr>
      <vt:lpstr>'Estanque Silla Aislada'!Títulos_a_imprimir</vt:lpstr>
    </vt:vector>
  </TitlesOfParts>
  <Company>ARA 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Hurtado</dc:creator>
  <cp:lastModifiedBy>Francisco Carrasco</cp:lastModifiedBy>
  <cp:lastPrinted>2016-03-26T14:21:00Z</cp:lastPrinted>
  <dcterms:created xsi:type="dcterms:W3CDTF">2002-10-16T21:21:16Z</dcterms:created>
  <dcterms:modified xsi:type="dcterms:W3CDTF">2026-04-10T17:05:05Z</dcterms:modified>
</cp:coreProperties>
</file>