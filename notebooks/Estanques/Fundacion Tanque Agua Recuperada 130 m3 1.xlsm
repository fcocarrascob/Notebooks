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cisco.carrasco\Downloads\"/>
    </mc:Choice>
  </mc:AlternateContent>
  <xr:revisionPtr revIDLastSave="0" documentId="13_ncr:1_{DB589C2E-85B1-4BC2-AFFF-3FA627C72F82}" xr6:coauthVersionLast="47" xr6:coauthVersionMax="47" xr10:uidLastSave="{00000000-0000-0000-0000-000000000000}"/>
  <bookViews>
    <workbookView xWindow="-108" yWindow="-108" windowWidth="23256" windowHeight="12456" xr2:uid="{60F086A5-24E1-4106-93CE-A46D4760A386}"/>
  </bookViews>
  <sheets>
    <sheet name="FANULAR_RES" sheetId="10" r:id="rId1"/>
    <sheet name="FANULAR" sheetId="7" r:id="rId2"/>
    <sheet name="VARS" sheetId="2" r:id="rId3"/>
    <sheet name="acero por ml" sheetId="9" r:id="rId4"/>
  </sheets>
  <definedNames>
    <definedName name="_xlnm.Print_Area" localSheetId="3">'acero por ml'!$B$1:$L$55</definedName>
    <definedName name="_xlnm.Print_Area" localSheetId="1">FANULAR!$A:$Q</definedName>
    <definedName name="_xlnm.Print_Area" localSheetId="0">FANULAR_RES!$A$1:$Q$827</definedName>
    <definedName name="Print_Area_MI" localSheetId="1">#REF!</definedName>
    <definedName name="Print_Area_MI" localSheetId="0">#REF!</definedName>
    <definedName name="Print_Area_MI">#REF!</definedName>
    <definedName name="solver_adj" localSheetId="1" hidden="1">FANULAR!#REF!</definedName>
    <definedName name="solver_adj" localSheetId="0" hidden="1">FANULAR_RES!#REF!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in" localSheetId="1" hidden="1">2</definedName>
    <definedName name="solver_lin" localSheetId="0" hidden="1">2</definedName>
    <definedName name="solver_neg" localSheetId="1" hidden="1">2</definedName>
    <definedName name="solver_neg" localSheetId="0" hidden="1">2</definedName>
    <definedName name="solver_num" localSheetId="1" hidden="1">0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FANULAR!#REF!</definedName>
    <definedName name="solver_opt" localSheetId="0" hidden="1">FANULAR_RES!#REF!</definedName>
    <definedName name="solver_pre" localSheetId="1" hidden="1">0.000001</definedName>
    <definedName name="solver_pre" localSheetId="0" hidden="1">0.000001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tim" localSheetId="1" hidden="1">100</definedName>
    <definedName name="solver_tim" localSheetId="0" hidden="1">100</definedName>
    <definedName name="solver_tol" localSheetId="1" hidden="1">0.05</definedName>
    <definedName name="solver_tol" localSheetId="0" hidden="1">0.05</definedName>
    <definedName name="solver_typ" localSheetId="1" hidden="1">3</definedName>
    <definedName name="solver_typ" localSheetId="0" hidden="1">3</definedName>
    <definedName name="solver_val" localSheetId="1" hidden="1">0</definedName>
    <definedName name="solver_val" localSheetId="0" hidden="1">0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17" i="10" l="1"/>
  <c r="H421" i="10"/>
  <c r="J421" i="10"/>
  <c r="P254" i="10"/>
  <c r="E317" i="10"/>
  <c r="E71" i="10"/>
  <c r="E312" i="10"/>
  <c r="E316" i="10"/>
  <c r="E318" i="10"/>
  <c r="E319" i="10"/>
  <c r="F100" i="10"/>
  <c r="E102" i="10"/>
  <c r="P332" i="10"/>
  <c r="I346" i="10"/>
  <c r="E309" i="10"/>
  <c r="P349" i="10"/>
  <c r="I338" i="10"/>
  <c r="E320" i="10"/>
  <c r="P341" i="10"/>
  <c r="P352" i="10"/>
  <c r="E72" i="10"/>
  <c r="I357" i="10"/>
  <c r="P359" i="10"/>
  <c r="E73" i="10"/>
  <c r="E74" i="10"/>
  <c r="P120" i="10"/>
  <c r="E80" i="10"/>
  <c r="E81" i="10"/>
  <c r="P127" i="10"/>
  <c r="P362" i="10"/>
  <c r="P375" i="10"/>
  <c r="P431" i="10"/>
  <c r="E322" i="10"/>
  <c r="E324" i="10"/>
  <c r="G419" i="10"/>
  <c r="P380" i="10"/>
  <c r="P434" i="10"/>
  <c r="P132" i="10"/>
  <c r="Y210" i="10"/>
  <c r="P112" i="10"/>
  <c r="P114" i="10"/>
  <c r="Y208" i="10"/>
  <c r="P209" i="10"/>
  <c r="F155" i="10"/>
  <c r="P172" i="10"/>
  <c r="P171" i="10"/>
  <c r="E188" i="10"/>
  <c r="E190" i="10"/>
  <c r="P220" i="10"/>
  <c r="P194" i="10"/>
  <c r="P198" i="10"/>
  <c r="E201" i="10"/>
  <c r="F203" i="10"/>
  <c r="P215" i="10"/>
  <c r="P222" i="10"/>
  <c r="P224" i="10"/>
  <c r="P436" i="10"/>
  <c r="E310" i="10"/>
  <c r="H473" i="10"/>
  <c r="I473" i="10"/>
  <c r="P377" i="10"/>
  <c r="P382" i="10"/>
  <c r="I421" i="10"/>
  <c r="E57" i="10"/>
  <c r="P174" i="10"/>
  <c r="E77" i="10"/>
  <c r="P167" i="10"/>
  <c r="E182" i="10"/>
  <c r="E499" i="10"/>
  <c r="H531" i="10"/>
  <c r="P533" i="10"/>
  <c r="S37" i="10"/>
  <c r="S39" i="10"/>
  <c r="F650" i="10"/>
  <c r="E498" i="10"/>
  <c r="AM486" i="10"/>
  <c r="AN485" i="10"/>
  <c r="AM485" i="10"/>
  <c r="AN484" i="10"/>
  <c r="AM484" i="10"/>
  <c r="AN483" i="10"/>
  <c r="AM483" i="10"/>
  <c r="AN482" i="10"/>
  <c r="AM482" i="10"/>
  <c r="AN481" i="10"/>
  <c r="AM481" i="10"/>
  <c r="AN480" i="10"/>
  <c r="AM480" i="10"/>
  <c r="AN479" i="10"/>
  <c r="AM479" i="10"/>
  <c r="AN478" i="10"/>
  <c r="AM478" i="10"/>
  <c r="AN477" i="10"/>
  <c r="AM477" i="10"/>
  <c r="AN476" i="10"/>
  <c r="AM476" i="10"/>
  <c r="AN475" i="10"/>
  <c r="AM475" i="10"/>
  <c r="AN474" i="10"/>
  <c r="AM474" i="10"/>
  <c r="AN473" i="10"/>
  <c r="AM473" i="10"/>
  <c r="AN472" i="10"/>
  <c r="AM472" i="10"/>
  <c r="AN471" i="10"/>
  <c r="AM471" i="10"/>
  <c r="AN470" i="10"/>
  <c r="AM470" i="10"/>
  <c r="AN469" i="10"/>
  <c r="AM469" i="10"/>
  <c r="AN468" i="10"/>
  <c r="AM468" i="10"/>
  <c r="AN467" i="10"/>
  <c r="AM467" i="10"/>
  <c r="AN466" i="10"/>
  <c r="AM466" i="10"/>
  <c r="AG486" i="10"/>
  <c r="AF486" i="10"/>
  <c r="AE486" i="10"/>
  <c r="AD486" i="10"/>
  <c r="AC486" i="10"/>
  <c r="AB486" i="10"/>
  <c r="AA486" i="10"/>
  <c r="E664" i="10"/>
  <c r="H612" i="10"/>
  <c r="F612" i="10"/>
  <c r="H542" i="10"/>
  <c r="H544" i="10"/>
  <c r="F631" i="10"/>
  <c r="F812" i="10"/>
  <c r="F811" i="10"/>
  <c r="G736" i="10"/>
  <c r="E736" i="10"/>
  <c r="H674" i="10"/>
  <c r="F706" i="10"/>
  <c r="F674" i="10"/>
  <c r="F676" i="10"/>
  <c r="F704" i="10"/>
  <c r="F705" i="10"/>
  <c r="E663" i="10"/>
  <c r="E745" i="10"/>
  <c r="H650" i="10"/>
  <c r="F614" i="10"/>
  <c r="F583" i="10"/>
  <c r="F585" i="10"/>
  <c r="E495" i="10"/>
  <c r="F627" i="10"/>
  <c r="G466" i="10"/>
  <c r="G412" i="10"/>
  <c r="E744" i="10"/>
  <c r="E753" i="10"/>
  <c r="J577" i="10"/>
  <c r="F601" i="10"/>
  <c r="E311" i="10"/>
  <c r="J571" i="10"/>
  <c r="J573" i="10"/>
  <c r="J572" i="10"/>
  <c r="F161" i="10"/>
  <c r="J184" i="10"/>
  <c r="F157" i="10"/>
  <c r="P165" i="10"/>
  <c r="E147" i="10"/>
  <c r="E146" i="10"/>
  <c r="E139" i="10"/>
  <c r="F93" i="10"/>
  <c r="E89" i="10"/>
  <c r="J575" i="10"/>
  <c r="E78" i="10"/>
  <c r="E267" i="10"/>
  <c r="E268" i="10"/>
  <c r="E76" i="10"/>
  <c r="E313" i="10"/>
  <c r="Y232" i="10"/>
  <c r="AM460" i="10"/>
  <c r="AG460" i="10"/>
  <c r="AF460" i="10"/>
  <c r="AE460" i="10"/>
  <c r="AD460" i="10"/>
  <c r="AC460" i="10"/>
  <c r="AB460" i="10"/>
  <c r="AA460" i="10"/>
  <c r="AN459" i="10"/>
  <c r="AM459" i="10"/>
  <c r="AN458" i="10"/>
  <c r="AM458" i="10"/>
  <c r="AN457" i="10"/>
  <c r="AM457" i="10"/>
  <c r="AN456" i="10"/>
  <c r="AM456" i="10"/>
  <c r="AN455" i="10"/>
  <c r="AM455" i="10"/>
  <c r="AN454" i="10"/>
  <c r="AM454" i="10"/>
  <c r="AN453" i="10"/>
  <c r="AM453" i="10"/>
  <c r="AN452" i="10"/>
  <c r="AM452" i="10"/>
  <c r="AN451" i="10"/>
  <c r="AM451" i="10"/>
  <c r="AN450" i="10"/>
  <c r="AM450" i="10"/>
  <c r="AN449" i="10"/>
  <c r="AM449" i="10"/>
  <c r="AN448" i="10"/>
  <c r="AM448" i="10"/>
  <c r="AN447" i="10"/>
  <c r="AM447" i="10"/>
  <c r="AN446" i="10"/>
  <c r="AM446" i="10"/>
  <c r="AN445" i="10"/>
  <c r="AM445" i="10"/>
  <c r="AN444" i="10"/>
  <c r="AM444" i="10"/>
  <c r="AF440" i="10"/>
  <c r="AE440" i="10"/>
  <c r="AD440" i="10"/>
  <c r="AC440" i="10"/>
  <c r="AB440" i="10"/>
  <c r="AA440" i="10"/>
  <c r="AG439" i="10"/>
  <c r="AF439" i="10"/>
  <c r="AE439" i="10"/>
  <c r="AD439" i="10"/>
  <c r="AC439" i="10"/>
  <c r="AB439" i="10"/>
  <c r="AM432" i="10"/>
  <c r="AG432" i="10"/>
  <c r="AF432" i="10"/>
  <c r="AE432" i="10"/>
  <c r="AD432" i="10"/>
  <c r="AC432" i="10"/>
  <c r="AB432" i="10"/>
  <c r="AA432" i="10"/>
  <c r="AN431" i="10"/>
  <c r="AM431" i="10"/>
  <c r="AN430" i="10"/>
  <c r="AM430" i="10"/>
  <c r="AN429" i="10"/>
  <c r="AM429" i="10"/>
  <c r="AN428" i="10"/>
  <c r="AM428" i="10"/>
  <c r="AN427" i="10"/>
  <c r="AM427" i="10"/>
  <c r="AN426" i="10"/>
  <c r="AM426" i="10"/>
  <c r="AN425" i="10"/>
  <c r="AM425" i="10"/>
  <c r="AN424" i="10"/>
  <c r="AM424" i="10"/>
  <c r="AN423" i="10"/>
  <c r="AM423" i="10"/>
  <c r="AN422" i="10"/>
  <c r="AM422" i="10"/>
  <c r="AN421" i="10"/>
  <c r="AM421" i="10"/>
  <c r="AN420" i="10"/>
  <c r="AM420" i="10"/>
  <c r="AN419" i="10"/>
  <c r="AM419" i="10"/>
  <c r="AN418" i="10"/>
  <c r="AM418" i="10"/>
  <c r="AN417" i="10"/>
  <c r="AM417" i="10"/>
  <c r="AN416" i="10"/>
  <c r="AM416" i="10"/>
  <c r="AN415" i="10"/>
  <c r="AM415" i="10"/>
  <c r="AN414" i="10"/>
  <c r="AM414" i="10"/>
  <c r="AN413" i="10"/>
  <c r="AM413" i="10"/>
  <c r="AN412" i="10"/>
  <c r="AM412" i="10"/>
  <c r="AM406" i="10"/>
  <c r="AG406" i="10"/>
  <c r="AF406" i="10"/>
  <c r="AE406" i="10"/>
  <c r="AD406" i="10"/>
  <c r="AC406" i="10"/>
  <c r="AB406" i="10"/>
  <c r="AA406" i="10"/>
  <c r="AN405" i="10"/>
  <c r="AM405" i="10"/>
  <c r="AN404" i="10"/>
  <c r="AM404" i="10"/>
  <c r="AN403" i="10"/>
  <c r="AM403" i="10"/>
  <c r="AN402" i="10"/>
  <c r="AM402" i="10"/>
  <c r="AN401" i="10"/>
  <c r="AM401" i="10"/>
  <c r="AN400" i="10"/>
  <c r="AM400" i="10"/>
  <c r="AN399" i="10"/>
  <c r="AM399" i="10"/>
  <c r="AN398" i="10"/>
  <c r="AM398" i="10"/>
  <c r="AN397" i="10"/>
  <c r="AM397" i="10"/>
  <c r="AN396" i="10"/>
  <c r="AM396" i="10"/>
  <c r="AN395" i="10"/>
  <c r="AM395" i="10"/>
  <c r="AN394" i="10"/>
  <c r="AM394" i="10"/>
  <c r="AN393" i="10"/>
  <c r="AM393" i="10"/>
  <c r="AN392" i="10"/>
  <c r="AM392" i="10"/>
  <c r="AN391" i="10"/>
  <c r="AM391" i="10"/>
  <c r="AN390" i="10"/>
  <c r="AM390" i="10"/>
  <c r="AF386" i="10"/>
  <c r="AE386" i="10"/>
  <c r="AD386" i="10"/>
  <c r="AC386" i="10"/>
  <c r="AB386" i="10"/>
  <c r="AA386" i="10"/>
  <c r="AG385" i="10"/>
  <c r="AF385" i="10"/>
  <c r="AE385" i="10"/>
  <c r="AD385" i="10"/>
  <c r="AC385" i="10"/>
  <c r="AB385" i="10"/>
  <c r="P176" i="10"/>
  <c r="L184" i="10"/>
  <c r="J612" i="10"/>
  <c r="J650" i="10"/>
  <c r="F813" i="10"/>
  <c r="F630" i="10"/>
  <c r="E662" i="10"/>
  <c r="E665" i="10"/>
  <c r="F677" i="10"/>
  <c r="F678" i="10"/>
  <c r="J674" i="10"/>
  <c r="I736" i="10"/>
  <c r="G753" i="10"/>
  <c r="E271" i="10"/>
  <c r="P250" i="10"/>
  <c r="P149" i="10"/>
  <c r="F790" i="10"/>
  <c r="E497" i="10"/>
  <c r="F629" i="10"/>
  <c r="F637" i="10"/>
  <c r="F800" i="10"/>
  <c r="H498" i="10"/>
  <c r="H518" i="10"/>
  <c r="F802" i="10"/>
  <c r="E496" i="10"/>
  <c r="E738" i="10"/>
  <c r="F700" i="10"/>
  <c r="F616" i="10"/>
  <c r="F654" i="10"/>
  <c r="F792" i="10"/>
  <c r="F808" i="10"/>
  <c r="E482" i="10"/>
  <c r="E105" i="10"/>
  <c r="Y234" i="10"/>
  <c r="Y233" i="10"/>
  <c r="E97" i="10"/>
  <c r="E96" i="10"/>
  <c r="E272" i="10"/>
  <c r="J576" i="10"/>
  <c r="F592" i="10"/>
  <c r="F593" i="10"/>
  <c r="E323" i="10"/>
  <c r="BA390" i="10"/>
  <c r="E82" i="10"/>
  <c r="E270" i="10"/>
  <c r="P141" i="10"/>
  <c r="E661" i="10"/>
  <c r="F694" i="10"/>
  <c r="P708" i="10"/>
  <c r="P232" i="10"/>
  <c r="E314" i="10"/>
  <c r="E483" i="10"/>
  <c r="E500" i="10"/>
  <c r="F594" i="10"/>
  <c r="F599" i="10"/>
  <c r="F600" i="10"/>
  <c r="P169" i="10"/>
  <c r="E746" i="10"/>
  <c r="H469" i="7"/>
  <c r="F749" i="7"/>
  <c r="F751" i="7"/>
  <c r="F728" i="7"/>
  <c r="F744" i="7"/>
  <c r="F745" i="7"/>
  <c r="F743" i="7"/>
  <c r="F736" i="7"/>
  <c r="O498" i="10"/>
  <c r="O41" i="10"/>
  <c r="N41" i="10"/>
  <c r="H654" i="10"/>
  <c r="F815" i="10"/>
  <c r="F656" i="10"/>
  <c r="H656" i="10"/>
  <c r="F617" i="10"/>
  <c r="F680" i="10"/>
  <c r="H680" i="10"/>
  <c r="N47" i="10"/>
  <c r="P487" i="10"/>
  <c r="H499" i="10"/>
  <c r="P246" i="10"/>
  <c r="H520" i="10"/>
  <c r="F804" i="10"/>
  <c r="F628" i="10"/>
  <c r="G452" i="10"/>
  <c r="BA389" i="10"/>
  <c r="AW401" i="10"/>
  <c r="F807" i="10"/>
  <c r="F809" i="10"/>
  <c r="BA443" i="10"/>
  <c r="AV458" i="10"/>
  <c r="Z240" i="10"/>
  <c r="P240" i="10"/>
  <c r="Y209" i="10"/>
  <c r="D392" i="10"/>
  <c r="AH389" i="10"/>
  <c r="AJ389" i="10"/>
  <c r="BA444" i="10"/>
  <c r="D446" i="10"/>
  <c r="AH443" i="10"/>
  <c r="AJ443" i="10"/>
  <c r="AK443" i="10"/>
  <c r="G398" i="10"/>
  <c r="F669" i="10"/>
  <c r="F606" i="10"/>
  <c r="F607" i="10"/>
  <c r="F632" i="10"/>
  <c r="H500" i="10"/>
  <c r="O500" i="10"/>
  <c r="F726" i="7"/>
  <c r="N59" i="2"/>
  <c r="U63" i="2"/>
  <c r="I672" i="7"/>
  <c r="E681" i="7"/>
  <c r="E680" i="7"/>
  <c r="E689" i="7"/>
  <c r="E674" i="7"/>
  <c r="F642" i="7"/>
  <c r="O499" i="10"/>
  <c r="N42" i="10"/>
  <c r="O42" i="10"/>
  <c r="AV405" i="10"/>
  <c r="AV404" i="10"/>
  <c r="AH465" i="10"/>
  <c r="AJ465" i="10"/>
  <c r="AK465" i="10"/>
  <c r="AX403" i="10"/>
  <c r="F619" i="10"/>
  <c r="AV402" i="10"/>
  <c r="P366" i="10"/>
  <c r="F638" i="10"/>
  <c r="F639" i="10"/>
  <c r="F645" i="10"/>
  <c r="AW456" i="10"/>
  <c r="AW402" i="10"/>
  <c r="AT389" i="10"/>
  <c r="AW404" i="10"/>
  <c r="AW455" i="10"/>
  <c r="AX457" i="10"/>
  <c r="AW458" i="10"/>
  <c r="P262" i="10"/>
  <c r="AH411" i="10"/>
  <c r="AJ411" i="10"/>
  <c r="AV459" i="10"/>
  <c r="AV456" i="10"/>
  <c r="AT443" i="10"/>
  <c r="AT457" i="10"/>
  <c r="F682" i="10"/>
  <c r="H678" i="10"/>
  <c r="I678" i="10"/>
  <c r="AJ460" i="10"/>
  <c r="AJ451" i="10"/>
  <c r="AJ447" i="10"/>
  <c r="AJ398" i="10"/>
  <c r="AK389" i="10"/>
  <c r="AJ452" i="10"/>
  <c r="AJ448" i="10"/>
  <c r="AJ449" i="10"/>
  <c r="AJ400" i="10"/>
  <c r="AJ390" i="10"/>
  <c r="AJ454" i="10"/>
  <c r="AJ444" i="10"/>
  <c r="AJ396" i="10"/>
  <c r="AJ392" i="10"/>
  <c r="AJ391" i="10"/>
  <c r="AJ450" i="10"/>
  <c r="AJ446" i="10"/>
  <c r="AJ445" i="10"/>
  <c r="AJ459" i="10"/>
  <c r="AJ458" i="10"/>
  <c r="AJ457" i="10"/>
  <c r="AJ456" i="10"/>
  <c r="AJ455" i="10"/>
  <c r="AJ404" i="10"/>
  <c r="AJ393" i="10"/>
  <c r="AJ397" i="10"/>
  <c r="AJ453" i="10"/>
  <c r="AJ405" i="10"/>
  <c r="AJ401" i="10"/>
  <c r="AJ394" i="10"/>
  <c r="AJ406" i="10"/>
  <c r="AJ403" i="10"/>
  <c r="AJ399" i="10"/>
  <c r="AJ402" i="10"/>
  <c r="AJ395" i="10"/>
  <c r="G689" i="7"/>
  <c r="E682" i="7"/>
  <c r="F636" i="7"/>
  <c r="Q5" i="2"/>
  <c r="P507" i="10"/>
  <c r="F798" i="10"/>
  <c r="F799" i="10"/>
  <c r="AJ422" i="10"/>
  <c r="AJ477" i="10"/>
  <c r="AJ479" i="10"/>
  <c r="AJ481" i="10"/>
  <c r="AJ483" i="10"/>
  <c r="AJ485" i="10"/>
  <c r="AJ471" i="10"/>
  <c r="AJ473" i="10"/>
  <c r="AJ475" i="10"/>
  <c r="AJ467" i="10"/>
  <c r="AJ469" i="10"/>
  <c r="AJ478" i="10"/>
  <c r="AJ480" i="10"/>
  <c r="AJ482" i="10"/>
  <c r="AJ484" i="10"/>
  <c r="AJ486" i="10"/>
  <c r="AJ472" i="10"/>
  <c r="AJ474" i="10"/>
  <c r="AJ476" i="10"/>
  <c r="AJ468" i="10"/>
  <c r="F696" i="10"/>
  <c r="U711" i="10"/>
  <c r="F713" i="10"/>
  <c r="F652" i="10"/>
  <c r="H652" i="10"/>
  <c r="H619" i="10"/>
  <c r="H682" i="10"/>
  <c r="O16" i="10"/>
  <c r="AT403" i="10"/>
  <c r="AJ423" i="10"/>
  <c r="AJ421" i="10"/>
  <c r="AJ419" i="10"/>
  <c r="AJ466" i="10"/>
  <c r="AJ428" i="10"/>
  <c r="AK411" i="10"/>
  <c r="AJ420" i="10"/>
  <c r="AJ413" i="10"/>
  <c r="AJ432" i="10"/>
  <c r="AJ415" i="10"/>
  <c r="AJ427" i="10"/>
  <c r="AJ414" i="10"/>
  <c r="AJ430" i="10"/>
  <c r="AJ431" i="10"/>
  <c r="AJ426" i="10"/>
  <c r="AJ425" i="10"/>
  <c r="AJ416" i="10"/>
  <c r="AJ429" i="10"/>
  <c r="AJ418" i="10"/>
  <c r="AJ412" i="10"/>
  <c r="AJ424" i="10"/>
  <c r="AJ417" i="10"/>
  <c r="AJ470" i="10"/>
  <c r="AK452" i="10"/>
  <c r="AH452" i="10"/>
  <c r="AK394" i="10"/>
  <c r="AH394" i="10"/>
  <c r="AK453" i="10"/>
  <c r="AH453" i="10"/>
  <c r="AK454" i="10"/>
  <c r="AH454" i="10"/>
  <c r="AK444" i="10"/>
  <c r="AH444" i="10"/>
  <c r="AK396" i="10"/>
  <c r="AH396" i="10"/>
  <c r="AK392" i="10"/>
  <c r="AH392" i="10"/>
  <c r="AK391" i="10"/>
  <c r="AH391" i="10"/>
  <c r="AK450" i="10"/>
  <c r="AH450" i="10"/>
  <c r="AK446" i="10"/>
  <c r="AH446" i="10"/>
  <c r="AK445" i="10"/>
  <c r="AH445" i="10"/>
  <c r="AK405" i="10"/>
  <c r="AH405" i="10"/>
  <c r="AK404" i="10"/>
  <c r="AH404" i="10"/>
  <c r="AK403" i="10"/>
  <c r="AH403" i="10"/>
  <c r="AK402" i="10"/>
  <c r="AH402" i="10"/>
  <c r="AK401" i="10"/>
  <c r="AH401" i="10"/>
  <c r="AK459" i="10"/>
  <c r="AH459" i="10"/>
  <c r="AK458" i="10"/>
  <c r="AH458" i="10"/>
  <c r="AK457" i="10"/>
  <c r="AH457" i="10"/>
  <c r="AK456" i="10"/>
  <c r="AH456" i="10"/>
  <c r="AK455" i="10"/>
  <c r="AH455" i="10"/>
  <c r="AK460" i="10"/>
  <c r="AH460" i="10"/>
  <c r="AK451" i="10"/>
  <c r="AH451" i="10"/>
  <c r="AK447" i="10"/>
  <c r="AH447" i="10"/>
  <c r="AK406" i="10"/>
  <c r="AH406" i="10"/>
  <c r="AK397" i="10"/>
  <c r="AH397" i="10"/>
  <c r="AK390" i="10"/>
  <c r="AH390" i="10"/>
  <c r="AK448" i="10"/>
  <c r="AH448" i="10"/>
  <c r="AK393" i="10"/>
  <c r="AH393" i="10"/>
  <c r="AK399" i="10"/>
  <c r="AH399" i="10"/>
  <c r="AK395" i="10"/>
  <c r="AH395" i="10"/>
  <c r="AK398" i="10"/>
  <c r="AH398" i="10"/>
  <c r="AK449" i="10"/>
  <c r="AH449" i="10"/>
  <c r="AK400" i="10"/>
  <c r="AH400" i="10"/>
  <c r="F612" i="7"/>
  <c r="F640" i="7"/>
  <c r="F641" i="7"/>
  <c r="J610" i="7"/>
  <c r="AK413" i="10"/>
  <c r="AH413" i="10"/>
  <c r="AK478" i="10"/>
  <c r="AH478" i="10"/>
  <c r="AK480" i="10"/>
  <c r="AH480" i="10"/>
  <c r="AK482" i="10"/>
  <c r="AH482" i="10"/>
  <c r="AK484" i="10"/>
  <c r="AH484" i="10"/>
  <c r="AK486" i="10"/>
  <c r="AH486" i="10"/>
  <c r="AK472" i="10"/>
  <c r="AH472" i="10"/>
  <c r="AK474" i="10"/>
  <c r="AH474" i="10"/>
  <c r="AK476" i="10"/>
  <c r="AH476" i="10"/>
  <c r="AK468" i="10"/>
  <c r="AH468" i="10"/>
  <c r="AK477" i="10"/>
  <c r="AH477" i="10"/>
  <c r="AK479" i="10"/>
  <c r="AH479" i="10"/>
  <c r="AK481" i="10"/>
  <c r="AH481" i="10"/>
  <c r="AK483" i="10"/>
  <c r="AH483" i="10"/>
  <c r="AK485" i="10"/>
  <c r="AH485" i="10"/>
  <c r="AK471" i="10"/>
  <c r="AH471" i="10"/>
  <c r="AK473" i="10"/>
  <c r="AH473" i="10"/>
  <c r="AK475" i="10"/>
  <c r="AH475" i="10"/>
  <c r="AK467" i="10"/>
  <c r="AK469" i="10"/>
  <c r="AH469" i="10"/>
  <c r="N46" i="10"/>
  <c r="P682" i="10"/>
  <c r="Q16" i="10"/>
  <c r="AK425" i="10"/>
  <c r="AH425" i="10"/>
  <c r="AK426" i="10"/>
  <c r="AH426" i="10"/>
  <c r="AK428" i="10"/>
  <c r="AH428" i="10"/>
  <c r="AK420" i="10"/>
  <c r="AH420" i="10"/>
  <c r="AK429" i="10"/>
  <c r="AH429" i="10"/>
  <c r="P429" i="10"/>
  <c r="AK431" i="10"/>
  <c r="AH431" i="10"/>
  <c r="G406" i="10"/>
  <c r="AK414" i="10"/>
  <c r="AH414" i="10"/>
  <c r="AK432" i="10"/>
  <c r="AH432" i="10"/>
  <c r="AK415" i="10"/>
  <c r="AH415" i="10"/>
  <c r="AK423" i="10"/>
  <c r="AH423" i="10"/>
  <c r="AK424" i="10"/>
  <c r="AH424" i="10"/>
  <c r="AH467" i="10"/>
  <c r="P438" i="10"/>
  <c r="P440" i="10"/>
  <c r="D443" i="10"/>
  <c r="Z443" i="10"/>
  <c r="AM440" i="10"/>
  <c r="E558" i="10"/>
  <c r="B560" i="10"/>
  <c r="P384" i="10"/>
  <c r="AK416" i="10"/>
  <c r="AH416" i="10"/>
  <c r="AK470" i="10"/>
  <c r="AH470" i="10"/>
  <c r="AK412" i="10"/>
  <c r="AH412" i="10"/>
  <c r="AK427" i="10"/>
  <c r="AH427" i="10"/>
  <c r="AK418" i="10"/>
  <c r="AH418" i="10"/>
  <c r="AK430" i="10"/>
  <c r="AH430" i="10"/>
  <c r="AK422" i="10"/>
  <c r="AH422" i="10"/>
  <c r="AK417" i="10"/>
  <c r="AH417" i="10"/>
  <c r="AK419" i="10"/>
  <c r="AH419" i="10"/>
  <c r="AK466" i="10"/>
  <c r="AH466" i="10"/>
  <c r="AK421" i="10"/>
  <c r="AH421" i="10"/>
  <c r="D825" i="10"/>
  <c r="P509" i="10"/>
  <c r="G460" i="10"/>
  <c r="E597" i="7"/>
  <c r="F630" i="7"/>
  <c r="J586" i="7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4" i="9"/>
  <c r="H13" i="9"/>
  <c r="H12" i="9"/>
  <c r="H11" i="9"/>
  <c r="H10" i="9"/>
  <c r="H9" i="9"/>
  <c r="H8" i="9"/>
  <c r="H7" i="9"/>
  <c r="H6" i="9"/>
  <c r="H5" i="9"/>
  <c r="H4" i="9"/>
  <c r="F566" i="7"/>
  <c r="F567" i="7"/>
  <c r="F563" i="7"/>
  <c r="F552" i="7"/>
  <c r="F616" i="7"/>
  <c r="H616" i="7"/>
  <c r="J515" i="7"/>
  <c r="F532" i="7"/>
  <c r="J514" i="7"/>
  <c r="J513" i="7"/>
  <c r="F523" i="7"/>
  <c r="F524" i="7"/>
  <c r="K63" i="2"/>
  <c r="F586" i="10"/>
  <c r="F587" i="10"/>
  <c r="J509" i="7"/>
  <c r="J511" i="7"/>
  <c r="J510" i="7"/>
  <c r="H480" i="7"/>
  <c r="H482" i="7"/>
  <c r="H456" i="7"/>
  <c r="H436" i="7"/>
  <c r="O436" i="7"/>
  <c r="E435" i="7"/>
  <c r="F565" i="7"/>
  <c r="F573" i="7"/>
  <c r="E434" i="7"/>
  <c r="E420" i="7"/>
  <c r="H458" i="7"/>
  <c r="F738" i="7"/>
  <c r="P386" i="10"/>
  <c r="D389" i="10"/>
  <c r="Z389" i="10"/>
  <c r="AM386" i="10"/>
  <c r="AM387" i="10"/>
  <c r="F558" i="10"/>
  <c r="P535" i="10"/>
  <c r="Z465" i="10"/>
  <c r="AM463" i="10"/>
  <c r="AN463" i="10"/>
  <c r="AN464" i="10"/>
  <c r="J473" i="10"/>
  <c r="AM441" i="10"/>
  <c r="AN440" i="10"/>
  <c r="AN441" i="10"/>
  <c r="P644" i="7"/>
  <c r="N58" i="2"/>
  <c r="F590" i="7"/>
  <c r="F537" i="7"/>
  <c r="F538" i="7"/>
  <c r="F592" i="7"/>
  <c r="H592" i="7"/>
  <c r="F553" i="7"/>
  <c r="H590" i="7"/>
  <c r="F539" i="7"/>
  <c r="F564" i="7"/>
  <c r="F525" i="7"/>
  <c r="F530" i="7"/>
  <c r="F531" i="7"/>
  <c r="AN419" i="7"/>
  <c r="AM419" i="7"/>
  <c r="AN418" i="7"/>
  <c r="AM418" i="7"/>
  <c r="AN417" i="7"/>
  <c r="AM417" i="7"/>
  <c r="AN416" i="7"/>
  <c r="AM416" i="7"/>
  <c r="AN415" i="7"/>
  <c r="AM415" i="7"/>
  <c r="AN414" i="7"/>
  <c r="AM414" i="7"/>
  <c r="AN413" i="7"/>
  <c r="AM413" i="7"/>
  <c r="AN412" i="7"/>
  <c r="AM412" i="7"/>
  <c r="AN411" i="7"/>
  <c r="AM411" i="7"/>
  <c r="AN410" i="7"/>
  <c r="AM410" i="7"/>
  <c r="AN409" i="7"/>
  <c r="AM409" i="7"/>
  <c r="AN408" i="7"/>
  <c r="AM408" i="7"/>
  <c r="AN405" i="7"/>
  <c r="AM405" i="7"/>
  <c r="AN404" i="7"/>
  <c r="AM404" i="7"/>
  <c r="AM398" i="7"/>
  <c r="AG398" i="7"/>
  <c r="AF398" i="7"/>
  <c r="AE398" i="7"/>
  <c r="AD398" i="7"/>
  <c r="AC398" i="7"/>
  <c r="AB398" i="7"/>
  <c r="AA398" i="7"/>
  <c r="AN397" i="7"/>
  <c r="AM397" i="7"/>
  <c r="AN396" i="7"/>
  <c r="AM396" i="7"/>
  <c r="AN395" i="7"/>
  <c r="AM395" i="7"/>
  <c r="AN394" i="7"/>
  <c r="AM394" i="7"/>
  <c r="AN393" i="7"/>
  <c r="AM393" i="7"/>
  <c r="AN392" i="7"/>
  <c r="AM392" i="7"/>
  <c r="AN391" i="7"/>
  <c r="AM391" i="7"/>
  <c r="AN390" i="7"/>
  <c r="AM390" i="7"/>
  <c r="AN389" i="7"/>
  <c r="AM389" i="7"/>
  <c r="AN388" i="7"/>
  <c r="AM388" i="7"/>
  <c r="AN387" i="7"/>
  <c r="AM387" i="7"/>
  <c r="AN386" i="7"/>
  <c r="AM386" i="7"/>
  <c r="AN385" i="7"/>
  <c r="AM385" i="7"/>
  <c r="AN384" i="7"/>
  <c r="AM384" i="7"/>
  <c r="AN383" i="7"/>
  <c r="AM383" i="7"/>
  <c r="AN382" i="7"/>
  <c r="AM382" i="7"/>
  <c r="AF378" i="7"/>
  <c r="AE378" i="7"/>
  <c r="AD378" i="7"/>
  <c r="AC378" i="7"/>
  <c r="AB378" i="7"/>
  <c r="AA378" i="7"/>
  <c r="AG377" i="7"/>
  <c r="AF377" i="7"/>
  <c r="AE377" i="7"/>
  <c r="AD377" i="7"/>
  <c r="AC377" i="7"/>
  <c r="AB377" i="7"/>
  <c r="F574" i="7"/>
  <c r="F740" i="7"/>
  <c r="O10" i="10"/>
  <c r="Q10" i="10"/>
  <c r="AN386" i="10"/>
  <c r="AN387" i="10"/>
  <c r="AP387" i="10"/>
  <c r="G400" i="10"/>
  <c r="G402" i="10"/>
  <c r="Z411" i="10"/>
  <c r="AM409" i="10"/>
  <c r="AN409" i="10"/>
  <c r="AN410" i="10"/>
  <c r="AM464" i="10"/>
  <c r="AP464" i="10"/>
  <c r="G458" i="10"/>
  <c r="G462" i="10"/>
  <c r="AP441" i="10"/>
  <c r="G454" i="10"/>
  <c r="G456" i="10"/>
  <c r="N66" i="2"/>
  <c r="Q68" i="2"/>
  <c r="U68" i="2"/>
  <c r="O73" i="2"/>
  <c r="N73" i="2"/>
  <c r="T72" i="2"/>
  <c r="S72" i="2"/>
  <c r="S73" i="2"/>
  <c r="Q67" i="2"/>
  <c r="U67" i="2"/>
  <c r="F791" i="10"/>
  <c r="F793" i="10"/>
  <c r="R68" i="2"/>
  <c r="S65" i="2"/>
  <c r="N72" i="2"/>
  <c r="T71" i="2"/>
  <c r="S71" i="2"/>
  <c r="R71" i="2"/>
  <c r="R72" i="2"/>
  <c r="P67" i="2"/>
  <c r="Q69" i="2"/>
  <c r="U69" i="2"/>
  <c r="T70" i="2"/>
  <c r="S70" i="2"/>
  <c r="R70" i="2"/>
  <c r="Q70" i="2"/>
  <c r="U70" i="2"/>
  <c r="Q71" i="2"/>
  <c r="U71" i="2"/>
  <c r="O69" i="2"/>
  <c r="T65" i="2"/>
  <c r="P73" i="2"/>
  <c r="S64" i="2"/>
  <c r="T64" i="2"/>
  <c r="O64" i="2"/>
  <c r="O72" i="2"/>
  <c r="P70" i="2"/>
  <c r="R73" i="2"/>
  <c r="P69" i="2"/>
  <c r="N68" i="2"/>
  <c r="R64" i="2"/>
  <c r="O68" i="2"/>
  <c r="T67" i="2"/>
  <c r="S67" i="2"/>
  <c r="N71" i="2"/>
  <c r="R67" i="2"/>
  <c r="Q72" i="2"/>
  <c r="U72" i="2"/>
  <c r="Q73" i="2"/>
  <c r="U73" i="2"/>
  <c r="N65" i="2"/>
  <c r="T66" i="2"/>
  <c r="S66" i="2"/>
  <c r="R66" i="2"/>
  <c r="Q66" i="2"/>
  <c r="U66" i="2"/>
  <c r="F727" i="7"/>
  <c r="F729" i="7"/>
  <c r="P68" i="2"/>
  <c r="P66" i="2"/>
  <c r="P71" i="2"/>
  <c r="P72" i="2"/>
  <c r="N67" i="2"/>
  <c r="Q64" i="2"/>
  <c r="U64" i="2"/>
  <c r="R65" i="2"/>
  <c r="Q65" i="2"/>
  <c r="U65" i="2"/>
  <c r="P65" i="2"/>
  <c r="O65" i="2"/>
  <c r="T68" i="2"/>
  <c r="N69" i="2"/>
  <c r="O70" i="2"/>
  <c r="O71" i="2"/>
  <c r="O67" i="2"/>
  <c r="R69" i="2"/>
  <c r="S69" i="2"/>
  <c r="T69" i="2"/>
  <c r="T73" i="2"/>
  <c r="N64" i="2"/>
  <c r="S68" i="2"/>
  <c r="P64" i="2"/>
  <c r="N70" i="2"/>
  <c r="O66" i="2"/>
  <c r="F605" i="7"/>
  <c r="F544" i="7"/>
  <c r="F545" i="7"/>
  <c r="F555" i="7"/>
  <c r="AN351" i="7"/>
  <c r="AN352" i="7"/>
  <c r="AN353" i="7"/>
  <c r="AN354" i="7"/>
  <c r="AN355" i="7"/>
  <c r="AN356" i="7"/>
  <c r="AN357" i="7"/>
  <c r="AN358" i="7"/>
  <c r="AN359" i="7"/>
  <c r="AN360" i="7"/>
  <c r="AN361" i="7"/>
  <c r="AN362" i="7"/>
  <c r="AN363" i="7"/>
  <c r="AN364" i="7"/>
  <c r="AN365" i="7"/>
  <c r="AN366" i="7"/>
  <c r="AN367" i="7"/>
  <c r="AN368" i="7"/>
  <c r="AN369" i="7"/>
  <c r="AN350" i="7"/>
  <c r="AM351" i="7"/>
  <c r="AM352" i="7"/>
  <c r="AM353" i="7"/>
  <c r="AM354" i="7"/>
  <c r="AM355" i="7"/>
  <c r="AM356" i="7"/>
  <c r="AM357" i="7"/>
  <c r="AM358" i="7"/>
  <c r="AM359" i="7"/>
  <c r="AM360" i="7"/>
  <c r="AM361" i="7"/>
  <c r="AM362" i="7"/>
  <c r="AM363" i="7"/>
  <c r="AM364" i="7"/>
  <c r="AM365" i="7"/>
  <c r="AM366" i="7"/>
  <c r="AM367" i="7"/>
  <c r="AM368" i="7"/>
  <c r="AM369" i="7"/>
  <c r="AM370" i="7"/>
  <c r="AM350" i="7"/>
  <c r="AG370" i="7"/>
  <c r="AF370" i="7"/>
  <c r="AE370" i="7"/>
  <c r="AD370" i="7"/>
  <c r="AC370" i="7"/>
  <c r="AB370" i="7"/>
  <c r="AA370" i="7"/>
  <c r="AN329" i="7"/>
  <c r="AN330" i="7"/>
  <c r="AN331" i="7"/>
  <c r="AN332" i="7"/>
  <c r="AN333" i="7"/>
  <c r="AN334" i="7"/>
  <c r="AN335" i="7"/>
  <c r="AN336" i="7"/>
  <c r="AN337" i="7"/>
  <c r="AN338" i="7"/>
  <c r="AN339" i="7"/>
  <c r="AN340" i="7"/>
  <c r="AN341" i="7"/>
  <c r="AN342" i="7"/>
  <c r="AN343" i="7"/>
  <c r="AN328" i="7"/>
  <c r="AB344" i="7"/>
  <c r="AC344" i="7"/>
  <c r="AD344" i="7"/>
  <c r="AE344" i="7"/>
  <c r="AF344" i="7"/>
  <c r="AG344" i="7"/>
  <c r="AA344" i="7"/>
  <c r="AM344" i="7"/>
  <c r="AM329" i="7"/>
  <c r="AM330" i="7"/>
  <c r="AM331" i="7"/>
  <c r="AM332" i="7"/>
  <c r="AM333" i="7"/>
  <c r="AM334" i="7"/>
  <c r="AM335" i="7"/>
  <c r="AM336" i="7"/>
  <c r="AM337" i="7"/>
  <c r="AM338" i="7"/>
  <c r="AM339" i="7"/>
  <c r="AM340" i="7"/>
  <c r="AM341" i="7"/>
  <c r="AM342" i="7"/>
  <c r="AM343" i="7"/>
  <c r="AM328" i="7"/>
  <c r="AB324" i="7"/>
  <c r="AC324" i="7"/>
  <c r="AD324" i="7"/>
  <c r="AE324" i="7"/>
  <c r="AF324" i="7"/>
  <c r="AA324" i="7"/>
  <c r="AC323" i="7"/>
  <c r="AD323" i="7"/>
  <c r="AE323" i="7"/>
  <c r="AF323" i="7"/>
  <c r="AG323" i="7"/>
  <c r="AB323" i="7"/>
  <c r="AM410" i="10"/>
  <c r="AP410" i="10"/>
  <c r="G404" i="10"/>
  <c r="G408" i="10"/>
  <c r="J412" i="10"/>
  <c r="BA391" i="10"/>
  <c r="BA445" i="10"/>
  <c r="J466" i="10"/>
  <c r="I295" i="7"/>
  <c r="P297" i="7"/>
  <c r="I284" i="7"/>
  <c r="P287" i="7"/>
  <c r="I276" i="7"/>
  <c r="P279" i="7"/>
  <c r="E260" i="7"/>
  <c r="E598" i="7"/>
  <c r="E601" i="7"/>
  <c r="F613" i="7"/>
  <c r="F614" i="7"/>
  <c r="H614" i="7"/>
  <c r="I614" i="7"/>
  <c r="E251" i="7"/>
  <c r="E250" i="7"/>
  <c r="E210" i="7"/>
  <c r="E209" i="7"/>
  <c r="E208" i="7"/>
  <c r="E205" i="7"/>
  <c r="E206" i="7"/>
  <c r="O9" i="10"/>
  <c r="Q9" i="10"/>
  <c r="G468" i="10"/>
  <c r="E734" i="10"/>
  <c r="E755" i="10"/>
  <c r="E761" i="10"/>
  <c r="AT446" i="10"/>
  <c r="AT444" i="10"/>
  <c r="AT445" i="10"/>
  <c r="AT459" i="10"/>
  <c r="AT452" i="10"/>
  <c r="AT455" i="10"/>
  <c r="AT449" i="10"/>
  <c r="AT392" i="10"/>
  <c r="AT390" i="10"/>
  <c r="AT391" i="10"/>
  <c r="AT405" i="10"/>
  <c r="AT398" i="10"/>
  <c r="AT401" i="10"/>
  <c r="AT395" i="10"/>
  <c r="F618" i="7"/>
  <c r="H618" i="7"/>
  <c r="P618" i="7"/>
  <c r="E261" i="7"/>
  <c r="BA327" i="7"/>
  <c r="E252" i="7"/>
  <c r="E421" i="7"/>
  <c r="P290" i="7"/>
  <c r="E262" i="7"/>
  <c r="Y170" i="7"/>
  <c r="Y172" i="7"/>
  <c r="Z178" i="7"/>
  <c r="P178" i="7"/>
  <c r="Y148" i="7"/>
  <c r="P132" i="7"/>
  <c r="P136" i="7"/>
  <c r="P114" i="7"/>
  <c r="L122" i="7"/>
  <c r="P112" i="7"/>
  <c r="J122" i="7"/>
  <c r="P110" i="7"/>
  <c r="P109" i="7"/>
  <c r="P105" i="7"/>
  <c r="P103" i="7"/>
  <c r="P87" i="7"/>
  <c r="P79" i="7"/>
  <c r="Q2" i="2"/>
  <c r="P50" i="7"/>
  <c r="P52" i="7"/>
  <c r="E40" i="7"/>
  <c r="P270" i="7"/>
  <c r="E35" i="7"/>
  <c r="P70" i="7"/>
  <c r="E34" i="7"/>
  <c r="E43" i="7"/>
  <c r="C64" i="2"/>
  <c r="C65" i="2"/>
  <c r="C66" i="2"/>
  <c r="C67" i="2"/>
  <c r="E42" i="7"/>
  <c r="C68" i="2"/>
  <c r="C69" i="2"/>
  <c r="C70" i="2"/>
  <c r="C71" i="2"/>
  <c r="C72" i="2"/>
  <c r="C63" i="2"/>
  <c r="L22" i="2"/>
  <c r="L23" i="2"/>
  <c r="L24" i="2"/>
  <c r="L25" i="2"/>
  <c r="L21" i="2"/>
  <c r="E19" i="7"/>
  <c r="E20" i="7"/>
  <c r="E12" i="7"/>
  <c r="P188" i="7"/>
  <c r="E103" i="10"/>
  <c r="E104" i="10"/>
  <c r="E41" i="7"/>
  <c r="H516" i="10"/>
  <c r="Q4" i="2"/>
  <c r="H454" i="7"/>
  <c r="E36" i="7"/>
  <c r="O20" i="2"/>
  <c r="E98" i="10"/>
  <c r="E740" i="10"/>
  <c r="E742" i="10"/>
  <c r="E750" i="10"/>
  <c r="G750" i="10"/>
  <c r="N48" i="10"/>
  <c r="AT450" i="10"/>
  <c r="AT451" i="10"/>
  <c r="AT396" i="10"/>
  <c r="AT397" i="10"/>
  <c r="AT447" i="10"/>
  <c r="AT448" i="10"/>
  <c r="AT394" i="10"/>
  <c r="AT393" i="10"/>
  <c r="BA381" i="7"/>
  <c r="AW394" i="7"/>
  <c r="P425" i="7"/>
  <c r="H437" i="7"/>
  <c r="O437" i="7"/>
  <c r="E438" i="7"/>
  <c r="D384" i="7"/>
  <c r="G357" i="7"/>
  <c r="BA382" i="7"/>
  <c r="BA328" i="7"/>
  <c r="AV343" i="7"/>
  <c r="G336" i="7"/>
  <c r="D330" i="7"/>
  <c r="AV342" i="7"/>
  <c r="AX341" i="7"/>
  <c r="AW340" i="7"/>
  <c r="P153" i="7"/>
  <c r="G390" i="7"/>
  <c r="P107" i="7"/>
  <c r="P318" i="7"/>
  <c r="P372" i="7"/>
  <c r="Y171" i="7"/>
  <c r="P170" i="7"/>
  <c r="Y146" i="7"/>
  <c r="P147" i="7"/>
  <c r="Y147" i="7"/>
  <c r="P184" i="7"/>
  <c r="E120" i="7"/>
  <c r="E126" i="7"/>
  <c r="E139" i="7"/>
  <c r="F141" i="7"/>
  <c r="P65" i="7"/>
  <c r="P58" i="7"/>
  <c r="F753" i="7"/>
  <c r="I756" i="7"/>
  <c r="H761" i="7"/>
  <c r="F634" i="7"/>
  <c r="F801" i="10"/>
  <c r="H546" i="10"/>
  <c r="H548" i="10"/>
  <c r="H522" i="10"/>
  <c r="F737" i="7"/>
  <c r="H460" i="7"/>
  <c r="F741" i="7"/>
  <c r="H484" i="7"/>
  <c r="F817" i="10"/>
  <c r="I820" i="10"/>
  <c r="H825" i="10"/>
  <c r="F698" i="10"/>
  <c r="AT404" i="10"/>
  <c r="AT456" i="10"/>
  <c r="AT458" i="10"/>
  <c r="AT454" i="10"/>
  <c r="G464" i="10"/>
  <c r="J464" i="10"/>
  <c r="AT402" i="10"/>
  <c r="AT400" i="10"/>
  <c r="G410" i="10"/>
  <c r="H438" i="7"/>
  <c r="O438" i="7"/>
  <c r="F568" i="7"/>
  <c r="F575" i="7"/>
  <c r="F581" i="7"/>
  <c r="F588" i="7"/>
  <c r="H588" i="7"/>
  <c r="P160" i="7"/>
  <c r="AV396" i="7"/>
  <c r="AX395" i="7"/>
  <c r="AT381" i="7"/>
  <c r="AT395" i="7"/>
  <c r="AV340" i="7"/>
  <c r="AV394" i="7"/>
  <c r="AV397" i="7"/>
  <c r="AT327" i="7"/>
  <c r="AT341" i="7"/>
  <c r="AW393" i="7"/>
  <c r="AW339" i="7"/>
  <c r="AH349" i="7"/>
  <c r="AJ349" i="7"/>
  <c r="AH327" i="7"/>
  <c r="AJ327" i="7"/>
  <c r="AW396" i="7"/>
  <c r="AW342" i="7"/>
  <c r="AH403" i="7"/>
  <c r="AJ403" i="7"/>
  <c r="AK403" i="7"/>
  <c r="AH381" i="7"/>
  <c r="AJ381" i="7"/>
  <c r="AK381" i="7"/>
  <c r="P300" i="7"/>
  <c r="P313" i="7"/>
  <c r="P200" i="7"/>
  <c r="E128" i="7"/>
  <c r="E10" i="2"/>
  <c r="E9" i="2"/>
  <c r="E8" i="2"/>
  <c r="E6" i="2"/>
  <c r="E5" i="2"/>
  <c r="O13" i="10"/>
  <c r="I548" i="10"/>
  <c r="E757" i="10"/>
  <c r="G761" i="10"/>
  <c r="P702" i="10"/>
  <c r="U712" i="10"/>
  <c r="F761" i="7"/>
  <c r="K756" i="7"/>
  <c r="P638" i="7"/>
  <c r="U648" i="7"/>
  <c r="H649" i="7"/>
  <c r="E693" i="7"/>
  <c r="G697" i="7"/>
  <c r="F805" i="10"/>
  <c r="H524" i="10"/>
  <c r="O8" i="10"/>
  <c r="Q8" i="10"/>
  <c r="J410" i="10"/>
  <c r="P304" i="7"/>
  <c r="AJ419" i="7"/>
  <c r="AJ417" i="7"/>
  <c r="AJ415" i="7"/>
  <c r="AJ413" i="7"/>
  <c r="AJ411" i="7"/>
  <c r="AJ409" i="7"/>
  <c r="AJ408" i="7"/>
  <c r="AJ405" i="7"/>
  <c r="AJ418" i="7"/>
  <c r="AJ416" i="7"/>
  <c r="AJ414" i="7"/>
  <c r="AJ412" i="7"/>
  <c r="AJ410" i="7"/>
  <c r="AJ404" i="7"/>
  <c r="AJ350" i="7"/>
  <c r="AJ354" i="7"/>
  <c r="AJ358" i="7"/>
  <c r="AJ362" i="7"/>
  <c r="AJ366" i="7"/>
  <c r="AJ370" i="7"/>
  <c r="AJ355" i="7"/>
  <c r="AJ363" i="7"/>
  <c r="AJ367" i="7"/>
  <c r="AJ357" i="7"/>
  <c r="AJ369" i="7"/>
  <c r="AJ351" i="7"/>
  <c r="AJ359" i="7"/>
  <c r="AK349" i="7"/>
  <c r="AJ365" i="7"/>
  <c r="AJ352" i="7"/>
  <c r="AJ356" i="7"/>
  <c r="AJ360" i="7"/>
  <c r="AJ364" i="7"/>
  <c r="AJ368" i="7"/>
  <c r="AJ353" i="7"/>
  <c r="AJ361" i="7"/>
  <c r="AJ338" i="7"/>
  <c r="AJ396" i="7"/>
  <c r="AJ394" i="7"/>
  <c r="AJ392" i="7"/>
  <c r="AJ390" i="7"/>
  <c r="AJ388" i="7"/>
  <c r="AJ386" i="7"/>
  <c r="AJ384" i="7"/>
  <c r="AJ382" i="7"/>
  <c r="AJ385" i="7"/>
  <c r="AJ393" i="7"/>
  <c r="AJ391" i="7"/>
  <c r="AJ389" i="7"/>
  <c r="AJ383" i="7"/>
  <c r="AJ397" i="7"/>
  <c r="AJ395" i="7"/>
  <c r="AJ387" i="7"/>
  <c r="AJ344" i="7"/>
  <c r="AJ398" i="7"/>
  <c r="AJ328" i="7"/>
  <c r="AJ340" i="7"/>
  <c r="AJ339" i="7"/>
  <c r="AJ343" i="7"/>
  <c r="AJ331" i="7"/>
  <c r="AJ335" i="7"/>
  <c r="AJ330" i="7"/>
  <c r="AJ337" i="7"/>
  <c r="AJ334" i="7"/>
  <c r="AJ341" i="7"/>
  <c r="AJ332" i="7"/>
  <c r="AJ336" i="7"/>
  <c r="AJ342" i="7"/>
  <c r="AJ329" i="7"/>
  <c r="AK327" i="7"/>
  <c r="AJ333" i="7"/>
  <c r="P315" i="7"/>
  <c r="P367" i="7"/>
  <c r="P369" i="7"/>
  <c r="P158" i="7"/>
  <c r="P162" i="7"/>
  <c r="P471" i="7"/>
  <c r="P192" i="7"/>
  <c r="P445" i="7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H713" i="10"/>
  <c r="G713" i="10"/>
  <c r="F761" i="10"/>
  <c r="H761" i="10"/>
  <c r="I761" i="10"/>
  <c r="I524" i="10"/>
  <c r="O12" i="10"/>
  <c r="E553" i="10"/>
  <c r="P548" i="10"/>
  <c r="Q13" i="10"/>
  <c r="F825" i="10"/>
  <c r="K820" i="10"/>
  <c r="H805" i="10"/>
  <c r="J760" i="7"/>
  <c r="G761" i="7"/>
  <c r="P447" i="7"/>
  <c r="H462" i="7"/>
  <c r="I462" i="7"/>
  <c r="P462" i="7"/>
  <c r="F734" i="7"/>
  <c r="F735" i="7"/>
  <c r="P473" i="7"/>
  <c r="E496" i="7"/>
  <c r="P376" i="7"/>
  <c r="P378" i="7"/>
  <c r="D381" i="7"/>
  <c r="Z403" i="7"/>
  <c r="AM401" i="7"/>
  <c r="AK336" i="7"/>
  <c r="AH336" i="7"/>
  <c r="AK390" i="7"/>
  <c r="AH390" i="7"/>
  <c r="AK388" i="7"/>
  <c r="AH388" i="7"/>
  <c r="AK386" i="7"/>
  <c r="AH386" i="7"/>
  <c r="AK384" i="7"/>
  <c r="AH384" i="7"/>
  <c r="AK382" i="7"/>
  <c r="AH382" i="7"/>
  <c r="AK398" i="7"/>
  <c r="AH398" i="7"/>
  <c r="AK394" i="7"/>
  <c r="AH394" i="7"/>
  <c r="AK385" i="7"/>
  <c r="AH385" i="7"/>
  <c r="AK397" i="7"/>
  <c r="AH397" i="7"/>
  <c r="AK395" i="7"/>
  <c r="AH395" i="7"/>
  <c r="AK393" i="7"/>
  <c r="AH393" i="7"/>
  <c r="AK391" i="7"/>
  <c r="AH391" i="7"/>
  <c r="AK389" i="7"/>
  <c r="AH389" i="7"/>
  <c r="AK387" i="7"/>
  <c r="AH387" i="7"/>
  <c r="AK383" i="7"/>
  <c r="AH383" i="7"/>
  <c r="AK396" i="7"/>
  <c r="AH396" i="7"/>
  <c r="AK392" i="7"/>
  <c r="AH392" i="7"/>
  <c r="AK344" i="7"/>
  <c r="AH344" i="7"/>
  <c r="AK340" i="7"/>
  <c r="AH340" i="7"/>
  <c r="AK333" i="7"/>
  <c r="AH333" i="7"/>
  <c r="AK338" i="7"/>
  <c r="AH338" i="7"/>
  <c r="AK337" i="7"/>
  <c r="AH337" i="7"/>
  <c r="AK329" i="7"/>
  <c r="AH329" i="7"/>
  <c r="AK330" i="7"/>
  <c r="AH330" i="7"/>
  <c r="AK328" i="7"/>
  <c r="AH328" i="7"/>
  <c r="AK334" i="7"/>
  <c r="AH334" i="7"/>
  <c r="AK343" i="7"/>
  <c r="AH343" i="7"/>
  <c r="AK332" i="7"/>
  <c r="AH332" i="7"/>
  <c r="AK342" i="7"/>
  <c r="AH342" i="7"/>
  <c r="AK341" i="7"/>
  <c r="AH341" i="7"/>
  <c r="AK335" i="7"/>
  <c r="AH335" i="7"/>
  <c r="AK331" i="7"/>
  <c r="AH331" i="7"/>
  <c r="AK339" i="7"/>
  <c r="AH339" i="7"/>
  <c r="AK409" i="7"/>
  <c r="AH409" i="7"/>
  <c r="AK405" i="7"/>
  <c r="AH405" i="7"/>
  <c r="AK404" i="7"/>
  <c r="AH404" i="7"/>
  <c r="AK419" i="7"/>
  <c r="AH419" i="7"/>
  <c r="AK417" i="7"/>
  <c r="AH417" i="7"/>
  <c r="AK413" i="7"/>
  <c r="AH413" i="7"/>
  <c r="AK411" i="7"/>
  <c r="AH411" i="7"/>
  <c r="AK408" i="7"/>
  <c r="AH408" i="7"/>
  <c r="AK418" i="7"/>
  <c r="AH418" i="7"/>
  <c r="AK416" i="7"/>
  <c r="AH416" i="7"/>
  <c r="AK414" i="7"/>
  <c r="AH414" i="7"/>
  <c r="AK412" i="7"/>
  <c r="AH412" i="7"/>
  <c r="AK410" i="7"/>
  <c r="AH410" i="7"/>
  <c r="AK415" i="7"/>
  <c r="AH415" i="7"/>
  <c r="AK351" i="7"/>
  <c r="AH351" i="7"/>
  <c r="AK355" i="7"/>
  <c r="AH355" i="7"/>
  <c r="AK363" i="7"/>
  <c r="AH363" i="7"/>
  <c r="AK357" i="7"/>
  <c r="AH357" i="7"/>
  <c r="AK365" i="7"/>
  <c r="AH365" i="7"/>
  <c r="AK354" i="7"/>
  <c r="AH354" i="7"/>
  <c r="AK358" i="7"/>
  <c r="AH358" i="7"/>
  <c r="AK362" i="7"/>
  <c r="AH362" i="7"/>
  <c r="AK366" i="7"/>
  <c r="AH366" i="7"/>
  <c r="AK370" i="7"/>
  <c r="AH370" i="7"/>
  <c r="AK359" i="7"/>
  <c r="AH359" i="7"/>
  <c r="AK367" i="7"/>
  <c r="AH367" i="7"/>
  <c r="AK353" i="7"/>
  <c r="AH353" i="7"/>
  <c r="AK352" i="7"/>
  <c r="AH352" i="7"/>
  <c r="AK356" i="7"/>
  <c r="AH356" i="7"/>
  <c r="AK360" i="7"/>
  <c r="AH360" i="7"/>
  <c r="AK364" i="7"/>
  <c r="AH364" i="7"/>
  <c r="AK368" i="7"/>
  <c r="AH368" i="7"/>
  <c r="AK350" i="7"/>
  <c r="AH350" i="7"/>
  <c r="AK361" i="7"/>
  <c r="AH361" i="7"/>
  <c r="AK369" i="7"/>
  <c r="AH369" i="7"/>
  <c r="P320" i="7"/>
  <c r="H359" i="7"/>
  <c r="P374" i="7"/>
  <c r="G398" i="7"/>
  <c r="G344" i="7"/>
  <c r="P322" i="7"/>
  <c r="P324" i="7"/>
  <c r="D327" i="7"/>
  <c r="F553" i="10"/>
  <c r="K553" i="10"/>
  <c r="I553" i="10"/>
  <c r="O14" i="10"/>
  <c r="O20" i="10"/>
  <c r="Q20" i="10"/>
  <c r="G825" i="10"/>
  <c r="J824" i="10"/>
  <c r="J825" i="10"/>
  <c r="Q18" i="10"/>
  <c r="E825" i="10"/>
  <c r="P524" i="10"/>
  <c r="Q12" i="10"/>
  <c r="J713" i="10"/>
  <c r="I713" i="10"/>
  <c r="D761" i="7"/>
  <c r="H741" i="7"/>
  <c r="H411" i="7"/>
  <c r="J411" i="7"/>
  <c r="F632" i="7"/>
  <c r="U647" i="7"/>
  <c r="F649" i="7"/>
  <c r="J649" i="7"/>
  <c r="F496" i="7"/>
  <c r="B498" i="7"/>
  <c r="H486" i="7"/>
  <c r="E491" i="7"/>
  <c r="Z381" i="7"/>
  <c r="AM378" i="7"/>
  <c r="AM379" i="7"/>
  <c r="J359" i="7"/>
  <c r="I359" i="7"/>
  <c r="AM402" i="7"/>
  <c r="AN401" i="7"/>
  <c r="AN402" i="7"/>
  <c r="Z349" i="7"/>
  <c r="AM347" i="7"/>
  <c r="Z327" i="7"/>
  <c r="AM324" i="7"/>
  <c r="Q14" i="10"/>
  <c r="Q17" i="10"/>
  <c r="O17" i="10"/>
  <c r="E761" i="7"/>
  <c r="J761" i="7"/>
  <c r="I411" i="7"/>
  <c r="I649" i="7"/>
  <c r="G649" i="7"/>
  <c r="F491" i="7"/>
  <c r="K491" i="7"/>
  <c r="I491" i="7"/>
  <c r="I486" i="7"/>
  <c r="P486" i="7"/>
  <c r="AN378" i="7"/>
  <c r="AN379" i="7"/>
  <c r="AP379" i="7"/>
  <c r="G392" i="7"/>
  <c r="G394" i="7"/>
  <c r="AP402" i="7"/>
  <c r="G396" i="7"/>
  <c r="G400" i="7"/>
  <c r="J404" i="7"/>
  <c r="AN324" i="7"/>
  <c r="AN325" i="7"/>
  <c r="AM325" i="7"/>
  <c r="AM348" i="7"/>
  <c r="AN347" i="7"/>
  <c r="AN348" i="7"/>
  <c r="AP348" i="7"/>
  <c r="G342" i="7"/>
  <c r="G346" i="7"/>
  <c r="AP325" i="7"/>
  <c r="G338" i="7"/>
  <c r="G340" i="7"/>
  <c r="BA329" i="7"/>
  <c r="AT333" i="7"/>
  <c r="BA383" i="7"/>
  <c r="J350" i="7"/>
  <c r="G406" i="7"/>
  <c r="E670" i="7"/>
  <c r="I22" i="2"/>
  <c r="I21" i="2"/>
  <c r="D6" i="2"/>
  <c r="D7" i="2"/>
  <c r="D8" i="2"/>
  <c r="D9" i="2"/>
  <c r="D10" i="2"/>
  <c r="D11" i="2"/>
  <c r="D12" i="2"/>
  <c r="D5" i="2"/>
  <c r="B6" i="2"/>
  <c r="C6" i="2"/>
  <c r="B7" i="2"/>
  <c r="C7" i="2"/>
  <c r="B8" i="2"/>
  <c r="C8" i="2"/>
  <c r="B9" i="2"/>
  <c r="C9" i="2"/>
  <c r="B10" i="2"/>
  <c r="C10" i="2"/>
  <c r="B11" i="2"/>
  <c r="B12" i="2"/>
  <c r="B5" i="2"/>
  <c r="C5" i="2"/>
  <c r="A13" i="2"/>
  <c r="B13" i="2"/>
  <c r="E33" i="7"/>
  <c r="E207" i="7"/>
  <c r="P213" i="7"/>
  <c r="E221" i="7"/>
  <c r="O21" i="2"/>
  <c r="O22" i="2"/>
  <c r="E95" i="10"/>
  <c r="E269" i="10"/>
  <c r="P275" i="10"/>
  <c r="E283" i="10"/>
  <c r="E676" i="7"/>
  <c r="E678" i="7"/>
  <c r="E686" i="7"/>
  <c r="G686" i="7"/>
  <c r="E691" i="7"/>
  <c r="E697" i="7"/>
  <c r="AT328" i="7"/>
  <c r="AT329" i="7"/>
  <c r="AT343" i="7"/>
  <c r="AT338" i="7"/>
  <c r="G348" i="7"/>
  <c r="J348" i="7"/>
  <c r="AT336" i="7"/>
  <c r="AT339" i="7"/>
  <c r="AT330" i="7"/>
  <c r="AT332" i="7"/>
  <c r="AT390" i="7"/>
  <c r="AT393" i="7"/>
  <c r="AT384" i="7"/>
  <c r="AT382" i="7"/>
  <c r="AT383" i="7"/>
  <c r="AT397" i="7"/>
  <c r="AT392" i="7"/>
  <c r="G402" i="7"/>
  <c r="J402" i="7"/>
  <c r="AT387" i="7"/>
  <c r="AT334" i="7"/>
  <c r="AT335" i="7"/>
  <c r="P221" i="7"/>
  <c r="O221" i="7"/>
  <c r="C13" i="2"/>
  <c r="E13" i="2"/>
  <c r="C12" i="2"/>
  <c r="E12" i="2"/>
  <c r="C11" i="2"/>
  <c r="E11" i="2"/>
  <c r="D13" i="2"/>
  <c r="A14" i="2"/>
  <c r="O6" i="10"/>
  <c r="P283" i="10"/>
  <c r="O283" i="10"/>
  <c r="H697" i="7"/>
  <c r="F697" i="7"/>
  <c r="I697" i="7"/>
  <c r="AT331" i="7"/>
  <c r="AT342" i="7"/>
  <c r="AT385" i="7"/>
  <c r="AT386" i="7"/>
  <c r="AT389" i="7"/>
  <c r="AT388" i="7"/>
  <c r="AT340" i="7"/>
  <c r="A15" i="2"/>
  <c r="B14" i="2"/>
  <c r="D14" i="2"/>
  <c r="AT394" i="7"/>
  <c r="AT396" i="7"/>
  <c r="C14" i="2"/>
  <c r="E14" i="2"/>
  <c r="B15" i="2"/>
  <c r="D15" i="2"/>
  <c r="C15" i="2"/>
  <c r="E1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Enrique Mora</author>
  </authors>
  <commentList>
    <comment ref="E3" authorId="0" shapeId="0" xr:uid="{619BBF17-826F-4F60-96B6-9E63329EB328}">
      <text>
        <r>
          <rPr>
            <b/>
            <sz val="9"/>
            <color indexed="81"/>
            <rFont val="Tahoma"/>
            <family val="2"/>
          </rPr>
          <t>Enrique Mora:</t>
        </r>
        <r>
          <rPr>
            <sz val="9"/>
            <color indexed="81"/>
            <rFont val="Tahoma"/>
            <family val="2"/>
          </rPr>
          <t xml:space="preserve">
Distancia mínima al borde de la plancha de conexión</t>
        </r>
      </text>
    </comment>
  </commentList>
</comments>
</file>

<file path=xl/sharedStrings.xml><?xml version="1.0" encoding="utf-8"?>
<sst xmlns="http://schemas.openxmlformats.org/spreadsheetml/2006/main" count="2659" uniqueCount="762">
  <si>
    <t>PROYECTO</t>
  </si>
  <si>
    <t>:</t>
  </si>
  <si>
    <t>ESTRUCTURA</t>
  </si>
  <si>
    <t>FECHA</t>
  </si>
  <si>
    <t>CALCULO</t>
  </si>
  <si>
    <t>POR</t>
  </si>
  <si>
    <t>H</t>
  </si>
  <si>
    <t>=</t>
  </si>
  <si>
    <t>[mm]</t>
  </si>
  <si>
    <t>tonf</t>
  </si>
  <si>
    <t>tw</t>
  </si>
  <si>
    <t>[cm²]</t>
  </si>
  <si>
    <t>d</t>
  </si>
  <si>
    <t>[cm]</t>
  </si>
  <si>
    <t>E</t>
  </si>
  <si>
    <t>[kgf/cm²]</t>
  </si>
  <si>
    <t>[tonf]</t>
  </si>
  <si>
    <t>V</t>
  </si>
  <si>
    <t>m</t>
  </si>
  <si>
    <t>n</t>
  </si>
  <si>
    <t>N° PROYECTO</t>
  </si>
  <si>
    <t>05.09.19</t>
  </si>
  <si>
    <t>ASTM A36</t>
  </si>
  <si>
    <t>ASTM A325</t>
  </si>
  <si>
    <t>mm</t>
  </si>
  <si>
    <t>E70XX</t>
  </si>
  <si>
    <t>Fnw</t>
  </si>
  <si>
    <t>Pernos</t>
  </si>
  <si>
    <t>A</t>
  </si>
  <si>
    <t>cm</t>
  </si>
  <si>
    <t>Fy</t>
  </si>
  <si>
    <t>Fu</t>
  </si>
  <si>
    <t>ASTM A307</t>
  </si>
  <si>
    <t>ASTM A490</t>
  </si>
  <si>
    <t>ASTM A572 Gr.50</t>
  </si>
  <si>
    <t>A 37-24ES</t>
  </si>
  <si>
    <t>A 42-27ES</t>
  </si>
  <si>
    <t>A 52-34ES</t>
  </si>
  <si>
    <t>cm2</t>
  </si>
  <si>
    <t>4 mm</t>
  </si>
  <si>
    <t>5 mm</t>
  </si>
  <si>
    <t>6 mm</t>
  </si>
  <si>
    <t>8 mm</t>
  </si>
  <si>
    <t>10 mm</t>
  </si>
  <si>
    <t>12 mm</t>
  </si>
  <si>
    <t>14 mm</t>
  </si>
  <si>
    <t>16 mm</t>
  </si>
  <si>
    <t>18 mm</t>
  </si>
  <si>
    <t>20 mm</t>
  </si>
  <si>
    <t>22 mm</t>
  </si>
  <si>
    <t>25 mm</t>
  </si>
  <si>
    <t>28 mm</t>
  </si>
  <si>
    <t>32 mm</t>
  </si>
  <si>
    <t>35 mm</t>
  </si>
  <si>
    <t>40 mm</t>
  </si>
  <si>
    <t>50 mm</t>
  </si>
  <si>
    <t>d perf</t>
  </si>
  <si>
    <t>PLANCHAS</t>
  </si>
  <si>
    <t>ACERO PERNOS</t>
  </si>
  <si>
    <t>DIAMETRO PERNOS</t>
  </si>
  <si>
    <t>ACERO PLANCHAS</t>
  </si>
  <si>
    <t>kg/cm2</t>
  </si>
  <si>
    <t>ksi</t>
  </si>
  <si>
    <t>Área efectiva</t>
  </si>
  <si>
    <t>TIPO DE SOLDADURA</t>
  </si>
  <si>
    <t>E60XX</t>
  </si>
  <si>
    <t>E80XX</t>
  </si>
  <si>
    <t>E90XX</t>
  </si>
  <si>
    <t>E100XX</t>
  </si>
  <si>
    <t>E120XX</t>
  </si>
  <si>
    <t>Resistencia Ultima</t>
  </si>
  <si>
    <t>kpsi</t>
  </si>
  <si>
    <t>Tension nominal corte</t>
  </si>
  <si>
    <t>FILETE SOLDADURA</t>
  </si>
  <si>
    <t>e plancha</t>
  </si>
  <si>
    <t>w min</t>
  </si>
  <si>
    <t>w max</t>
  </si>
  <si>
    <t>Sb mín</t>
  </si>
  <si>
    <t>XXXXXXXXX</t>
  </si>
  <si>
    <t>TANQUE XXXXXX</t>
  </si>
  <si>
    <t>FUNDACION ANULAR</t>
  </si>
  <si>
    <t>EMO</t>
  </si>
  <si>
    <t>XXXX</t>
  </si>
  <si>
    <t>D</t>
  </si>
  <si>
    <t>[m]</t>
  </si>
  <si>
    <t>Altura de diseño del fluído</t>
  </si>
  <si>
    <t>r</t>
  </si>
  <si>
    <t>Altura revancha</t>
  </si>
  <si>
    <t>Hs</t>
  </si>
  <si>
    <t>Altura del manto</t>
  </si>
  <si>
    <t>Espesor plancha manto</t>
  </si>
  <si>
    <t>tb</t>
  </si>
  <si>
    <t>Espesor plancha de fondo</t>
  </si>
  <si>
    <t>tr</t>
  </si>
  <si>
    <t>Espesor plancha de techo</t>
  </si>
  <si>
    <t>q</t>
  </si>
  <si>
    <t>º</t>
  </si>
  <si>
    <t>Ángulo de techo</t>
  </si>
  <si>
    <t>Longitud generatriz de techo cónico</t>
  </si>
  <si>
    <t>hr</t>
  </si>
  <si>
    <t>Altura de techo cónico</t>
  </si>
  <si>
    <t>2.1</t>
  </si>
  <si>
    <t>Fluído</t>
  </si>
  <si>
    <t>2.2</t>
  </si>
  <si>
    <t>Peso específico del fluído</t>
  </si>
  <si>
    <t>Peso específico del acero</t>
  </si>
  <si>
    <t>g</t>
  </si>
  <si>
    <t>kg/m3</t>
  </si>
  <si>
    <t>Tensión de fluencia del acero</t>
  </si>
  <si>
    <t>Tensión de rotura del acero</t>
  </si>
  <si>
    <t>Módulo de elasticidad del acero</t>
  </si>
  <si>
    <t>Es</t>
  </si>
  <si>
    <t>Fundaciones</t>
  </si>
  <si>
    <t>HORMIGON</t>
  </si>
  <si>
    <t>H20</t>
  </si>
  <si>
    <t>H15</t>
  </si>
  <si>
    <t>H25</t>
  </si>
  <si>
    <t>H30</t>
  </si>
  <si>
    <t>H35</t>
  </si>
  <si>
    <t>H40</t>
  </si>
  <si>
    <t>H45</t>
  </si>
  <si>
    <t>f'c</t>
  </si>
  <si>
    <t>Mpa</t>
  </si>
  <si>
    <t>Ec</t>
  </si>
  <si>
    <r>
      <rPr>
        <sz val="11"/>
        <rFont val="Symbol"/>
        <family val="1"/>
        <charset val="2"/>
      </rPr>
      <t>e</t>
    </r>
    <r>
      <rPr>
        <sz val="11"/>
        <rFont val="Calibri"/>
        <family val="2"/>
        <scheme val="minor"/>
      </rPr>
      <t>cu</t>
    </r>
  </si>
  <si>
    <t>H59</t>
  </si>
  <si>
    <t>H55</t>
  </si>
  <si>
    <t>H60</t>
  </si>
  <si>
    <t>wc</t>
  </si>
  <si>
    <t>Tensión de rotura en compresión</t>
  </si>
  <si>
    <t>Módulo de elasticidad</t>
  </si>
  <si>
    <t>Peso específico del hormigón</t>
  </si>
  <si>
    <t>Deformación unitaria en rotura del H.A.</t>
  </si>
  <si>
    <t>Mpa -&gt; kgf/cm2</t>
  </si>
  <si>
    <t>1.1</t>
  </si>
  <si>
    <t>Dimensiones</t>
  </si>
  <si>
    <t>1.2</t>
  </si>
  <si>
    <t>Materiales</t>
  </si>
  <si>
    <t>i.</t>
  </si>
  <si>
    <t>ii.</t>
  </si>
  <si>
    <t>iii.</t>
  </si>
  <si>
    <t>2.</t>
  </si>
  <si>
    <t>PESOS</t>
  </si>
  <si>
    <t>1.</t>
  </si>
  <si>
    <t>DEFINICIONES</t>
  </si>
  <si>
    <t>Peso del fluído</t>
  </si>
  <si>
    <t>Vp</t>
  </si>
  <si>
    <t>Wp</t>
  </si>
  <si>
    <t>Manto</t>
  </si>
  <si>
    <t>Techo</t>
  </si>
  <si>
    <t>Fondo</t>
  </si>
  <si>
    <t>Peso del mano del tanque</t>
  </si>
  <si>
    <t>Volumen de trabajo del tanque</t>
  </si>
  <si>
    <t>Diámetro interior tanque</t>
  </si>
  <si>
    <t>Tanque</t>
  </si>
  <si>
    <t>Acero tanque:</t>
  </si>
  <si>
    <t>Peso componentes del tanque</t>
  </si>
  <si>
    <t>Ws</t>
  </si>
  <si>
    <t>Peso del techo del tanque</t>
  </si>
  <si>
    <t>Wr</t>
  </si>
  <si>
    <t>Nad_r</t>
  </si>
  <si>
    <t>Carga adicional de techo</t>
  </si>
  <si>
    <t>(descarga de plataformas, boquillas, otros)</t>
  </si>
  <si>
    <t>Lg</t>
  </si>
  <si>
    <t>Peso del fondo del tanque</t>
  </si>
  <si>
    <t>Wf</t>
  </si>
  <si>
    <t>3.</t>
  </si>
  <si>
    <t>SOBRECARGAS</t>
  </si>
  <si>
    <t>3.1</t>
  </si>
  <si>
    <t>Sobrecargas en techo</t>
  </si>
  <si>
    <t>SCt</t>
  </si>
  <si>
    <t>[kgf/m²]</t>
  </si>
  <si>
    <t>Sobrecarga distribuída de techo</t>
  </si>
  <si>
    <t>Sobrecarga de techo del tanque</t>
  </si>
  <si>
    <t>3.2</t>
  </si>
  <si>
    <t>Sobrecarga en el manto</t>
  </si>
  <si>
    <t>Sobrecargas en el manto</t>
  </si>
  <si>
    <t>Wbar</t>
  </si>
  <si>
    <t>Peso de barandas</t>
  </si>
  <si>
    <t>Peso de boquillas</t>
  </si>
  <si>
    <t>Wboq</t>
  </si>
  <si>
    <t>4.</t>
  </si>
  <si>
    <t>ANALISIS SISMICO</t>
  </si>
  <si>
    <t>Según espectro de NCh2369Of2003</t>
  </si>
  <si>
    <t>Zona sísmica</t>
  </si>
  <si>
    <t>Clasificación de estructura:</t>
  </si>
  <si>
    <t>Tipo de suelo:</t>
  </si>
  <si>
    <t>Zona sísmica:</t>
  </si>
  <si>
    <t>C2</t>
  </si>
  <si>
    <t>4.1</t>
  </si>
  <si>
    <t>Cálculo de los coeficientes sísmicos</t>
  </si>
  <si>
    <t>Coeficiente de importancia</t>
  </si>
  <si>
    <t>I</t>
  </si>
  <si>
    <t>Facor de importancia</t>
  </si>
  <si>
    <t>C1</t>
  </si>
  <si>
    <t>C3</t>
  </si>
  <si>
    <t>Parámetros del suelo</t>
  </si>
  <si>
    <t>Suelo</t>
  </si>
  <si>
    <t>II</t>
  </si>
  <si>
    <t>III</t>
  </si>
  <si>
    <t>IV</t>
  </si>
  <si>
    <t>T'</t>
  </si>
  <si>
    <t>T' (s)</t>
  </si>
  <si>
    <t>NCH 2369.2003</t>
  </si>
  <si>
    <t>Tipo estanque</t>
  </si>
  <si>
    <t>x</t>
  </si>
  <si>
    <t>Acero</t>
  </si>
  <si>
    <t>Hormigón</t>
  </si>
  <si>
    <t>R</t>
  </si>
  <si>
    <t>Coeficiente Sísmico Máximo</t>
  </si>
  <si>
    <r>
      <t xml:space="preserve">R / </t>
    </r>
    <r>
      <rPr>
        <sz val="11"/>
        <rFont val="Symbol"/>
        <family val="1"/>
        <charset val="2"/>
      </rPr>
      <t>x</t>
    </r>
  </si>
  <si>
    <t>A0/g</t>
  </si>
  <si>
    <t>Aceleración máxima efectiva</t>
  </si>
  <si>
    <t>Ao</t>
  </si>
  <si>
    <t>Coeficiente sísmico vertical</t>
  </si>
  <si>
    <t>Cv</t>
  </si>
  <si>
    <t>iv.</t>
  </si>
  <si>
    <t>Parámetros relativos al tipo de suelo</t>
  </si>
  <si>
    <t>[s]</t>
  </si>
  <si>
    <t>v.</t>
  </si>
  <si>
    <t>Factor de modificación de respuesta</t>
  </si>
  <si>
    <t>vi.</t>
  </si>
  <si>
    <t>Razón de amortiguamiento</t>
  </si>
  <si>
    <t>vii.</t>
  </si>
  <si>
    <t>Espectro NCh2369:</t>
  </si>
  <si>
    <t>Coeficiente sísmico según NCh2369 5.3.3</t>
  </si>
  <si>
    <t>Factor Cmax</t>
  </si>
  <si>
    <t>Coeficiente sísmico máximo. NCh2369 Tabla 5.7</t>
  </si>
  <si>
    <t>viii.</t>
  </si>
  <si>
    <t>Coeficiente de masa impulsiva</t>
  </si>
  <si>
    <t>Ti</t>
  </si>
  <si>
    <t>Periodo del modo impulsivo (API 650-13 E.4.3)</t>
  </si>
  <si>
    <t>Ci</t>
  </si>
  <si>
    <t>Coeficiente sísmico para Ti</t>
  </si>
  <si>
    <t>Ch_NCh_Ti</t>
  </si>
  <si>
    <t>Coeficiente sísmico impulsivo</t>
  </si>
  <si>
    <t>Coeficiente de masa convectiva</t>
  </si>
  <si>
    <t>)</t>
  </si>
  <si>
    <t>Ks</t>
  </si>
  <si>
    <t>Coeficiente periodo convectivo</t>
  </si>
  <si>
    <t>Tc</t>
  </si>
  <si>
    <t>Periodo del primer modo convectivo</t>
  </si>
  <si>
    <t>Ch_NCh_Tc</t>
  </si>
  <si>
    <t>Coeficiente sísmico para Tc</t>
  </si>
  <si>
    <t>Coeficiente sísmico convectivo</t>
  </si>
  <si>
    <t>4.2</t>
  </si>
  <si>
    <t>Cálculo de pesos efectivos del fluído</t>
  </si>
  <si>
    <t>Peso impulsivo</t>
  </si>
  <si>
    <t>Wi</t>
  </si>
  <si>
    <t>W1</t>
  </si>
  <si>
    <t>W2</t>
  </si>
  <si>
    <t>D/H</t>
  </si>
  <si>
    <t>Peso convectivo</t>
  </si>
  <si>
    <t>Wc</t>
  </si>
  <si>
    <t>4.3</t>
  </si>
  <si>
    <t>Corte basal de diseño. API 650-13 (E.6.1)</t>
  </si>
  <si>
    <t>Componente impulsivo del corte</t>
  </si>
  <si>
    <t>Componente convectivo del corte</t>
  </si>
  <si>
    <t>Corte sísmico basal de diseño</t>
  </si>
  <si>
    <t>Vi</t>
  </si>
  <si>
    <t>Vc</t>
  </si>
  <si>
    <t>4.4</t>
  </si>
  <si>
    <t>Momento volcamiento de diseño. API650-13 (E.6.1.5)</t>
  </si>
  <si>
    <t>(para fundación anular)</t>
  </si>
  <si>
    <t>Altura del centro de acción de la fuerza impulsiva</t>
  </si>
  <si>
    <t>Xi</t>
  </si>
  <si>
    <t>X1</t>
  </si>
  <si>
    <t>X2</t>
  </si>
  <si>
    <t>Xc</t>
  </si>
  <si>
    <t>3.67(H/D)</t>
  </si>
  <si>
    <t>Altura del centro de acción de la fuerza convectiva</t>
  </si>
  <si>
    <t>Altura del centro de gravedad del manto</t>
  </si>
  <si>
    <t>Altura del centro de gravedad del techo</t>
  </si>
  <si>
    <t>Xs = 0.5Hs</t>
  </si>
  <si>
    <t>Xs</t>
  </si>
  <si>
    <t>Xr = Hs</t>
  </si>
  <si>
    <t>Xr</t>
  </si>
  <si>
    <t>Momento volcante para fundación anular</t>
  </si>
  <si>
    <t>Mrw</t>
  </si>
  <si>
    <t>[tonf x m]</t>
  </si>
  <si>
    <t>5.</t>
  </si>
  <si>
    <t>REVISION DE NECESIDADES DE ANCLAJE</t>
  </si>
  <si>
    <t>5.1</t>
  </si>
  <si>
    <t>Peso del tanque distribuído sobre el perímetro del manto</t>
  </si>
  <si>
    <t>Tipo de tanque:</t>
  </si>
  <si>
    <t>wt</t>
  </si>
  <si>
    <t>[tonf / m]</t>
  </si>
  <si>
    <t>5.2</t>
  </si>
  <si>
    <t>Fuerza resistente al levantamiento en la región anular</t>
  </si>
  <si>
    <t>Espesor mínimo plancha de fondo</t>
  </si>
  <si>
    <t>[Mpa]</t>
  </si>
  <si>
    <t>wL</t>
  </si>
  <si>
    <t>5.3</t>
  </si>
  <si>
    <t>Requerimiento de anclaje mecánico</t>
  </si>
  <si>
    <t>El tanque no requiere anclaje si</t>
  </si>
  <si>
    <t>®</t>
  </si>
  <si>
    <t>6.</t>
  </si>
  <si>
    <t>ANÁLISIS DE ESTABILIDAD GLOBAL</t>
  </si>
  <si>
    <t>6.1</t>
  </si>
  <si>
    <t>Definiciones</t>
  </si>
  <si>
    <t>Densidad del relleno estructural</t>
  </si>
  <si>
    <t>[º]</t>
  </si>
  <si>
    <t>Ángulo de fricción interna del relleno</t>
  </si>
  <si>
    <t>Gramil exterior del manto a eje del perno de anclaje</t>
  </si>
  <si>
    <t>Dper</t>
  </si>
  <si>
    <t>Diámetro del círculo de pernos</t>
  </si>
  <si>
    <t>Diámetro medio de fundación</t>
  </si>
  <si>
    <t>Bped</t>
  </si>
  <si>
    <t>Hped</t>
  </si>
  <si>
    <t>Bzap</t>
  </si>
  <si>
    <t>tzap</t>
  </si>
  <si>
    <t>Df</t>
  </si>
  <si>
    <t>Ancho de pedestal</t>
  </si>
  <si>
    <t>Altura de pedestal</t>
  </si>
  <si>
    <t>Ancho de zapata</t>
  </si>
  <si>
    <t>Espesor de zapata</t>
  </si>
  <si>
    <t>Profundidad del sello por el lado exterior del tanque</t>
  </si>
  <si>
    <t>Hfund</t>
  </si>
  <si>
    <t>rext</t>
  </si>
  <si>
    <t>rint</t>
  </si>
  <si>
    <t>Altura total pedestal y zapata</t>
  </si>
  <si>
    <t>Radio exterior de fundación</t>
  </si>
  <si>
    <t>Radio interior de fundación</t>
  </si>
  <si>
    <t>6.2</t>
  </si>
  <si>
    <t>Cargas axiales a nivel de sello de fundación</t>
  </si>
  <si>
    <t>(Considera el momento a nivel del sello de la fundación anular)</t>
  </si>
  <si>
    <t>Peso del anillo de fundación</t>
  </si>
  <si>
    <t>Peso del relleno</t>
  </si>
  <si>
    <t>Diámetro medio del relleno exterior</t>
  </si>
  <si>
    <t>ii.a</t>
  </si>
  <si>
    <t>ii.b</t>
  </si>
  <si>
    <t>Peso del relleno exterior</t>
  </si>
  <si>
    <t>Peso del relleno interior</t>
  </si>
  <si>
    <t>Peso del líquido sobre zapata</t>
  </si>
  <si>
    <t>Ancho tributario del líquido sobre fundación</t>
  </si>
  <si>
    <t>Peso manto y techo del tanque</t>
  </si>
  <si>
    <t>Carga axial total</t>
  </si>
  <si>
    <t>6.3</t>
  </si>
  <si>
    <t>Estabilidad incluyendo sismo vertical</t>
  </si>
  <si>
    <t>Sismo vertical hacia arriba</t>
  </si>
  <si>
    <t>i.a</t>
  </si>
  <si>
    <t>Porcentaje área comprimida para sismo vertical hacia arriba</t>
  </si>
  <si>
    <t>Carga axial a nivel inferior del tanque</t>
  </si>
  <si>
    <t>Cálculo de área apoyada según Beton Kalendar</t>
  </si>
  <si>
    <t>Área fundación anular</t>
  </si>
  <si>
    <t>z/R</t>
  </si>
  <si>
    <t>e/r</t>
  </si>
  <si>
    <t>smax/s</t>
  </si>
  <si>
    <t>rint/r</t>
  </si>
  <si>
    <t>rint/rext</t>
  </si>
  <si>
    <t>x-1</t>
  </si>
  <si>
    <t>x+1</t>
  </si>
  <si>
    <t>v1</t>
  </si>
  <si>
    <t>Interpolación de B-K</t>
  </si>
  <si>
    <t>Valor de Z para el caso 1</t>
  </si>
  <si>
    <t>v2</t>
  </si>
  <si>
    <t>Tensión de compresión máxima para el caso 1</t>
  </si>
  <si>
    <t>[%]</t>
  </si>
  <si>
    <t>CALCULO DE AREAS EN COMPRESION</t>
  </si>
  <si>
    <t>Aanillo</t>
  </si>
  <si>
    <t>h</t>
  </si>
  <si>
    <t>Theta_C1</t>
  </si>
  <si>
    <t>b.c2</t>
  </si>
  <si>
    <t>Beta_c2</t>
  </si>
  <si>
    <t>alfa_c2</t>
  </si>
  <si>
    <t>b_c3</t>
  </si>
  <si>
    <t>alfa_c3</t>
  </si>
  <si>
    <t>beta_c3</t>
  </si>
  <si>
    <t>Theta_c4</t>
  </si>
  <si>
    <t>Alevan</t>
  </si>
  <si>
    <t>Zc1</t>
  </si>
  <si>
    <t>Caso 1</t>
  </si>
  <si>
    <t>Caso 2</t>
  </si>
  <si>
    <t>Caso 3</t>
  </si>
  <si>
    <t>Caso 4</t>
  </si>
  <si>
    <t>Caso 5</t>
  </si>
  <si>
    <t>Zc1 &gt;</t>
  </si>
  <si>
    <t>Zc1&lt;</t>
  </si>
  <si>
    <t>Zc1=</t>
  </si>
  <si>
    <t>Porcentaje de área en compresión caso 1</t>
  </si>
  <si>
    <t>Tensión admisible del suelo</t>
  </si>
  <si>
    <t>(R =</t>
  </si>
  <si>
    <t>i.b</t>
  </si>
  <si>
    <t>Factor de seguridad al deslizamiento</t>
  </si>
  <si>
    <t>Peso relleno al interior del anillo de fundación</t>
  </si>
  <si>
    <t>7.</t>
  </si>
  <si>
    <t>7.1</t>
  </si>
  <si>
    <t>DISEÑO DE PERNOS DE ANCLAJE</t>
  </si>
  <si>
    <t>Nota: Cálculo referencial. El diseño definitivo es responsabilidad del proveedor</t>
  </si>
  <si>
    <t>Requerimientos mínimos para pernos de anclaje</t>
  </si>
  <si>
    <t>[ " ]</t>
  </si>
  <si>
    <t>[pernos]</t>
  </si>
  <si>
    <t>Cantidad mínima de pernos de anclaje</t>
  </si>
  <si>
    <t>Espaciamiento máximo entre pernos (API650-13.E.7.1.2)</t>
  </si>
  <si>
    <t>Diámetro mínimo de pernos (API650-13. E.7.1.2)</t>
  </si>
  <si>
    <t>7.2</t>
  </si>
  <si>
    <t>Disposición de pernos de anclaje referencial</t>
  </si>
  <si>
    <t>PERNOS ANCLAJE</t>
  </si>
  <si>
    <t>F1554 Gr36</t>
  </si>
  <si>
    <t>Tension ruptura</t>
  </si>
  <si>
    <t>Tension fluencia</t>
  </si>
  <si>
    <t>Fu ksi</t>
  </si>
  <si>
    <t>Fy ksi</t>
  </si>
  <si>
    <t>ksi-&gt; kgf/cm2</t>
  </si>
  <si>
    <t>Tensión de fluencia del perno de anclaje</t>
  </si>
  <si>
    <t>Tensión de ruptura del perno de anclaje</t>
  </si>
  <si>
    <t>Diámetro nominal del perno de anclaje a usar</t>
  </si>
  <si>
    <t>Número de pernos de anclaje a usar</t>
  </si>
  <si>
    <t>Separación de pernos de anclaje</t>
  </si>
  <si>
    <t>Coeficiente de roce suelo-hormigón</t>
  </si>
  <si>
    <t>7.3</t>
  </si>
  <si>
    <t>Resistencia de pernos de anclaje a tracción pura</t>
  </si>
  <si>
    <t>Tracción solicitante mayorada</t>
  </si>
  <si>
    <t>Tracción no mayorada por perno</t>
  </si>
  <si>
    <t>Tracción mayorada por perno</t>
  </si>
  <si>
    <t>Resistencia nominal minorada a tracción</t>
  </si>
  <si>
    <t>Factor de minoración resistencia anclaje en tracción</t>
  </si>
  <si>
    <t>Tensión última a tracción del perno</t>
  </si>
  <si>
    <t>nt</t>
  </si>
  <si>
    <t xml:space="preserve">Cantidad de hilos por pulgada del perno </t>
  </si>
  <si>
    <t>hilos/pulg</t>
  </si>
  <si>
    <t>Área efectiva perno de anclaje en tracción</t>
  </si>
  <si>
    <t>Resistencia nominal minorada anclaje en tracción</t>
  </si>
  <si>
    <r>
      <rPr>
        <sz val="11"/>
        <rFont val="Symbol"/>
        <family val="1"/>
        <charset val="2"/>
      </rPr>
      <t>g</t>
    </r>
    <r>
      <rPr>
        <sz val="11"/>
        <rFont val="Calibri"/>
        <family val="2"/>
      </rPr>
      <t>f</t>
    </r>
  </si>
  <si>
    <r>
      <t>[tonf/m</t>
    </r>
    <r>
      <rPr>
        <vertAlign val="superscript"/>
        <sz val="11"/>
        <rFont val="Calibri"/>
        <family val="2"/>
      </rPr>
      <t>3</t>
    </r>
    <r>
      <rPr>
        <sz val="11"/>
        <rFont val="Calibri"/>
        <family val="2"/>
      </rPr>
      <t>]</t>
    </r>
  </si>
  <si>
    <t>F y</t>
  </si>
  <si>
    <t>F u</t>
  </si>
  <si>
    <r>
      <rPr>
        <sz val="11"/>
        <rFont val="Symbol"/>
        <family val="1"/>
        <charset val="2"/>
      </rPr>
      <t>g</t>
    </r>
    <r>
      <rPr>
        <sz val="11"/>
        <rFont val="Calibri"/>
        <family val="1"/>
        <charset val="2"/>
      </rPr>
      <t>s</t>
    </r>
  </si>
  <si>
    <r>
      <t>[kgf/m</t>
    </r>
    <r>
      <rPr>
        <vertAlign val="superscript"/>
        <sz val="11"/>
        <rFont val="Calibri"/>
        <family val="2"/>
      </rPr>
      <t>3</t>
    </r>
    <r>
      <rPr>
        <sz val="11"/>
        <rFont val="Calibri"/>
        <family val="2"/>
      </rPr>
      <t>]</t>
    </r>
  </si>
  <si>
    <r>
      <rPr>
        <sz val="11"/>
        <rFont val="Symbol"/>
        <family val="1"/>
        <charset val="2"/>
      </rPr>
      <t>g</t>
    </r>
    <r>
      <rPr>
        <vertAlign val="subscript"/>
        <sz val="11"/>
        <rFont val="Calibri"/>
        <family val="2"/>
      </rPr>
      <t>HA</t>
    </r>
  </si>
  <si>
    <r>
      <t>[m</t>
    </r>
    <r>
      <rPr>
        <vertAlign val="superscript"/>
        <sz val="11"/>
        <rFont val="Calibri"/>
        <family val="2"/>
      </rPr>
      <t>3</t>
    </r>
    <r>
      <rPr>
        <sz val="11"/>
        <rFont val="Calibri"/>
        <family val="2"/>
      </rPr>
      <t>]</t>
    </r>
  </si>
  <si>
    <r>
      <t>S</t>
    </r>
    <r>
      <rPr>
        <vertAlign val="subscript"/>
        <sz val="11"/>
        <rFont val="Calibri"/>
        <family val="2"/>
      </rPr>
      <t>SCt</t>
    </r>
  </si>
  <si>
    <r>
      <t>W</t>
    </r>
    <r>
      <rPr>
        <vertAlign val="subscript"/>
        <sz val="11"/>
        <rFont val="Calibri"/>
        <family val="2"/>
      </rPr>
      <t>SC_W</t>
    </r>
  </si>
  <si>
    <r>
      <t>C</t>
    </r>
    <r>
      <rPr>
        <vertAlign val="subscript"/>
        <sz val="11"/>
        <rFont val="Calibri"/>
        <family val="2"/>
      </rPr>
      <t>imax</t>
    </r>
  </si>
  <si>
    <r>
      <rPr>
        <sz val="11"/>
        <rFont val="Symbol"/>
        <family val="1"/>
        <charset val="2"/>
      </rPr>
      <t>x</t>
    </r>
    <r>
      <rPr>
        <sz val="11"/>
        <rFont val="Calibri"/>
        <family val="2"/>
      </rPr>
      <t xml:space="preserve"> =</t>
    </r>
  </si>
  <si>
    <r>
      <t>t</t>
    </r>
    <r>
      <rPr>
        <vertAlign val="subscript"/>
        <sz val="11"/>
        <rFont val="Calibri"/>
        <family val="2"/>
      </rPr>
      <t>min_b</t>
    </r>
  </si>
  <si>
    <r>
      <t>t</t>
    </r>
    <r>
      <rPr>
        <vertAlign val="subscript"/>
        <sz val="11"/>
        <rFont val="Calibri"/>
        <family val="2"/>
      </rPr>
      <t>b</t>
    </r>
  </si>
  <si>
    <r>
      <t>t</t>
    </r>
    <r>
      <rPr>
        <vertAlign val="subscript"/>
        <sz val="11"/>
        <rFont val="Calibri"/>
        <family val="2"/>
      </rPr>
      <t>b_WL</t>
    </r>
  </si>
  <si>
    <r>
      <t>Espesor mínimo para el cálculo de w</t>
    </r>
    <r>
      <rPr>
        <vertAlign val="subscript"/>
        <sz val="11"/>
        <rFont val="Calibri"/>
        <family val="2"/>
      </rPr>
      <t>L</t>
    </r>
  </si>
  <si>
    <r>
      <rPr>
        <sz val="11"/>
        <rFont val="Symbol"/>
        <family val="1"/>
        <charset val="2"/>
      </rPr>
      <t>g</t>
    </r>
    <r>
      <rPr>
        <vertAlign val="subscript"/>
        <sz val="11"/>
        <rFont val="Calibri"/>
        <family val="2"/>
      </rPr>
      <t>rell</t>
    </r>
  </si>
  <si>
    <r>
      <rPr>
        <sz val="11"/>
        <rFont val="Symbol"/>
        <family val="1"/>
        <charset val="2"/>
      </rPr>
      <t>f</t>
    </r>
    <r>
      <rPr>
        <vertAlign val="subscript"/>
        <sz val="11"/>
        <rFont val="Calibri"/>
        <family val="2"/>
      </rPr>
      <t>rell</t>
    </r>
  </si>
  <si>
    <r>
      <t>W</t>
    </r>
    <r>
      <rPr>
        <vertAlign val="subscript"/>
        <sz val="11"/>
        <rFont val="Calibri"/>
        <family val="2"/>
      </rPr>
      <t>fund</t>
    </r>
  </si>
  <si>
    <r>
      <t>W</t>
    </r>
    <r>
      <rPr>
        <vertAlign val="subscript"/>
        <sz val="11"/>
        <rFont val="Calibri"/>
        <family val="2"/>
      </rPr>
      <t>rell_ext</t>
    </r>
  </si>
  <si>
    <r>
      <t>W</t>
    </r>
    <r>
      <rPr>
        <vertAlign val="subscript"/>
        <sz val="11"/>
        <rFont val="Calibri"/>
        <family val="2"/>
      </rPr>
      <t>rell_int</t>
    </r>
  </si>
  <si>
    <r>
      <t>W</t>
    </r>
    <r>
      <rPr>
        <vertAlign val="subscript"/>
        <sz val="11"/>
        <rFont val="Calibri"/>
        <family val="2"/>
      </rPr>
      <t>rell</t>
    </r>
  </si>
  <si>
    <r>
      <t>W</t>
    </r>
    <r>
      <rPr>
        <vertAlign val="subscript"/>
        <sz val="11"/>
        <rFont val="Calibri"/>
        <family val="2"/>
      </rPr>
      <t>liq_zap</t>
    </r>
  </si>
  <si>
    <r>
      <t>W</t>
    </r>
    <r>
      <rPr>
        <vertAlign val="subscript"/>
        <sz val="11"/>
        <rFont val="Calibri"/>
        <family val="2"/>
      </rPr>
      <t>s</t>
    </r>
    <r>
      <rPr>
        <sz val="11"/>
        <rFont val="Calibri"/>
        <family val="2"/>
      </rPr>
      <t>+W</t>
    </r>
    <r>
      <rPr>
        <vertAlign val="subscript"/>
        <sz val="11"/>
        <rFont val="Calibri"/>
        <family val="2"/>
      </rPr>
      <t>r</t>
    </r>
  </si>
  <si>
    <r>
      <t>N</t>
    </r>
    <r>
      <rPr>
        <vertAlign val="subscript"/>
        <sz val="11"/>
        <rFont val="Calibri"/>
        <family val="2"/>
      </rPr>
      <t>total</t>
    </r>
    <r>
      <rPr>
        <sz val="11"/>
        <rFont val="Calibri"/>
        <family val="2"/>
      </rPr>
      <t xml:space="preserve"> = W</t>
    </r>
    <r>
      <rPr>
        <vertAlign val="subscript"/>
        <sz val="11"/>
        <rFont val="Calibri"/>
        <family val="2"/>
      </rPr>
      <t>fund</t>
    </r>
    <r>
      <rPr>
        <sz val="11"/>
        <rFont val="Calibri"/>
        <family val="2"/>
      </rPr>
      <t xml:space="preserve"> + W</t>
    </r>
    <r>
      <rPr>
        <vertAlign val="subscript"/>
        <sz val="11"/>
        <rFont val="Calibri"/>
        <family val="2"/>
      </rPr>
      <t>rell</t>
    </r>
    <r>
      <rPr>
        <sz val="11"/>
        <rFont val="Calibri"/>
        <family val="2"/>
      </rPr>
      <t xml:space="preserve"> + W</t>
    </r>
    <r>
      <rPr>
        <vertAlign val="subscript"/>
        <sz val="11"/>
        <rFont val="Calibri"/>
        <family val="2"/>
      </rPr>
      <t>liq_zap</t>
    </r>
    <r>
      <rPr>
        <sz val="11"/>
        <rFont val="Calibri"/>
        <family val="2"/>
      </rPr>
      <t xml:space="preserve"> + W</t>
    </r>
    <r>
      <rPr>
        <vertAlign val="subscript"/>
        <sz val="11"/>
        <rFont val="Calibri"/>
        <family val="2"/>
      </rPr>
      <t>s</t>
    </r>
    <r>
      <rPr>
        <sz val="11"/>
        <rFont val="Calibri"/>
        <family val="2"/>
      </rPr>
      <t xml:space="preserve"> + W</t>
    </r>
    <r>
      <rPr>
        <vertAlign val="subscript"/>
        <sz val="11"/>
        <rFont val="Calibri"/>
        <family val="2"/>
      </rPr>
      <t>r</t>
    </r>
    <r>
      <rPr>
        <sz val="11"/>
        <rFont val="Calibri"/>
        <family val="2"/>
      </rPr>
      <t xml:space="preserve"> + N</t>
    </r>
    <r>
      <rPr>
        <vertAlign val="subscript"/>
        <sz val="11"/>
        <rFont val="Calibri"/>
        <family val="2"/>
      </rPr>
      <t>ad_r</t>
    </r>
  </si>
  <si>
    <r>
      <t>N</t>
    </r>
    <r>
      <rPr>
        <vertAlign val="subscript"/>
        <sz val="11"/>
        <rFont val="Calibri"/>
        <family val="2"/>
      </rPr>
      <t>total</t>
    </r>
  </si>
  <si>
    <r>
      <t>N</t>
    </r>
    <r>
      <rPr>
        <vertAlign val="subscript"/>
        <sz val="11"/>
        <rFont val="Calibri"/>
        <family val="2"/>
      </rPr>
      <t>O</t>
    </r>
    <r>
      <rPr>
        <sz val="11"/>
        <rFont val="Calibri"/>
        <family val="2"/>
      </rPr>
      <t xml:space="preserve"> = W</t>
    </r>
    <r>
      <rPr>
        <vertAlign val="subscript"/>
        <sz val="11"/>
        <rFont val="Calibri"/>
        <family val="2"/>
      </rPr>
      <t>liq_zap</t>
    </r>
    <r>
      <rPr>
        <sz val="11"/>
        <rFont val="Calibri"/>
        <family val="2"/>
      </rPr>
      <t xml:space="preserve"> + W</t>
    </r>
    <r>
      <rPr>
        <vertAlign val="subscript"/>
        <sz val="11"/>
        <rFont val="Calibri"/>
        <family val="2"/>
      </rPr>
      <t>s</t>
    </r>
    <r>
      <rPr>
        <sz val="11"/>
        <rFont val="Calibri"/>
        <family val="2"/>
      </rPr>
      <t xml:space="preserve"> + W</t>
    </r>
    <r>
      <rPr>
        <vertAlign val="subscript"/>
        <sz val="11"/>
        <rFont val="Calibri"/>
        <family val="2"/>
      </rPr>
      <t>r</t>
    </r>
    <r>
      <rPr>
        <sz val="11"/>
        <rFont val="Calibri"/>
        <family val="2"/>
      </rPr>
      <t xml:space="preserve"> + N</t>
    </r>
    <r>
      <rPr>
        <vertAlign val="subscript"/>
        <sz val="11"/>
        <rFont val="Calibri"/>
        <family val="2"/>
      </rPr>
      <t>ad_r</t>
    </r>
    <r>
      <rPr>
        <sz val="11"/>
        <rFont val="Calibri"/>
        <family val="2"/>
      </rPr>
      <t xml:space="preserve"> =</t>
    </r>
  </si>
  <si>
    <r>
      <t>N</t>
    </r>
    <r>
      <rPr>
        <vertAlign val="subscript"/>
        <sz val="11"/>
        <rFont val="Calibri"/>
        <family val="2"/>
      </rPr>
      <t>O</t>
    </r>
  </si>
  <si>
    <r>
      <t>N</t>
    </r>
    <r>
      <rPr>
        <vertAlign val="subscript"/>
        <sz val="11"/>
        <rFont val="Calibri"/>
        <family val="2"/>
      </rPr>
      <t>vpos</t>
    </r>
  </si>
  <si>
    <r>
      <t>Q</t>
    </r>
    <r>
      <rPr>
        <vertAlign val="subscript"/>
        <sz val="11"/>
        <rFont val="Calibri"/>
        <family val="2"/>
      </rPr>
      <t>rell</t>
    </r>
  </si>
  <si>
    <r>
      <t>Q</t>
    </r>
    <r>
      <rPr>
        <vertAlign val="subscript"/>
        <sz val="11"/>
        <rFont val="Calibri"/>
        <family val="2"/>
      </rPr>
      <t>total</t>
    </r>
    <r>
      <rPr>
        <sz val="11"/>
        <rFont val="Calibri"/>
        <family val="2"/>
      </rPr>
      <t xml:space="preserve"> = V + Q</t>
    </r>
    <r>
      <rPr>
        <vertAlign val="subscript"/>
        <sz val="11"/>
        <rFont val="Calibri"/>
        <family val="2"/>
      </rPr>
      <t>rell</t>
    </r>
    <r>
      <rPr>
        <sz val="11"/>
        <rFont val="Calibri"/>
        <family val="2"/>
      </rPr>
      <t xml:space="preserve"> =</t>
    </r>
  </si>
  <si>
    <r>
      <t>Q</t>
    </r>
    <r>
      <rPr>
        <vertAlign val="subscript"/>
        <sz val="11"/>
        <rFont val="Calibri"/>
        <family val="2"/>
      </rPr>
      <t>total</t>
    </r>
  </si>
  <si>
    <r>
      <t>M</t>
    </r>
    <r>
      <rPr>
        <vertAlign val="subscript"/>
        <sz val="11"/>
        <rFont val="Calibri"/>
        <family val="2"/>
      </rPr>
      <t>total</t>
    </r>
  </si>
  <si>
    <r>
      <t>e</t>
    </r>
    <r>
      <rPr>
        <vertAlign val="subscript"/>
        <sz val="11"/>
        <rFont val="Calibri"/>
        <family val="2"/>
      </rPr>
      <t>vpos</t>
    </r>
  </si>
  <si>
    <r>
      <t xml:space="preserve">Parámetro para obtener z y </t>
    </r>
    <r>
      <rPr>
        <sz val="11"/>
        <rFont val="Symbol"/>
        <family val="1"/>
        <charset val="2"/>
      </rPr>
      <t>s</t>
    </r>
    <r>
      <rPr>
        <sz val="11"/>
        <rFont val="Calibri"/>
        <family val="2"/>
      </rPr>
      <t xml:space="preserve"> máx, de Tablas 10 y 11 en Beton-Kalendar 1975.</t>
    </r>
  </si>
  <si>
    <r>
      <t>[m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>]</t>
    </r>
  </si>
  <si>
    <r>
      <t>Z</t>
    </r>
    <r>
      <rPr>
        <vertAlign val="subscript"/>
        <sz val="11"/>
        <rFont val="Calibri"/>
        <family val="2"/>
      </rPr>
      <t>C1</t>
    </r>
    <r>
      <rPr>
        <sz val="11"/>
        <rFont val="Calibri"/>
        <family val="2"/>
      </rPr>
      <t xml:space="preserve"> = v1*r</t>
    </r>
    <r>
      <rPr>
        <vertAlign val="subscript"/>
        <sz val="11"/>
        <rFont val="Calibri"/>
        <family val="2"/>
      </rPr>
      <t>ext</t>
    </r>
  </si>
  <si>
    <r>
      <t>[tonf/m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>]</t>
    </r>
  </si>
  <si>
    <r>
      <t>%A</t>
    </r>
    <r>
      <rPr>
        <vertAlign val="subscript"/>
        <sz val="11"/>
        <rFont val="Calibri"/>
        <family val="2"/>
      </rPr>
      <t>comp</t>
    </r>
  </si>
  <si>
    <r>
      <rPr>
        <sz val="11"/>
        <rFont val="Symbol"/>
        <family val="1"/>
        <charset val="2"/>
      </rPr>
      <t>s</t>
    </r>
    <r>
      <rPr>
        <vertAlign val="subscript"/>
        <sz val="11"/>
        <rFont val="Calibri"/>
        <family val="2"/>
      </rPr>
      <t>adm</t>
    </r>
  </si>
  <si>
    <r>
      <t>N</t>
    </r>
    <r>
      <rPr>
        <vertAlign val="subscript"/>
        <sz val="11"/>
        <rFont val="Calibri"/>
        <family val="2"/>
      </rPr>
      <t>vneg</t>
    </r>
  </si>
  <si>
    <r>
      <t>e</t>
    </r>
    <r>
      <rPr>
        <vertAlign val="subscript"/>
        <sz val="11"/>
        <rFont val="Calibri"/>
        <family val="2"/>
      </rPr>
      <t>vneg</t>
    </r>
  </si>
  <si>
    <r>
      <t>Z</t>
    </r>
    <r>
      <rPr>
        <vertAlign val="subscript"/>
        <sz val="11"/>
        <rFont val="Calibri"/>
        <family val="2"/>
      </rPr>
      <t>C2</t>
    </r>
    <r>
      <rPr>
        <sz val="11"/>
        <rFont val="Calibri"/>
        <family val="2"/>
      </rPr>
      <t xml:space="preserve"> = v1*r</t>
    </r>
    <r>
      <rPr>
        <vertAlign val="subscript"/>
        <sz val="11"/>
        <rFont val="Calibri"/>
        <family val="2"/>
      </rPr>
      <t>ext</t>
    </r>
  </si>
  <si>
    <r>
      <t>d</t>
    </r>
    <r>
      <rPr>
        <vertAlign val="subscript"/>
        <sz val="11"/>
        <rFont val="Calibri"/>
        <family val="2"/>
      </rPr>
      <t>pa_min</t>
    </r>
  </si>
  <si>
    <r>
      <t>n</t>
    </r>
    <r>
      <rPr>
        <vertAlign val="subscript"/>
        <sz val="11"/>
        <rFont val="Calibri"/>
        <family val="2"/>
      </rPr>
      <t>pa_min</t>
    </r>
  </si>
  <si>
    <r>
      <t>S</t>
    </r>
    <r>
      <rPr>
        <vertAlign val="subscript"/>
        <sz val="11"/>
        <rFont val="Calibri"/>
        <family val="2"/>
      </rPr>
      <t>pa_max</t>
    </r>
  </si>
  <si>
    <r>
      <t>f</t>
    </r>
    <r>
      <rPr>
        <vertAlign val="subscript"/>
        <sz val="11"/>
        <rFont val="Calibri"/>
        <family val="2"/>
      </rPr>
      <t>y_pa</t>
    </r>
  </si>
  <si>
    <r>
      <t>[tonf/cm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>]</t>
    </r>
  </si>
  <si>
    <r>
      <t>f</t>
    </r>
    <r>
      <rPr>
        <vertAlign val="subscript"/>
        <sz val="11"/>
        <rFont val="Calibri"/>
        <family val="2"/>
      </rPr>
      <t>u_pa</t>
    </r>
  </si>
  <si>
    <r>
      <t>d</t>
    </r>
    <r>
      <rPr>
        <vertAlign val="subscript"/>
        <sz val="11"/>
        <rFont val="Calibri"/>
        <family val="2"/>
      </rPr>
      <t>pa</t>
    </r>
  </si>
  <si>
    <r>
      <t>n</t>
    </r>
    <r>
      <rPr>
        <vertAlign val="subscript"/>
        <sz val="11"/>
        <rFont val="Calibri"/>
        <family val="2"/>
      </rPr>
      <t>pa</t>
    </r>
  </si>
  <si>
    <r>
      <t>S</t>
    </r>
    <r>
      <rPr>
        <vertAlign val="subscript"/>
        <sz val="11"/>
        <rFont val="Calibri"/>
        <family val="2"/>
      </rPr>
      <t>pa</t>
    </r>
  </si>
  <si>
    <r>
      <t>T</t>
    </r>
    <r>
      <rPr>
        <vertAlign val="subscript"/>
        <sz val="11"/>
        <rFont val="Calibri"/>
        <family val="2"/>
      </rPr>
      <t>pa</t>
    </r>
  </si>
  <si>
    <r>
      <t>N</t>
    </r>
    <r>
      <rPr>
        <vertAlign val="subscript"/>
        <sz val="11"/>
        <rFont val="Calibri"/>
        <family val="2"/>
      </rPr>
      <t>pu</t>
    </r>
    <r>
      <rPr>
        <sz val="11"/>
        <rFont val="Calibri"/>
        <family val="2"/>
      </rPr>
      <t>=1.5T</t>
    </r>
    <r>
      <rPr>
        <vertAlign val="subscript"/>
        <sz val="11"/>
        <rFont val="Calibri"/>
        <family val="2"/>
      </rPr>
      <t>pa</t>
    </r>
  </si>
  <si>
    <r>
      <t>N</t>
    </r>
    <r>
      <rPr>
        <vertAlign val="subscript"/>
        <sz val="11"/>
        <rFont val="Calibri"/>
        <family val="2"/>
      </rPr>
      <t>pu</t>
    </r>
  </si>
  <si>
    <r>
      <rPr>
        <sz val="11"/>
        <rFont val="Symbol"/>
        <family val="1"/>
        <charset val="2"/>
      </rPr>
      <t>f</t>
    </r>
    <r>
      <rPr>
        <vertAlign val="subscript"/>
        <sz val="11"/>
        <rFont val="Calibri"/>
        <family val="2"/>
      </rPr>
      <t>sa</t>
    </r>
  </si>
  <si>
    <r>
      <t>n</t>
    </r>
    <r>
      <rPr>
        <vertAlign val="subscript"/>
        <sz val="11"/>
        <rFont val="Calibri"/>
        <family val="2"/>
      </rPr>
      <t>t</t>
    </r>
  </si>
  <si>
    <r>
      <t>[cm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>]</t>
    </r>
  </si>
  <si>
    <r>
      <t>f</t>
    </r>
    <r>
      <rPr>
        <vertAlign val="subscript"/>
        <sz val="11"/>
        <rFont val="Calibri"/>
        <family val="2"/>
      </rPr>
      <t>uta</t>
    </r>
    <r>
      <rPr>
        <sz val="11"/>
        <rFont val="Calibri"/>
        <family val="2"/>
      </rPr>
      <t xml:space="preserve"> = min {f</t>
    </r>
    <r>
      <rPr>
        <vertAlign val="subscript"/>
        <sz val="11"/>
        <rFont val="Calibri"/>
        <family val="2"/>
      </rPr>
      <t>u_pa</t>
    </r>
    <r>
      <rPr>
        <sz val="11"/>
        <rFont val="Calibri"/>
        <family val="2"/>
      </rPr>
      <t>;1.9f</t>
    </r>
    <r>
      <rPr>
        <vertAlign val="subscript"/>
        <sz val="11"/>
        <rFont val="Calibri"/>
        <family val="2"/>
      </rPr>
      <t>y_pa</t>
    </r>
    <r>
      <rPr>
        <sz val="11"/>
        <rFont val="Calibri"/>
        <family val="2"/>
      </rPr>
      <t>;860[Mpa]}</t>
    </r>
  </si>
  <si>
    <r>
      <rPr>
        <sz val="11"/>
        <rFont val="Symbol"/>
        <family val="1"/>
        <charset val="2"/>
      </rPr>
      <t>f</t>
    </r>
    <r>
      <rPr>
        <sz val="11"/>
        <rFont val="Calibri"/>
        <family val="2"/>
      </rPr>
      <t>N</t>
    </r>
    <r>
      <rPr>
        <vertAlign val="subscript"/>
        <sz val="11"/>
        <rFont val="Calibri"/>
        <family val="2"/>
      </rPr>
      <t>sa</t>
    </r>
    <r>
      <rPr>
        <sz val="11"/>
        <rFont val="Calibri"/>
        <family val="2"/>
      </rPr>
      <t>=</t>
    </r>
    <r>
      <rPr>
        <sz val="11"/>
        <rFont val="Symbol"/>
        <family val="1"/>
        <charset val="2"/>
      </rPr>
      <t>f</t>
    </r>
    <r>
      <rPr>
        <vertAlign val="subscript"/>
        <sz val="11"/>
        <rFont val="Calibri"/>
        <family val="2"/>
      </rPr>
      <t>sa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(A</t>
    </r>
    <r>
      <rPr>
        <vertAlign val="subscript"/>
        <sz val="11"/>
        <rFont val="Calibri"/>
        <family val="2"/>
      </rPr>
      <t>se_N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f</t>
    </r>
    <r>
      <rPr>
        <vertAlign val="subscript"/>
        <sz val="11"/>
        <rFont val="Calibri"/>
        <family val="2"/>
      </rPr>
      <t>uta</t>
    </r>
    <r>
      <rPr>
        <sz val="11"/>
        <rFont val="Calibri"/>
        <family val="2"/>
      </rPr>
      <t>)</t>
    </r>
  </si>
  <si>
    <t>Factor de utilización por tracción pura</t>
  </si>
  <si>
    <t>7.4</t>
  </si>
  <si>
    <t>Resistencia de pernos de anclaje a corte puro</t>
  </si>
  <si>
    <t>Corte solicitante mayorado</t>
  </si>
  <si>
    <t>Cantidad de pernos que toman el corte puro</t>
  </si>
  <si>
    <r>
      <t>n</t>
    </r>
    <r>
      <rPr>
        <vertAlign val="subscript"/>
        <sz val="11"/>
        <rFont val="Calibri"/>
        <family val="2"/>
      </rPr>
      <t>pav</t>
    </r>
    <r>
      <rPr>
        <sz val="11"/>
        <rFont val="Calibri"/>
        <family val="2"/>
      </rPr>
      <t>=int(n</t>
    </r>
    <r>
      <rPr>
        <vertAlign val="subscript"/>
        <sz val="11"/>
        <rFont val="Calibri"/>
        <family val="2"/>
      </rPr>
      <t>pa</t>
    </r>
    <r>
      <rPr>
        <sz val="11"/>
        <rFont val="Calibri"/>
        <family val="2"/>
      </rPr>
      <t>/3)</t>
    </r>
  </si>
  <si>
    <r>
      <t>V</t>
    </r>
    <r>
      <rPr>
        <vertAlign val="subscript"/>
        <sz val="11"/>
        <rFont val="Calibri"/>
        <family val="2"/>
      </rPr>
      <t>pa</t>
    </r>
    <r>
      <rPr>
        <sz val="11"/>
        <rFont val="Calibri"/>
        <family val="2"/>
      </rPr>
      <t>=V/n</t>
    </r>
    <r>
      <rPr>
        <vertAlign val="subscript"/>
        <sz val="11"/>
        <rFont val="Calibri"/>
        <family val="2"/>
      </rPr>
      <t>pav</t>
    </r>
  </si>
  <si>
    <t>Corte no mayorado por perno</t>
  </si>
  <si>
    <r>
      <t>V</t>
    </r>
    <r>
      <rPr>
        <vertAlign val="subscript"/>
        <sz val="11"/>
        <rFont val="Calibri"/>
        <family val="2"/>
      </rPr>
      <t>pa</t>
    </r>
  </si>
  <si>
    <r>
      <t>V</t>
    </r>
    <r>
      <rPr>
        <vertAlign val="subscript"/>
        <sz val="11"/>
        <rFont val="Calibri"/>
        <family val="2"/>
      </rPr>
      <t>pu</t>
    </r>
  </si>
  <si>
    <t>Corte mayorado por perno</t>
  </si>
  <si>
    <r>
      <t>V</t>
    </r>
    <r>
      <rPr>
        <vertAlign val="subscript"/>
        <sz val="11"/>
        <rFont val="Calibri"/>
        <family val="2"/>
      </rPr>
      <t>pu</t>
    </r>
    <r>
      <rPr>
        <sz val="11"/>
        <rFont val="Calibri"/>
        <family val="2"/>
      </rPr>
      <t>=1.5V</t>
    </r>
    <r>
      <rPr>
        <vertAlign val="subscript"/>
        <sz val="11"/>
        <rFont val="Calibri"/>
        <family val="2"/>
      </rPr>
      <t>pa</t>
    </r>
  </si>
  <si>
    <t>Resistencia nominal minorada al corte</t>
  </si>
  <si>
    <r>
      <rPr>
        <sz val="11"/>
        <rFont val="Symbol"/>
        <family val="1"/>
        <charset val="2"/>
      </rPr>
      <t>f</t>
    </r>
    <r>
      <rPr>
        <vertAlign val="subscript"/>
        <sz val="11"/>
        <rFont val="Calibri"/>
        <family val="2"/>
      </rPr>
      <t>sav</t>
    </r>
  </si>
  <si>
    <t>Factor de minoración resistencia anclaje al corte</t>
  </si>
  <si>
    <t>Área efectiva perno de anclaje en corte</t>
  </si>
  <si>
    <r>
      <rPr>
        <sz val="11"/>
        <rFont val="Symbol"/>
        <family val="1"/>
        <charset val="2"/>
      </rPr>
      <t>f</t>
    </r>
    <r>
      <rPr>
        <sz val="11"/>
        <rFont val="Calibri"/>
        <family val="2"/>
      </rPr>
      <t>V</t>
    </r>
    <r>
      <rPr>
        <vertAlign val="subscript"/>
        <sz val="11"/>
        <rFont val="Calibri"/>
        <family val="2"/>
      </rPr>
      <t>sa</t>
    </r>
    <r>
      <rPr>
        <sz val="11"/>
        <rFont val="Calibri"/>
        <family val="2"/>
      </rPr>
      <t>=</t>
    </r>
    <r>
      <rPr>
        <sz val="11"/>
        <rFont val="Symbol"/>
        <family val="1"/>
        <charset val="2"/>
      </rPr>
      <t>f</t>
    </r>
    <r>
      <rPr>
        <vertAlign val="subscript"/>
        <sz val="11"/>
        <rFont val="Calibri"/>
        <family val="2"/>
      </rPr>
      <t>sav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(0.6A</t>
    </r>
    <r>
      <rPr>
        <vertAlign val="subscript"/>
        <sz val="11"/>
        <rFont val="Calibri"/>
        <family val="2"/>
      </rPr>
      <t>se_V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f</t>
    </r>
    <r>
      <rPr>
        <vertAlign val="subscript"/>
        <sz val="11"/>
        <rFont val="Calibri"/>
        <family val="2"/>
      </rPr>
      <t>uta</t>
    </r>
    <r>
      <rPr>
        <sz val="11"/>
        <rFont val="Calibri"/>
        <family val="2"/>
      </rPr>
      <t>)</t>
    </r>
  </si>
  <si>
    <t>Resistencia nominal minorada anclaje en corte</t>
  </si>
  <si>
    <t>Factor de utilización por corte puro</t>
  </si>
  <si>
    <t>7.5</t>
  </si>
  <si>
    <t>Interacción corte-tracción para pernos de anclaje</t>
  </si>
  <si>
    <r>
      <t>FU</t>
    </r>
    <r>
      <rPr>
        <vertAlign val="subscript"/>
        <sz val="11"/>
        <rFont val="Calibri"/>
        <family val="2"/>
      </rPr>
      <t>t</t>
    </r>
    <r>
      <rPr>
        <sz val="11"/>
        <rFont val="Calibri"/>
        <family val="2"/>
      </rPr>
      <t>+FU</t>
    </r>
    <r>
      <rPr>
        <vertAlign val="subscript"/>
        <sz val="11"/>
        <rFont val="Calibri"/>
        <family val="2"/>
      </rPr>
      <t>v</t>
    </r>
  </si>
  <si>
    <t>7.6</t>
  </si>
  <si>
    <t>Recomendación llaves de corte</t>
  </si>
  <si>
    <t>8.</t>
  </si>
  <si>
    <t>DISEÑO DE ARMADURA DEL PEDESTAL ANULAR</t>
  </si>
  <si>
    <t xml:space="preserve">Nota: </t>
  </si>
  <si>
    <t>Aunque la condición de viga cantilever no se cumple para el pedestal, se prediseñará la armadura vertical del pedestal bajo esta</t>
  </si>
  <si>
    <t>premisa, para obtener así una aproximación a la armadura requerida para el arrancamiento de los pernos de anclaje.</t>
  </si>
  <si>
    <t>8.1</t>
  </si>
  <si>
    <t>Presión horizontal de relleno estructural y contenido</t>
  </si>
  <si>
    <t>Parámetros del informe de mecánica de suelos</t>
  </si>
  <si>
    <t>f</t>
  </si>
  <si>
    <t>[°]</t>
  </si>
  <si>
    <r>
      <t>K</t>
    </r>
    <r>
      <rPr>
        <vertAlign val="subscript"/>
        <sz val="11"/>
        <rFont val="Calibri"/>
        <family val="2"/>
      </rPr>
      <t>o</t>
    </r>
    <r>
      <rPr>
        <sz val="11"/>
        <rFont val="Calibri"/>
        <family val="2"/>
      </rPr>
      <t>=1-sin</t>
    </r>
    <r>
      <rPr>
        <sz val="11"/>
        <rFont val="Symbol"/>
        <family val="1"/>
        <charset val="2"/>
      </rPr>
      <t>(f</t>
    </r>
    <r>
      <rPr>
        <vertAlign val="subscript"/>
        <sz val="11"/>
        <rFont val="Calibri"/>
        <family val="2"/>
      </rPr>
      <t>rell</t>
    </r>
    <r>
      <rPr>
        <sz val="11"/>
        <rFont val="Calibri"/>
        <family val="2"/>
      </rPr>
      <t>)=</t>
    </r>
  </si>
  <si>
    <t>Propiedades acero de refuerzo</t>
  </si>
  <si>
    <t>Acero de refuerzo</t>
  </si>
  <si>
    <t>ACERO DE REFUERZO</t>
  </si>
  <si>
    <t>A630-420H</t>
  </si>
  <si>
    <t>Fu kg/cm2</t>
  </si>
  <si>
    <t>Fy kg/cm2</t>
  </si>
  <si>
    <t>Tensión fluencia acero de refuerzo</t>
  </si>
  <si>
    <r>
      <t>f</t>
    </r>
    <r>
      <rPr>
        <vertAlign val="subscript"/>
        <sz val="11"/>
        <rFont val="Calibri"/>
        <family val="2"/>
      </rPr>
      <t>yb</t>
    </r>
  </si>
  <si>
    <r>
      <t>E</t>
    </r>
    <r>
      <rPr>
        <vertAlign val="subscript"/>
        <sz val="11"/>
        <rFont val="Calibri"/>
        <family val="2"/>
      </rPr>
      <t>s</t>
    </r>
  </si>
  <si>
    <r>
      <rPr>
        <sz val="11"/>
        <rFont val="Symbol"/>
        <family val="1"/>
        <charset val="2"/>
      </rPr>
      <t>e</t>
    </r>
    <r>
      <rPr>
        <vertAlign val="subscript"/>
        <sz val="11"/>
        <rFont val="Calibri"/>
        <family val="2"/>
      </rPr>
      <t>yb</t>
    </r>
    <r>
      <rPr>
        <sz val="11"/>
        <rFont val="Calibri"/>
        <family val="2"/>
      </rPr>
      <t>=f</t>
    </r>
    <r>
      <rPr>
        <vertAlign val="subscript"/>
        <sz val="11"/>
        <rFont val="Calibri"/>
        <family val="2"/>
      </rPr>
      <t>yb</t>
    </r>
    <r>
      <rPr>
        <sz val="11"/>
        <rFont val="Calibri"/>
        <family val="2"/>
      </rPr>
      <t>/E</t>
    </r>
    <r>
      <rPr>
        <vertAlign val="subscript"/>
        <sz val="11"/>
        <rFont val="Calibri"/>
        <family val="2"/>
      </rPr>
      <t>s</t>
    </r>
  </si>
  <si>
    <t>Deformación unitaria acero de refuerzo</t>
  </si>
  <si>
    <t>Módulo de elasticidad del acero de refuerzo</t>
  </si>
  <si>
    <t>Presión del líquido sobre el pedestal</t>
  </si>
  <si>
    <r>
      <t>q</t>
    </r>
    <r>
      <rPr>
        <vertAlign val="subscript"/>
        <sz val="11"/>
        <rFont val="Calibri"/>
        <family val="2"/>
      </rPr>
      <t>liq_i</t>
    </r>
    <r>
      <rPr>
        <sz val="11"/>
        <rFont val="Calibri"/>
        <family val="2"/>
      </rPr>
      <t>=K</t>
    </r>
    <r>
      <rPr>
        <vertAlign val="subscript"/>
        <sz val="11"/>
        <rFont val="Calibri"/>
        <family val="2"/>
      </rPr>
      <t>o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(</t>
    </r>
    <r>
      <rPr>
        <sz val="11"/>
        <rFont val="Symbol"/>
        <family val="1"/>
        <charset val="2"/>
      </rPr>
      <t>g</t>
    </r>
    <r>
      <rPr>
        <vertAlign val="subscript"/>
        <sz val="11"/>
        <rFont val="Calibri"/>
        <family val="2"/>
      </rPr>
      <t>f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H)</t>
    </r>
  </si>
  <si>
    <t>[tonf/m²]</t>
  </si>
  <si>
    <t>Presión horizontal por líquido</t>
  </si>
  <si>
    <r>
      <t>P</t>
    </r>
    <r>
      <rPr>
        <vertAlign val="subscript"/>
        <sz val="11"/>
        <rFont val="Calibri"/>
        <family val="2"/>
      </rPr>
      <t>liq_i</t>
    </r>
    <r>
      <rPr>
        <sz val="11"/>
        <rFont val="Calibri"/>
        <family val="2"/>
      </rPr>
      <t>=q</t>
    </r>
    <r>
      <rPr>
        <vertAlign val="subscript"/>
        <sz val="11"/>
        <rFont val="Calibri"/>
        <family val="2"/>
      </rPr>
      <t>liq_i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Hped</t>
    </r>
  </si>
  <si>
    <t>Empuje resultante horizontal por líquido</t>
  </si>
  <si>
    <t>[tonf/m]</t>
  </si>
  <si>
    <r>
      <t>b</t>
    </r>
    <r>
      <rPr>
        <vertAlign val="subscript"/>
        <sz val="11"/>
        <rFont val="Calibri"/>
        <family val="2"/>
      </rPr>
      <t>p_liq</t>
    </r>
    <r>
      <rPr>
        <sz val="11"/>
        <rFont val="Calibri"/>
        <family val="2"/>
      </rPr>
      <t>=Hped/2</t>
    </r>
  </si>
  <si>
    <t>Brazo palanca resultante empuje horizontal</t>
  </si>
  <si>
    <t>Presión del suelo sobre pedestal</t>
  </si>
  <si>
    <r>
      <t>q</t>
    </r>
    <r>
      <rPr>
        <vertAlign val="subscript"/>
        <sz val="11"/>
        <rFont val="Calibri"/>
        <family val="2"/>
      </rPr>
      <t>rell_i</t>
    </r>
    <r>
      <rPr>
        <sz val="11"/>
        <rFont val="Calibri"/>
        <family val="2"/>
      </rPr>
      <t>=K</t>
    </r>
    <r>
      <rPr>
        <vertAlign val="subscript"/>
        <sz val="11"/>
        <rFont val="Calibri"/>
        <family val="2"/>
      </rPr>
      <t>o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(</t>
    </r>
    <r>
      <rPr>
        <sz val="11"/>
        <rFont val="Symbol"/>
        <family val="1"/>
        <charset val="2"/>
      </rPr>
      <t>g</t>
    </r>
    <r>
      <rPr>
        <vertAlign val="subscript"/>
        <sz val="11"/>
        <rFont val="Calibri"/>
        <family val="2"/>
      </rPr>
      <t>rell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Hped)     =</t>
    </r>
  </si>
  <si>
    <r>
      <t>P</t>
    </r>
    <r>
      <rPr>
        <vertAlign val="subscript"/>
        <sz val="11"/>
        <rFont val="Calibri"/>
        <family val="2"/>
      </rPr>
      <t>rell_i</t>
    </r>
    <r>
      <rPr>
        <sz val="11"/>
        <rFont val="Calibri"/>
        <family val="2"/>
      </rPr>
      <t>=½q</t>
    </r>
    <r>
      <rPr>
        <vertAlign val="subscript"/>
        <sz val="11"/>
        <rFont val="Calibri"/>
        <family val="2"/>
      </rPr>
      <t>rell_i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Hped      =</t>
    </r>
  </si>
  <si>
    <r>
      <t>b</t>
    </r>
    <r>
      <rPr>
        <vertAlign val="subscript"/>
        <sz val="11"/>
        <rFont val="Calibri"/>
        <family val="2"/>
      </rPr>
      <t>p_rell</t>
    </r>
    <r>
      <rPr>
        <sz val="11"/>
        <rFont val="Calibri"/>
        <family val="2"/>
      </rPr>
      <t>=Hped/3</t>
    </r>
  </si>
  <si>
    <r>
      <rPr>
        <sz val="11"/>
        <rFont val="Symbol"/>
        <family val="1"/>
        <charset val="2"/>
      </rPr>
      <t>g</t>
    </r>
    <r>
      <rPr>
        <sz val="11"/>
        <rFont val="Calibri"/>
        <family val="2"/>
      </rPr>
      <t xml:space="preserve">f </t>
    </r>
  </si>
  <si>
    <t>Momento flector sobre pedestal</t>
  </si>
  <si>
    <r>
      <t>M</t>
    </r>
    <r>
      <rPr>
        <vertAlign val="subscript"/>
        <sz val="11"/>
        <rFont val="Calibri"/>
        <family val="2"/>
      </rPr>
      <t>ped</t>
    </r>
    <r>
      <rPr>
        <sz val="11"/>
        <rFont val="Calibri"/>
        <family val="2"/>
      </rPr>
      <t>=P</t>
    </r>
    <r>
      <rPr>
        <vertAlign val="subscript"/>
        <sz val="11"/>
        <rFont val="Calibri"/>
        <family val="2"/>
      </rPr>
      <t>liq_i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b</t>
    </r>
    <r>
      <rPr>
        <vertAlign val="subscript"/>
        <sz val="11"/>
        <rFont val="Calibri"/>
        <family val="2"/>
      </rPr>
      <t>liq_i</t>
    </r>
    <r>
      <rPr>
        <sz val="11"/>
        <rFont val="Calibri"/>
        <family val="2"/>
      </rPr>
      <t>+P</t>
    </r>
    <r>
      <rPr>
        <vertAlign val="subscript"/>
        <sz val="11"/>
        <rFont val="Calibri"/>
        <family val="2"/>
      </rPr>
      <t>rell_i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b</t>
    </r>
    <r>
      <rPr>
        <vertAlign val="subscript"/>
        <sz val="11"/>
        <rFont val="Calibri"/>
        <family val="2"/>
      </rPr>
      <t>p_rell</t>
    </r>
    <r>
      <rPr>
        <sz val="11"/>
        <rFont val="Calibri"/>
        <family val="2"/>
      </rPr>
      <t xml:space="preserve"> =</t>
    </r>
  </si>
  <si>
    <r>
      <t>[tonf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m/m]</t>
    </r>
  </si>
  <si>
    <t>Momento flector para cargas no mayoradas</t>
  </si>
  <si>
    <t>Momento flector mayorado</t>
  </si>
  <si>
    <r>
      <t>M</t>
    </r>
    <r>
      <rPr>
        <vertAlign val="subscript"/>
        <sz val="11"/>
        <rFont val="Calibri"/>
        <family val="2"/>
      </rPr>
      <t>u_ped</t>
    </r>
    <r>
      <rPr>
        <sz val="11"/>
        <rFont val="Calibri"/>
        <family val="2"/>
      </rPr>
      <t>=1.5M</t>
    </r>
    <r>
      <rPr>
        <vertAlign val="subscript"/>
        <sz val="11"/>
        <rFont val="Calibri"/>
        <family val="2"/>
      </rPr>
      <t>ped</t>
    </r>
    <r>
      <rPr>
        <sz val="11"/>
        <rFont val="Calibri"/>
        <family val="2"/>
      </rPr>
      <t xml:space="preserve">          =</t>
    </r>
  </si>
  <si>
    <t>Área de refuerzo requerida por momento flector sobre pedestal</t>
  </si>
  <si>
    <t>rec</t>
  </si>
  <si>
    <t>Recubrimiento del refuerzo</t>
  </si>
  <si>
    <t>Factor de minoración de resistencia en flexión</t>
  </si>
  <si>
    <t>Ancho del pedestal</t>
  </si>
  <si>
    <r>
      <t>B</t>
    </r>
    <r>
      <rPr>
        <vertAlign val="subscript"/>
        <sz val="11"/>
        <rFont val="Calibri"/>
        <family val="2"/>
      </rPr>
      <t>ped</t>
    </r>
  </si>
  <si>
    <t>Profundidad de la armadura en flexión</t>
  </si>
  <si>
    <r>
      <t>d</t>
    </r>
    <r>
      <rPr>
        <vertAlign val="subscript"/>
        <sz val="11"/>
        <rFont val="Calibri"/>
        <family val="2"/>
      </rPr>
      <t>ped</t>
    </r>
    <r>
      <rPr>
        <sz val="11"/>
        <rFont val="Calibri"/>
        <family val="2"/>
      </rPr>
      <t>=B</t>
    </r>
    <r>
      <rPr>
        <vertAlign val="subscript"/>
        <sz val="11"/>
        <rFont val="Calibri"/>
        <family val="2"/>
      </rPr>
      <t>ped</t>
    </r>
    <r>
      <rPr>
        <sz val="11"/>
        <rFont val="Calibri"/>
        <family val="2"/>
      </rPr>
      <t>-rec</t>
    </r>
  </si>
  <si>
    <t>Área de acero requerida  por flexión</t>
  </si>
  <si>
    <t>[cm²/m]</t>
  </si>
  <si>
    <t>8.2</t>
  </si>
  <si>
    <t>Arrancamiento por tracción de los pernos de anclaje</t>
  </si>
  <si>
    <t>Propiedades pernos de anclaje</t>
  </si>
  <si>
    <t>Tipo de perno</t>
  </si>
  <si>
    <t>Capacidad del perno de anclaje</t>
  </si>
  <si>
    <r>
      <t>f</t>
    </r>
    <r>
      <rPr>
        <vertAlign val="subscript"/>
        <sz val="11"/>
        <rFont val="Calibri"/>
        <family val="2"/>
      </rPr>
      <t>uta</t>
    </r>
  </si>
  <si>
    <r>
      <t>T</t>
    </r>
    <r>
      <rPr>
        <vertAlign val="subscript"/>
        <sz val="11"/>
        <rFont val="Calibri"/>
        <family val="2"/>
      </rPr>
      <t>pa_cap</t>
    </r>
    <r>
      <rPr>
        <sz val="11"/>
        <rFont val="Calibri"/>
        <family val="2"/>
      </rPr>
      <t>=A</t>
    </r>
    <r>
      <rPr>
        <vertAlign val="subscript"/>
        <sz val="11"/>
        <rFont val="Calibri"/>
        <family val="2"/>
      </rPr>
      <t>se_N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f</t>
    </r>
    <r>
      <rPr>
        <vertAlign val="subscript"/>
        <sz val="11"/>
        <rFont val="Calibri"/>
        <family val="2"/>
      </rPr>
      <t>uta</t>
    </r>
    <r>
      <rPr>
        <sz val="11"/>
        <rFont val="Calibri"/>
        <family val="2"/>
      </rPr>
      <t>/S</t>
    </r>
    <r>
      <rPr>
        <vertAlign val="subscript"/>
        <sz val="11"/>
        <rFont val="Calibri"/>
        <family val="2"/>
      </rPr>
      <t>pa</t>
    </r>
    <r>
      <rPr>
        <sz val="11"/>
        <rFont val="Calibri"/>
        <family val="2"/>
      </rPr>
      <t xml:space="preserve">    =</t>
    </r>
  </si>
  <si>
    <t>Tensión última a tracción</t>
  </si>
  <si>
    <t>Capacidad a tracción del perno de anclaje</t>
  </si>
  <si>
    <r>
      <t>A</t>
    </r>
    <r>
      <rPr>
        <vertAlign val="subscript"/>
        <sz val="11"/>
        <rFont val="Calibri"/>
        <family val="2"/>
      </rPr>
      <t>se_N</t>
    </r>
  </si>
  <si>
    <t>Área de acero de refuerzo requerida por arrancamiento de pernos en tracción (por cara)</t>
  </si>
  <si>
    <t>8.3</t>
  </si>
  <si>
    <t>Armadura vertical total por flexión y arrancamiento de pernos en tracción</t>
  </si>
  <si>
    <t>Armadura requerida total por cara</t>
  </si>
  <si>
    <t>Armadura mínima por retracción</t>
  </si>
  <si>
    <t>Armadura mínima vertical muros</t>
  </si>
  <si>
    <r>
      <t>a</t>
    </r>
    <r>
      <rPr>
        <vertAlign val="subscript"/>
        <sz val="11"/>
        <rFont val="Calibri"/>
        <family val="2"/>
      </rPr>
      <t>smin1</t>
    </r>
    <r>
      <rPr>
        <sz val="11"/>
        <rFont val="Calibri"/>
        <family val="2"/>
      </rPr>
      <t>=0.0018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B</t>
    </r>
    <r>
      <rPr>
        <vertAlign val="subscript"/>
        <sz val="11"/>
        <rFont val="Calibri"/>
        <family val="2"/>
      </rPr>
      <t>ped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1/2 =</t>
    </r>
  </si>
  <si>
    <r>
      <t>a</t>
    </r>
    <r>
      <rPr>
        <vertAlign val="subscript"/>
        <sz val="11"/>
        <rFont val="Calibri"/>
        <family val="2"/>
      </rPr>
      <t>smin2</t>
    </r>
    <r>
      <rPr>
        <sz val="11"/>
        <rFont val="Calibri"/>
        <family val="2"/>
      </rPr>
      <t>=0.0025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B</t>
    </r>
    <r>
      <rPr>
        <vertAlign val="subscript"/>
        <sz val="11"/>
        <rFont val="Calibri"/>
        <family val="2"/>
      </rPr>
      <t>ped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1/2 =</t>
    </r>
  </si>
  <si>
    <r>
      <t>a</t>
    </r>
    <r>
      <rPr>
        <vertAlign val="subscript"/>
        <sz val="11"/>
        <rFont val="Calibri"/>
        <family val="2"/>
      </rPr>
      <t>v_total</t>
    </r>
    <r>
      <rPr>
        <sz val="11"/>
        <rFont val="Calibri"/>
        <family val="2"/>
      </rPr>
      <t>=max(a</t>
    </r>
    <r>
      <rPr>
        <vertAlign val="subscript"/>
        <sz val="11"/>
        <rFont val="Calibri"/>
        <family val="2"/>
      </rPr>
      <t>s_flex</t>
    </r>
    <r>
      <rPr>
        <sz val="11"/>
        <rFont val="Calibri"/>
        <family val="2"/>
      </rPr>
      <t>;a</t>
    </r>
    <r>
      <rPr>
        <vertAlign val="subscript"/>
        <sz val="11"/>
        <rFont val="Calibri"/>
        <family val="2"/>
      </rPr>
      <t>s_trac</t>
    </r>
    <r>
      <rPr>
        <sz val="11"/>
        <rFont val="Calibri"/>
        <family val="2"/>
      </rPr>
      <t>) =</t>
    </r>
  </si>
  <si>
    <t>@</t>
  </si>
  <si>
    <r>
      <t>Areas de Acero por Metro Lineal  (cm</t>
    </r>
    <r>
      <rPr>
        <u/>
        <vertAlign val="superscript"/>
        <sz val="14"/>
        <rFont val="Arial"/>
        <family val="2"/>
      </rPr>
      <t>2</t>
    </r>
    <r>
      <rPr>
        <u/>
        <sz val="14"/>
        <rFont val="Arial"/>
        <family val="2"/>
      </rPr>
      <t xml:space="preserve"> / m)</t>
    </r>
  </si>
  <si>
    <r>
      <t>As  (cm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)</t>
    </r>
  </si>
  <si>
    <r>
      <t xml:space="preserve">f   </t>
    </r>
    <r>
      <rPr>
        <b/>
        <sz val="10"/>
        <rFont val="Arial"/>
        <family val="2"/>
      </rPr>
      <t>(mm)</t>
    </r>
  </si>
  <si>
    <t xml:space="preserve"> @  (cm)</t>
  </si>
  <si>
    <t>Peso mL</t>
  </si>
  <si>
    <r>
      <t xml:space="preserve">Armadura propuesta:         </t>
    </r>
    <r>
      <rPr>
        <sz val="11"/>
        <rFont val="Symbol"/>
        <family val="1"/>
        <charset val="2"/>
      </rPr>
      <t>f</t>
    </r>
  </si>
  <si>
    <t>8.4</t>
  </si>
  <si>
    <t>Armadura horizontal por tracción anular en pedestal</t>
  </si>
  <si>
    <r>
      <t>rec</t>
    </r>
    <r>
      <rPr>
        <vertAlign val="subscript"/>
        <sz val="11"/>
        <rFont val="Calibri"/>
        <family val="2"/>
      </rPr>
      <t>zap</t>
    </r>
  </si>
  <si>
    <t>Recubrimiento inferior zapata</t>
  </si>
  <si>
    <t>Profundidad armadura horizontal</t>
  </si>
  <si>
    <r>
      <t>d</t>
    </r>
    <r>
      <rPr>
        <vertAlign val="subscript"/>
        <sz val="11"/>
        <rFont val="Calibri"/>
        <family val="2"/>
      </rPr>
      <t>fund</t>
    </r>
  </si>
  <si>
    <t>DIAMETROS ACERO REFUERZO</t>
  </si>
  <si>
    <t>d (mm)</t>
  </si>
  <si>
    <t>Diámetro barras de refuerzo zapata</t>
  </si>
  <si>
    <r>
      <t>d</t>
    </r>
    <r>
      <rPr>
        <vertAlign val="subscript"/>
        <sz val="11"/>
        <rFont val="Calibri"/>
        <family val="2"/>
      </rPr>
      <t>bz</t>
    </r>
  </si>
  <si>
    <t>Solicitación sobre la sección transversal del pedestal</t>
  </si>
  <si>
    <t>Esquema de fuerzas de tracción</t>
  </si>
  <si>
    <t>Dimensionamiento de la armadura</t>
  </si>
  <si>
    <r>
      <t>A</t>
    </r>
    <r>
      <rPr>
        <vertAlign val="subscript"/>
        <sz val="11"/>
        <rFont val="Calibri"/>
        <family val="2"/>
      </rPr>
      <t>s</t>
    </r>
  </si>
  <si>
    <t>Área barra de refuerzo horizontal</t>
  </si>
  <si>
    <t>[barras]</t>
  </si>
  <si>
    <r>
      <t>T</t>
    </r>
    <r>
      <rPr>
        <vertAlign val="subscript"/>
        <sz val="11"/>
        <rFont val="Calibri"/>
        <family val="2"/>
      </rPr>
      <t>res</t>
    </r>
    <r>
      <rPr>
        <sz val="11"/>
        <rFont val="Calibri"/>
        <family val="2"/>
      </rPr>
      <t>=</t>
    </r>
    <r>
      <rPr>
        <sz val="11"/>
        <rFont val="Symbol"/>
        <family val="1"/>
        <charset val="2"/>
      </rPr>
      <t>f×</t>
    </r>
    <r>
      <rPr>
        <sz val="11"/>
        <rFont val="Calibri"/>
        <family val="2"/>
      </rPr>
      <t>f</t>
    </r>
    <r>
      <rPr>
        <vertAlign val="subscript"/>
        <sz val="11"/>
        <rFont val="Calibri"/>
        <family val="2"/>
      </rPr>
      <t>yb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(A</t>
    </r>
    <r>
      <rPr>
        <vertAlign val="subscript"/>
        <sz val="11"/>
        <rFont val="Calibri"/>
        <family val="2"/>
      </rPr>
      <t>s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2n)</t>
    </r>
  </si>
  <si>
    <r>
      <t>a</t>
    </r>
    <r>
      <rPr>
        <vertAlign val="subscript"/>
        <sz val="11"/>
        <rFont val="Calibri"/>
        <family val="2"/>
      </rPr>
      <t>sminh</t>
    </r>
    <r>
      <rPr>
        <sz val="11"/>
        <rFont val="Calibri"/>
        <family val="2"/>
      </rPr>
      <t>=0.0025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B</t>
    </r>
    <r>
      <rPr>
        <vertAlign val="subscript"/>
        <sz val="11"/>
        <rFont val="Calibri"/>
        <family val="2"/>
      </rPr>
      <t>ped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1 =</t>
    </r>
  </si>
  <si>
    <r>
      <t>FU</t>
    </r>
    <r>
      <rPr>
        <vertAlign val="subscript"/>
        <sz val="11"/>
        <rFont val="Calibri"/>
        <family val="2"/>
      </rPr>
      <t>v</t>
    </r>
    <r>
      <rPr>
        <sz val="11"/>
        <rFont val="Calibri"/>
        <family val="2"/>
      </rPr>
      <t>=V</t>
    </r>
    <r>
      <rPr>
        <vertAlign val="subscript"/>
        <sz val="11"/>
        <rFont val="Calibri"/>
        <family val="2"/>
      </rPr>
      <t>pu</t>
    </r>
    <r>
      <rPr>
        <sz val="11"/>
        <rFont val="Calibri"/>
        <family val="2"/>
      </rPr>
      <t>/(</t>
    </r>
    <r>
      <rPr>
        <sz val="11"/>
        <rFont val="Symbol"/>
        <family val="1"/>
        <charset val="2"/>
      </rPr>
      <t>f</t>
    </r>
    <r>
      <rPr>
        <sz val="11"/>
        <rFont val="Calibri"/>
        <family val="2"/>
      </rPr>
      <t>V</t>
    </r>
    <r>
      <rPr>
        <vertAlign val="subscript"/>
        <sz val="11"/>
        <rFont val="Calibri"/>
        <family val="2"/>
      </rPr>
      <t>sa</t>
    </r>
    <r>
      <rPr>
        <sz val="11"/>
        <rFont val="Calibri"/>
        <family val="2"/>
      </rPr>
      <t>)</t>
    </r>
  </si>
  <si>
    <r>
      <t>FU</t>
    </r>
    <r>
      <rPr>
        <vertAlign val="subscript"/>
        <sz val="11"/>
        <rFont val="Calibri"/>
        <family val="2"/>
      </rPr>
      <t>t</t>
    </r>
    <r>
      <rPr>
        <sz val="11"/>
        <rFont val="Calibri"/>
        <family val="2"/>
      </rPr>
      <t>=N</t>
    </r>
    <r>
      <rPr>
        <vertAlign val="subscript"/>
        <sz val="11"/>
        <rFont val="Calibri"/>
        <family val="2"/>
      </rPr>
      <t>pu</t>
    </r>
    <r>
      <rPr>
        <sz val="11"/>
        <rFont val="Calibri"/>
        <family val="2"/>
      </rPr>
      <t>/(</t>
    </r>
    <r>
      <rPr>
        <sz val="11"/>
        <rFont val="Symbol"/>
        <family val="1"/>
        <charset val="2"/>
      </rPr>
      <t>f</t>
    </r>
    <r>
      <rPr>
        <sz val="11"/>
        <rFont val="Calibri"/>
        <family val="2"/>
      </rPr>
      <t>N</t>
    </r>
    <r>
      <rPr>
        <vertAlign val="subscript"/>
        <sz val="11"/>
        <rFont val="Calibri"/>
        <family val="2"/>
      </rPr>
      <t>sa</t>
    </r>
    <r>
      <rPr>
        <sz val="11"/>
        <rFont val="Calibri"/>
        <family val="2"/>
      </rPr>
      <t>)</t>
    </r>
  </si>
  <si>
    <r>
      <t>FU</t>
    </r>
    <r>
      <rPr>
        <vertAlign val="subscript"/>
        <sz val="11"/>
        <rFont val="Calibri"/>
        <family val="2"/>
      </rPr>
      <t>ta</t>
    </r>
    <r>
      <rPr>
        <sz val="11"/>
        <rFont val="Calibri"/>
        <family val="2"/>
      </rPr>
      <t>=T</t>
    </r>
    <r>
      <rPr>
        <vertAlign val="subscript"/>
        <sz val="11"/>
        <rFont val="Calibri"/>
        <family val="2"/>
      </rPr>
      <t>u</t>
    </r>
    <r>
      <rPr>
        <sz val="11"/>
        <rFont val="Calibri"/>
        <family val="2"/>
      </rPr>
      <t>/T</t>
    </r>
    <r>
      <rPr>
        <vertAlign val="subscript"/>
        <sz val="11"/>
        <rFont val="Calibri"/>
        <family val="2"/>
      </rPr>
      <t>res</t>
    </r>
  </si>
  <si>
    <t>8.5</t>
  </si>
  <si>
    <t>Corte sísmico horizontal en pedestal</t>
  </si>
  <si>
    <t>Resistencia al corte del hormigón</t>
  </si>
  <si>
    <r>
      <rPr>
        <sz val="11"/>
        <rFont val="Symbol"/>
        <family val="1"/>
        <charset val="2"/>
      </rPr>
      <t>f</t>
    </r>
    <r>
      <rPr>
        <vertAlign val="subscript"/>
        <sz val="11"/>
        <rFont val="Calibri"/>
        <family val="2"/>
      </rPr>
      <t>v</t>
    </r>
    <r>
      <rPr>
        <sz val="11"/>
        <rFont val="Calibri"/>
        <family val="2"/>
      </rPr>
      <t xml:space="preserve"> =</t>
    </r>
  </si>
  <si>
    <t>El corte sísmico es traspasado por medio del pedestal a la fundación. Para la verificación de esta solicitación se</t>
  </si>
  <si>
    <t>consideró que las secciones que resisten el corte son las indicadas en la figura.</t>
  </si>
  <si>
    <t>Cada sección toma la mitad del corte sísmico.</t>
  </si>
  <si>
    <r>
      <t>V</t>
    </r>
    <r>
      <rPr>
        <vertAlign val="subscript"/>
        <sz val="11"/>
        <rFont val="Calibri"/>
        <family val="2"/>
      </rPr>
      <t>u</t>
    </r>
    <r>
      <rPr>
        <sz val="11"/>
        <rFont val="Calibri"/>
        <family val="2"/>
      </rPr>
      <t>=1.5</t>
    </r>
    <r>
      <rPr>
        <sz val="11"/>
        <rFont val="Symbol"/>
        <family val="1"/>
        <charset val="2"/>
      </rPr>
      <t>×</t>
    </r>
    <r>
      <rPr>
        <sz val="12.65"/>
        <rFont val="Calibri"/>
        <family val="2"/>
      </rPr>
      <t>Q</t>
    </r>
    <r>
      <rPr>
        <vertAlign val="subscript"/>
        <sz val="12.65"/>
        <rFont val="Calibri"/>
        <family val="2"/>
      </rPr>
      <t>total</t>
    </r>
    <r>
      <rPr>
        <sz val="12.65"/>
        <rFont val="Calibri"/>
        <family val="2"/>
      </rPr>
      <t>/2</t>
    </r>
  </si>
  <si>
    <r>
      <t>L</t>
    </r>
    <r>
      <rPr>
        <vertAlign val="subscript"/>
        <sz val="11"/>
        <rFont val="Calibri"/>
        <family val="2"/>
      </rPr>
      <t>sis</t>
    </r>
    <r>
      <rPr>
        <sz val="11"/>
        <rFont val="Calibri"/>
        <family val="2"/>
      </rPr>
      <t>=2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cos(60)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D/2        =</t>
    </r>
  </si>
  <si>
    <t>(por lado)</t>
  </si>
  <si>
    <r>
      <t>V</t>
    </r>
    <r>
      <rPr>
        <vertAlign val="subscript"/>
        <sz val="11"/>
        <rFont val="Calibri"/>
        <family val="2"/>
      </rPr>
      <t>c</t>
    </r>
  </si>
  <si>
    <r>
      <t>f'</t>
    </r>
    <r>
      <rPr>
        <vertAlign val="subscript"/>
        <sz val="11"/>
        <rFont val="Calibri"/>
        <family val="2"/>
      </rPr>
      <t>c</t>
    </r>
  </si>
  <si>
    <t xml:space="preserve">kgf/cm2  -&gt; Mpa </t>
  </si>
  <si>
    <t>[MPa]</t>
  </si>
  <si>
    <t>N  --&gt;   tonf</t>
  </si>
  <si>
    <r>
      <t>A</t>
    </r>
    <r>
      <rPr>
        <vertAlign val="subscript"/>
        <sz val="11"/>
        <rFont val="Calibri"/>
        <family val="2"/>
      </rPr>
      <t>v</t>
    </r>
  </si>
  <si>
    <t>Área de dos ramas de armadura el corte, por lado</t>
  </si>
  <si>
    <r>
      <t>s</t>
    </r>
    <r>
      <rPr>
        <vertAlign val="subscript"/>
        <sz val="11"/>
        <rFont val="Calibri"/>
        <family val="2"/>
      </rPr>
      <t>h</t>
    </r>
  </si>
  <si>
    <t>Separación armadura horizontal</t>
  </si>
  <si>
    <r>
      <t>V</t>
    </r>
    <r>
      <rPr>
        <vertAlign val="subscript"/>
        <sz val="11"/>
        <rFont val="Calibri"/>
        <family val="2"/>
      </rPr>
      <t>s</t>
    </r>
  </si>
  <si>
    <t>Resistencia del refuerzo horizontal</t>
  </si>
  <si>
    <t>Resistencia del hormigón (por lado)</t>
  </si>
  <si>
    <t>Se debe cumplir que:</t>
  </si>
  <si>
    <t>EQ izq</t>
  </si>
  <si>
    <t>EQ der</t>
  </si>
  <si>
    <t>9.</t>
  </si>
  <si>
    <t>DISEÑO DE ARMADURA DE LA ZAPATA DE FUNDACIÓN</t>
  </si>
  <si>
    <t>De 6.3.ii se obtuvo:</t>
  </si>
  <si>
    <r>
      <rPr>
        <sz val="11"/>
        <rFont val="Symbol"/>
        <family val="1"/>
        <charset val="2"/>
      </rPr>
      <t>s</t>
    </r>
    <r>
      <rPr>
        <vertAlign val="subscript"/>
        <sz val="11"/>
        <rFont val="Calibri"/>
        <family val="2"/>
      </rPr>
      <t>dis</t>
    </r>
  </si>
  <si>
    <t>Tensión de diseño del suelo</t>
  </si>
  <si>
    <r>
      <t>L</t>
    </r>
    <r>
      <rPr>
        <vertAlign val="subscript"/>
        <sz val="11"/>
        <rFont val="Calibri"/>
        <family val="2"/>
      </rPr>
      <t>zap</t>
    </r>
    <r>
      <rPr>
        <sz val="11"/>
        <rFont val="Calibri"/>
        <family val="2"/>
      </rPr>
      <t xml:space="preserve"> = ½(B</t>
    </r>
    <r>
      <rPr>
        <vertAlign val="subscript"/>
        <sz val="11"/>
        <rFont val="Calibri"/>
        <family val="2"/>
      </rPr>
      <t>zap</t>
    </r>
    <r>
      <rPr>
        <sz val="11"/>
        <rFont val="Calibri"/>
        <family val="2"/>
      </rPr>
      <t>-B</t>
    </r>
    <r>
      <rPr>
        <vertAlign val="subscript"/>
        <sz val="11"/>
        <rFont val="Calibri"/>
        <family val="2"/>
      </rPr>
      <t>ped</t>
    </r>
    <r>
      <rPr>
        <sz val="11"/>
        <rFont val="Calibri"/>
        <family val="2"/>
      </rPr>
      <t>) =</t>
    </r>
  </si>
  <si>
    <t>[tonf x m/m]</t>
  </si>
  <si>
    <r>
      <t>M</t>
    </r>
    <r>
      <rPr>
        <vertAlign val="subscript"/>
        <sz val="11"/>
        <rFont val="Calibri"/>
        <family val="2"/>
      </rPr>
      <t>u_zap</t>
    </r>
    <r>
      <rPr>
        <sz val="11"/>
        <rFont val="Calibri"/>
        <family val="2"/>
      </rPr>
      <t xml:space="preserve"> = 1.5M</t>
    </r>
    <r>
      <rPr>
        <vertAlign val="subscript"/>
        <sz val="11"/>
        <rFont val="Calibri"/>
        <family val="2"/>
      </rPr>
      <t>zap</t>
    </r>
    <r>
      <rPr>
        <sz val="11"/>
        <rFont val="Calibri"/>
        <family val="2"/>
      </rPr>
      <t xml:space="preserve"> =</t>
    </r>
  </si>
  <si>
    <r>
      <t>t</t>
    </r>
    <r>
      <rPr>
        <vertAlign val="subscript"/>
        <sz val="11"/>
        <rFont val="Calibri"/>
        <family val="2"/>
      </rPr>
      <t>zap</t>
    </r>
    <r>
      <rPr>
        <sz val="11"/>
        <rFont val="Calibri"/>
        <family val="2"/>
      </rPr>
      <t xml:space="preserve"> </t>
    </r>
  </si>
  <si>
    <t>Espesor de la zapata</t>
  </si>
  <si>
    <t>Recubrimiento inferior de la zapata</t>
  </si>
  <si>
    <r>
      <t>d</t>
    </r>
    <r>
      <rPr>
        <vertAlign val="subscript"/>
        <sz val="11"/>
        <rFont val="Calibri"/>
        <family val="2"/>
      </rPr>
      <t xml:space="preserve">zap </t>
    </r>
    <r>
      <rPr>
        <sz val="11"/>
        <rFont val="Calibri"/>
        <family val="2"/>
      </rPr>
      <t>= t</t>
    </r>
    <r>
      <rPr>
        <vertAlign val="subscript"/>
        <sz val="11"/>
        <rFont val="Calibri"/>
        <family val="2"/>
      </rPr>
      <t>zap</t>
    </r>
    <r>
      <rPr>
        <sz val="11"/>
        <rFont val="Calibri"/>
        <family val="2"/>
      </rPr>
      <t>-rec</t>
    </r>
    <r>
      <rPr>
        <vertAlign val="subscript"/>
        <sz val="11"/>
        <rFont val="Calibri"/>
        <family val="2"/>
      </rPr>
      <t>zap</t>
    </r>
    <r>
      <rPr>
        <sz val="11"/>
        <rFont val="Calibri"/>
        <family val="2"/>
      </rPr>
      <t xml:space="preserve">     =</t>
    </r>
  </si>
  <si>
    <t>Área requerida por flexión</t>
  </si>
  <si>
    <r>
      <t>[cm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>/m]</t>
    </r>
  </si>
  <si>
    <r>
      <t>A</t>
    </r>
    <r>
      <rPr>
        <vertAlign val="subscript"/>
        <sz val="11"/>
        <rFont val="Calibri"/>
        <family val="2"/>
      </rPr>
      <t>s_min</t>
    </r>
    <r>
      <rPr>
        <sz val="11"/>
        <rFont val="Calibri"/>
        <family val="2"/>
      </rPr>
      <t xml:space="preserve"> =0.0018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t</t>
    </r>
    <r>
      <rPr>
        <vertAlign val="subscript"/>
        <sz val="11"/>
        <rFont val="Calibri"/>
        <family val="2"/>
      </rPr>
      <t>zap</t>
    </r>
    <r>
      <rPr>
        <sz val="11"/>
        <rFont val="Symbol"/>
        <family val="1"/>
        <charset val="2"/>
      </rPr>
      <t>×</t>
    </r>
    <r>
      <rPr>
        <sz val="11"/>
        <rFont val="Calibri Light"/>
        <family val="2"/>
        <scheme val="major"/>
      </rPr>
      <t>1/2=</t>
    </r>
  </si>
  <si>
    <t>Área mínima requerida por retracción</t>
  </si>
  <si>
    <r>
      <t>V</t>
    </r>
    <r>
      <rPr>
        <vertAlign val="subscript"/>
        <sz val="11"/>
        <rFont val="Calibri"/>
        <family val="2"/>
      </rPr>
      <t>u_zap</t>
    </r>
    <r>
      <rPr>
        <sz val="11"/>
        <rFont val="Calibri"/>
        <family val="2"/>
      </rPr>
      <t xml:space="preserve"> = </t>
    </r>
    <r>
      <rPr>
        <sz val="11"/>
        <rFont val="Symbol"/>
        <family val="1"/>
        <charset val="2"/>
      </rPr>
      <t>s</t>
    </r>
    <r>
      <rPr>
        <vertAlign val="subscript"/>
        <sz val="11"/>
        <rFont val="Calibri"/>
        <family val="2"/>
      </rPr>
      <t>dis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L</t>
    </r>
    <r>
      <rPr>
        <vertAlign val="subscript"/>
        <sz val="11"/>
        <rFont val="Calibri"/>
        <family val="2"/>
      </rPr>
      <t>zap</t>
    </r>
    <r>
      <rPr>
        <sz val="11"/>
        <rFont val="Calibri"/>
        <family val="2"/>
      </rPr>
      <t>/2 =</t>
    </r>
  </si>
  <si>
    <t>Corte último sobre la zapata</t>
  </si>
  <si>
    <t>Resistencia nominal al corte</t>
  </si>
  <si>
    <t>10.</t>
  </si>
  <si>
    <t>VERIFICACIÓN DE LOS PEDESTALES A LA SOLICITACIÓN DE TRACCIÓN</t>
  </si>
  <si>
    <t>Debido a que la resistencia del hormigón a la tracción es menor, para prevenir la falla cónica por tracción y por reventón lateral, se copnsidera la armadura del pedestal.</t>
  </si>
  <si>
    <t>10.1</t>
  </si>
  <si>
    <t>Falla cónica por tracción</t>
  </si>
  <si>
    <t>La armadura vertical ya fue calculada para resistir la capacidad a tracción de los pernos de anclaje. Luego, la profundidad de</t>
  </si>
  <si>
    <t>empotramiento debe ser como mínimo la indicada en la figura anterior.</t>
  </si>
  <si>
    <t>H50</t>
  </si>
  <si>
    <t>Longitud desarrollo  (fy=420)</t>
  </si>
  <si>
    <t>f'c Mpa</t>
  </si>
  <si>
    <t>fy =</t>
  </si>
  <si>
    <t>Husado</t>
  </si>
  <si>
    <r>
      <t>F</t>
    </r>
    <r>
      <rPr>
        <vertAlign val="subscript"/>
        <sz val="11"/>
        <rFont val="Calibri"/>
        <family val="2"/>
      </rPr>
      <t>mín</t>
    </r>
    <r>
      <rPr>
        <sz val="11"/>
        <rFont val="Calibri"/>
        <family val="2"/>
      </rPr>
      <t xml:space="preserve"> = L</t>
    </r>
    <r>
      <rPr>
        <vertAlign val="subscript"/>
        <sz val="11"/>
        <rFont val="Calibri"/>
        <family val="2"/>
      </rPr>
      <t>des</t>
    </r>
    <r>
      <rPr>
        <sz val="11"/>
        <rFont val="Calibri"/>
        <family val="2"/>
      </rPr>
      <t xml:space="preserve"> + Cpe</t>
    </r>
    <r>
      <rPr>
        <sz val="11"/>
        <rFont val="Symbol"/>
        <family val="1"/>
        <charset val="2"/>
      </rPr>
      <t>×</t>
    </r>
    <r>
      <rPr>
        <sz val="12.65"/>
        <rFont val="Calibri"/>
        <family val="2"/>
      </rPr>
      <t>sin(35°) =</t>
    </r>
  </si>
  <si>
    <r>
      <t>L</t>
    </r>
    <r>
      <rPr>
        <vertAlign val="subscript"/>
        <sz val="11"/>
        <rFont val="Calibri"/>
        <family val="2"/>
      </rPr>
      <t>des</t>
    </r>
  </si>
  <si>
    <r>
      <t>d</t>
    </r>
    <r>
      <rPr>
        <vertAlign val="subscript"/>
        <sz val="11"/>
        <rFont val="Calibri"/>
        <family val="2"/>
      </rPr>
      <t>b</t>
    </r>
  </si>
  <si>
    <t>Longitud de desarrollo barra de refuerzo</t>
  </si>
  <si>
    <t>Diámetro barra de refuerzo vertical del pedestal</t>
  </si>
  <si>
    <t>Cpe</t>
  </si>
  <si>
    <t>Distancia del perno al borde externo del pedestal</t>
  </si>
  <si>
    <t>SENO O COS????</t>
  </si>
  <si>
    <t>Profundidad mínima de empotramiento del perno</t>
  </si>
  <si>
    <t>10.2</t>
  </si>
  <si>
    <t>Tracción máxima de trabajo del perno</t>
  </si>
  <si>
    <r>
      <rPr>
        <sz val="11"/>
        <rFont val="Symbol"/>
        <family val="1"/>
        <charset val="2"/>
      </rPr>
      <t>f</t>
    </r>
    <r>
      <rPr>
        <vertAlign val="subscript"/>
        <sz val="11"/>
        <rFont val="Calibri"/>
        <family val="2"/>
      </rPr>
      <t>sb</t>
    </r>
    <r>
      <rPr>
        <sz val="11"/>
        <rFont val="Calibri"/>
        <family val="2"/>
      </rPr>
      <t xml:space="preserve"> =</t>
    </r>
  </si>
  <si>
    <t>Tracción última de diseño para pernos de anclaje</t>
  </si>
  <si>
    <r>
      <t>T</t>
    </r>
    <r>
      <rPr>
        <vertAlign val="subscript"/>
        <sz val="11"/>
        <rFont val="Calibri"/>
        <family val="2"/>
      </rPr>
      <t>max_p</t>
    </r>
  </si>
  <si>
    <r>
      <t>T</t>
    </r>
    <r>
      <rPr>
        <vertAlign val="subscript"/>
        <sz val="11"/>
        <rFont val="Calibri"/>
        <family val="2"/>
      </rPr>
      <t>u_max</t>
    </r>
  </si>
  <si>
    <r>
      <t>T</t>
    </r>
    <r>
      <rPr>
        <vertAlign val="subscript"/>
        <sz val="11"/>
        <rFont val="Calibri"/>
        <family val="2"/>
      </rPr>
      <t>u_max</t>
    </r>
    <r>
      <rPr>
        <sz val="11"/>
        <rFont val="Calibri"/>
        <family val="2"/>
      </rPr>
      <t>=1.5</t>
    </r>
    <r>
      <rPr>
        <sz val="11"/>
        <rFont val="Mathcad UniMath Prime"/>
        <family val="3"/>
      </rPr>
      <t>·</t>
    </r>
    <r>
      <rPr>
        <sz val="12.65"/>
        <rFont val="Calibri"/>
        <family val="2"/>
      </rPr>
      <t>T</t>
    </r>
    <r>
      <rPr>
        <vertAlign val="subscript"/>
        <sz val="12.65"/>
        <rFont val="Calibri"/>
        <family val="2"/>
      </rPr>
      <t>max_p</t>
    </r>
  </si>
  <si>
    <t>Diámetro nominal del perno de anclaje</t>
  </si>
  <si>
    <r>
      <t>f</t>
    </r>
    <r>
      <rPr>
        <vertAlign val="subscript"/>
        <sz val="11"/>
        <rFont val="Calibri"/>
        <family val="2"/>
      </rPr>
      <t>uta</t>
    </r>
    <r>
      <rPr>
        <sz val="11"/>
        <rFont val="Calibri"/>
        <family val="2"/>
      </rPr>
      <t xml:space="preserve"> </t>
    </r>
  </si>
  <si>
    <t>Tensión de rotura del perno de anclaje</t>
  </si>
  <si>
    <t>Factor de minoración resistencia anclaje individual en tracción</t>
  </si>
  <si>
    <r>
      <rPr>
        <sz val="11"/>
        <rFont val="Symbol"/>
        <family val="1"/>
        <charset val="2"/>
      </rPr>
      <t>f</t>
    </r>
    <r>
      <rPr>
        <sz val="11"/>
        <rFont val="Calibri"/>
        <family val="2"/>
      </rPr>
      <t>N</t>
    </r>
    <r>
      <rPr>
        <vertAlign val="subscript"/>
        <sz val="11"/>
        <rFont val="Calibri"/>
        <family val="2"/>
      </rPr>
      <t>sa</t>
    </r>
  </si>
  <si>
    <t>Resistencia al reventón lateral</t>
  </si>
  <si>
    <t>Cpi</t>
  </si>
  <si>
    <t>Ubicación pernos de anclaje respecto al borde interior del pedestal</t>
  </si>
  <si>
    <t>Ubicación pernos de anclaje respecto al borde exterior del pedestal</t>
  </si>
  <si>
    <t>Cp =min(Cpi;Cpe)</t>
  </si>
  <si>
    <t>Distancia mínima de anclaje al borde pedestal</t>
  </si>
  <si>
    <r>
      <t>a</t>
    </r>
    <r>
      <rPr>
        <vertAlign val="subscript"/>
        <sz val="11"/>
        <rFont val="Calibri"/>
        <family val="2"/>
      </rPr>
      <t>pl</t>
    </r>
  </si>
  <si>
    <t>Largo placa inferior perno anclaje</t>
  </si>
  <si>
    <t>Ancho placa inferior perno de anclaje</t>
  </si>
  <si>
    <r>
      <t>b</t>
    </r>
    <r>
      <rPr>
        <vertAlign val="subscript"/>
        <sz val="11"/>
        <rFont val="Calibri"/>
        <family val="2"/>
      </rPr>
      <t>pl</t>
    </r>
  </si>
  <si>
    <r>
      <t>A</t>
    </r>
    <r>
      <rPr>
        <vertAlign val="subscript"/>
        <sz val="11"/>
        <rFont val="Calibri"/>
        <family val="2"/>
      </rPr>
      <t>pl_pa</t>
    </r>
  </si>
  <si>
    <t>Área placa de apoyo perno de anclaje</t>
  </si>
  <si>
    <t>Área de apoyo de la cabeza del perno</t>
  </si>
  <si>
    <t>Se debe cumplir:</t>
  </si>
  <si>
    <t>&lt;</t>
  </si>
  <si>
    <r>
      <t>0.75</t>
    </r>
    <r>
      <rPr>
        <sz val="11"/>
        <rFont val="Symbol"/>
        <family val="1"/>
        <charset val="2"/>
      </rPr>
      <t>f</t>
    </r>
    <r>
      <rPr>
        <sz val="11"/>
        <rFont val="Calibri"/>
        <family val="2"/>
      </rPr>
      <t>N</t>
    </r>
    <r>
      <rPr>
        <vertAlign val="subscript"/>
        <sz val="11"/>
        <rFont val="Calibri"/>
        <family val="2"/>
      </rPr>
      <t>sa</t>
    </r>
  </si>
  <si>
    <r>
      <t>0.75</t>
    </r>
    <r>
      <rPr>
        <sz val="11"/>
        <rFont val="Symbol"/>
        <family val="1"/>
        <charset val="2"/>
      </rPr>
      <t>f</t>
    </r>
    <r>
      <rPr>
        <sz val="11"/>
        <rFont val="Calibri"/>
        <family val="2"/>
      </rPr>
      <t>N</t>
    </r>
    <r>
      <rPr>
        <vertAlign val="subscript"/>
        <sz val="11"/>
        <rFont val="Calibri"/>
        <family val="2"/>
      </rPr>
      <t>sb</t>
    </r>
  </si>
  <si>
    <t>INGRESO DE DATOS</t>
  </si>
  <si>
    <t>MATERIALES</t>
  </si>
  <si>
    <t>Acero tanque</t>
  </si>
  <si>
    <t>Calidad acero del tanque</t>
  </si>
  <si>
    <t>Calidad del hormigón de fundaciones</t>
  </si>
  <si>
    <t>CARGAS ADICIONALES</t>
  </si>
  <si>
    <t>Peso de barandas en el manto</t>
  </si>
  <si>
    <t>Peso de boquillas en el manto</t>
  </si>
  <si>
    <t>(NCh2369Of2003)</t>
  </si>
  <si>
    <t>GEOMETRÍA FUNDACIÓN</t>
  </si>
  <si>
    <t>Calidad de los pernos de anclaje</t>
  </si>
  <si>
    <t>Diámetro de los pernos de anclaje</t>
  </si>
  <si>
    <t>Calidad acero de refuerzo</t>
  </si>
  <si>
    <t>Recubrimiento del refuerzo en pedestal</t>
  </si>
  <si>
    <t>Armadura de refuerzo vertical en pedestal</t>
  </si>
  <si>
    <t>A hp</t>
  </si>
  <si>
    <t>A vp</t>
  </si>
  <si>
    <t>Refuerzo</t>
  </si>
  <si>
    <t>A zr</t>
  </si>
  <si>
    <t>Armadura transversal (radial) de la zapata</t>
  </si>
  <si>
    <t>Terreno:</t>
  </si>
  <si>
    <t>Tanque:</t>
  </si>
  <si>
    <t>Hormigón:</t>
  </si>
  <si>
    <t>Pernos de anclaje:</t>
  </si>
  <si>
    <t>STATUS DE DISEÑO</t>
  </si>
  <si>
    <t>¿Requiere anclajes?</t>
  </si>
  <si>
    <t>Estabilidad global</t>
  </si>
  <si>
    <r>
      <rPr>
        <sz val="11"/>
        <rFont val="Symbol"/>
        <family val="1"/>
        <charset val="2"/>
      </rPr>
      <t>s</t>
    </r>
    <r>
      <rPr>
        <vertAlign val="subscript"/>
        <sz val="11"/>
        <rFont val="Calibri"/>
        <family val="2"/>
      </rPr>
      <t>max</t>
    </r>
  </si>
  <si>
    <t>FSd</t>
  </si>
  <si>
    <t>Tensión de compresión máxima para el caso 2</t>
  </si>
  <si>
    <t>%</t>
  </si>
  <si>
    <t>[tonf/m2]</t>
  </si>
  <si>
    <t>Pernos de anclaje</t>
  </si>
  <si>
    <t>Tracción</t>
  </si>
  <si>
    <t>Corte</t>
  </si>
  <si>
    <t>Interacción</t>
  </si>
  <si>
    <t>Armadura Pedestal</t>
  </si>
  <si>
    <t>FU corte puro</t>
  </si>
  <si>
    <t>Corte en hormigón</t>
  </si>
  <si>
    <t>Armadura zapata</t>
  </si>
  <si>
    <t>Corte hormigón</t>
  </si>
  <si>
    <t>Reventón lateral</t>
  </si>
  <si>
    <t>Tipo de suelo</t>
  </si>
  <si>
    <t>Clasificación de estructura</t>
  </si>
  <si>
    <t>Tipo de tanque</t>
  </si>
  <si>
    <t>raiz(E/Fy)</t>
  </si>
  <si>
    <t>Fundación Anular</t>
  </si>
  <si>
    <t>REVISAR</t>
  </si>
  <si>
    <t>CAMBIAR ALTURA</t>
  </si>
  <si>
    <t>salto página</t>
  </si>
  <si>
    <t>CÁLCULO</t>
  </si>
  <si>
    <t>GEOMETRÍA TANQUE</t>
  </si>
  <si>
    <t>Armadura de refuerzo:</t>
  </si>
  <si>
    <t>ANÁLISIS SÍSMICO</t>
  </si>
  <si>
    <t>REVISIÓN DE NECESIDADES DE ANCLAJE</t>
  </si>
  <si>
    <t>RJVT</t>
  </si>
  <si>
    <t>Taller de camiones MANTOVERDE</t>
  </si>
  <si>
    <t>PE22-0110</t>
  </si>
  <si>
    <t>31.05.22</t>
  </si>
  <si>
    <t>TANQUE AGUA LAVADO</t>
  </si>
  <si>
    <t>Debido a que la resistencia del hormigón a la tracción es menor, para prevenir la falla cónica por tracción y por reventón lateral, se considera la armadura del pedestal.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</si>
</sst>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_)"/>
    <numFmt numFmtId="165" formatCode="0_)"/>
    <numFmt numFmtId="166" formatCode="General_)"/>
    <numFmt numFmtId="167" formatCode="0.0"/>
    <numFmt numFmtId="168" formatCode="0.000"/>
    <numFmt numFmtId="169" formatCode="0.0_)"/>
    <numFmt numFmtId="170" formatCode="0.000_)"/>
    <numFmt numFmtId="171" formatCode="0.00000_)"/>
    <numFmt numFmtId="172" formatCode="0.0000000_)"/>
  </numFmts>
  <fonts count="27">
    <font>
      <sz val="10"/>
      <name val="Courier"/>
      <family val="3"/>
    </font>
    <font>
      <sz val="11"/>
      <name val="Calibri"/>
      <family val="2"/>
    </font>
    <font>
      <sz val="12"/>
      <name val="Calibri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ymbol"/>
      <family val="1"/>
      <charset val="2"/>
    </font>
    <font>
      <sz val="11"/>
      <name val="Calibri"/>
      <family val="1"/>
      <charset val="2"/>
      <scheme val="minor"/>
    </font>
    <font>
      <b/>
      <sz val="11"/>
      <color theme="5" tint="-0.499984740745262"/>
      <name val="Calibri"/>
      <family val="2"/>
    </font>
    <font>
      <sz val="11"/>
      <name val="Calibri"/>
      <family val="1"/>
      <charset val="2"/>
    </font>
    <font>
      <vertAlign val="superscript"/>
      <sz val="11"/>
      <name val="Calibri"/>
      <family val="2"/>
    </font>
    <font>
      <vertAlign val="subscript"/>
      <sz val="11"/>
      <name val="Calibri"/>
      <family val="2"/>
    </font>
    <font>
      <sz val="11"/>
      <color rgb="FFFF0000"/>
      <name val="Calibri"/>
      <family val="2"/>
    </font>
    <font>
      <sz val="10"/>
      <name val="Arial"/>
      <family val="2"/>
    </font>
    <font>
      <u/>
      <sz val="14"/>
      <name val="Arial"/>
      <family val="2"/>
    </font>
    <font>
      <u/>
      <vertAlign val="superscript"/>
      <sz val="14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sz val="9"/>
      <name val="Calibri"/>
      <family val="2"/>
    </font>
    <font>
      <sz val="12.65"/>
      <name val="Calibri"/>
      <family val="2"/>
    </font>
    <font>
      <vertAlign val="subscript"/>
      <sz val="12.65"/>
      <name val="Calibri"/>
      <family val="2"/>
    </font>
    <font>
      <sz val="11"/>
      <name val="Calibri Light"/>
      <family val="2"/>
      <scheme val="major"/>
    </font>
    <font>
      <sz val="11"/>
      <name val="Mathcad UniMath Prime"/>
      <family val="3"/>
    </font>
    <font>
      <b/>
      <sz val="11"/>
      <color theme="7" tint="-0.49998474074526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164" fontId="0" fillId="0" borderId="0"/>
    <xf numFmtId="0" fontId="15" fillId="0" borderId="0"/>
  </cellStyleXfs>
  <cellXfs count="152">
    <xf numFmtId="164" fontId="0" fillId="0" borderId="0" xfId="0"/>
    <xf numFmtId="164" fontId="1" fillId="0" borderId="0" xfId="0" applyFont="1" applyAlignment="1">
      <alignment vertical="center"/>
    </xf>
    <xf numFmtId="164" fontId="2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165" fontId="1" fillId="0" borderId="0" xfId="0" applyNumberFormat="1" applyFont="1" applyAlignment="1">
      <alignment horizontal="left" vertical="center"/>
    </xf>
    <xf numFmtId="164" fontId="1" fillId="0" borderId="1" xfId="0" applyFont="1" applyBorder="1" applyAlignment="1">
      <alignment vertical="center"/>
    </xf>
    <xf numFmtId="1" fontId="1" fillId="0" borderId="1" xfId="0" applyNumberFormat="1" applyFont="1" applyBorder="1" applyAlignment="1">
      <alignment horizontal="left" vertical="center"/>
    </xf>
    <xf numFmtId="166" fontId="1" fillId="0" borderId="0" xfId="0" applyNumberFormat="1" applyFont="1" applyAlignment="1">
      <alignment vertical="center"/>
    </xf>
    <xf numFmtId="164" fontId="3" fillId="0" borderId="0" xfId="0" applyFont="1" applyAlignment="1">
      <alignment horizontal="right" vertical="center"/>
    </xf>
    <xf numFmtId="164" fontId="1" fillId="0" borderId="0" xfId="0" applyFont="1" applyAlignment="1">
      <alignment horizontal="left" vertical="center"/>
    </xf>
    <xf numFmtId="164" fontId="1" fillId="0" borderId="0" xfId="0" applyFont="1" applyAlignment="1">
      <alignment horizontal="right" vertical="center"/>
    </xf>
    <xf numFmtId="164" fontId="1" fillId="0" borderId="0" xfId="0" applyFont="1" applyAlignment="1">
      <alignment horizontal="center" vertical="center"/>
    </xf>
    <xf numFmtId="164" fontId="4" fillId="0" borderId="0" xfId="0" applyFont="1"/>
    <xf numFmtId="13" fontId="4" fillId="0" borderId="0" xfId="0" applyNumberFormat="1" applyFont="1"/>
    <xf numFmtId="164" fontId="5" fillId="0" borderId="0" xfId="0" applyFont="1"/>
    <xf numFmtId="165" fontId="4" fillId="0" borderId="0" xfId="0" applyNumberFormat="1" applyFont="1"/>
    <xf numFmtId="164" fontId="5" fillId="0" borderId="2" xfId="0" applyFont="1" applyBorder="1"/>
    <xf numFmtId="164" fontId="4" fillId="0" borderId="4" xfId="0" applyFont="1" applyBorder="1"/>
    <xf numFmtId="164" fontId="4" fillId="0" borderId="5" xfId="0" applyFont="1" applyBorder="1"/>
    <xf numFmtId="164" fontId="4" fillId="0" borderId="6" xfId="0" applyFont="1" applyBorder="1"/>
    <xf numFmtId="165" fontId="4" fillId="0" borderId="5" xfId="0" applyNumberFormat="1" applyFont="1" applyBorder="1"/>
    <xf numFmtId="165" fontId="4" fillId="0" borderId="6" xfId="0" applyNumberFormat="1" applyFont="1" applyBorder="1"/>
    <xf numFmtId="164" fontId="4" fillId="0" borderId="7" xfId="0" applyFont="1" applyBorder="1"/>
    <xf numFmtId="165" fontId="4" fillId="0" borderId="9" xfId="0" applyNumberFormat="1" applyFont="1" applyBorder="1"/>
    <xf numFmtId="164" fontId="4" fillId="0" borderId="6" xfId="0" applyFont="1" applyBorder="1" applyAlignment="1">
      <alignment horizontal="center"/>
    </xf>
    <xf numFmtId="165" fontId="4" fillId="0" borderId="6" xfId="0" applyNumberFormat="1" applyFont="1" applyBorder="1" applyAlignment="1">
      <alignment horizontal="center"/>
    </xf>
    <xf numFmtId="165" fontId="4" fillId="0" borderId="9" xfId="0" applyNumberFormat="1" applyFont="1" applyBorder="1" applyAlignment="1">
      <alignment horizontal="center"/>
    </xf>
    <xf numFmtId="164" fontId="4" fillId="0" borderId="0" xfId="0" applyFont="1" applyAlignment="1">
      <alignment horizontal="center"/>
    </xf>
    <xf numFmtId="13" fontId="4" fillId="0" borderId="5" xfId="0" applyNumberFormat="1" applyFont="1" applyBorder="1"/>
    <xf numFmtId="13" fontId="4" fillId="0" borderId="7" xfId="0" applyNumberFormat="1" applyFont="1" applyBorder="1"/>
    <xf numFmtId="164" fontId="4" fillId="0" borderId="8" xfId="0" applyFont="1" applyBorder="1"/>
    <xf numFmtId="164" fontId="4" fillId="0" borderId="9" xfId="0" applyFont="1" applyBorder="1"/>
    <xf numFmtId="165" fontId="4" fillId="0" borderId="8" xfId="0" applyNumberFormat="1" applyFont="1" applyBorder="1"/>
    <xf numFmtId="164" fontId="5" fillId="0" borderId="4" xfId="0" applyFont="1" applyBorder="1" applyAlignment="1">
      <alignment horizontal="center"/>
    </xf>
    <xf numFmtId="164" fontId="4" fillId="0" borderId="3" xfId="0" applyFont="1" applyBorder="1"/>
    <xf numFmtId="164" fontId="4" fillId="0" borderId="5" xfId="0" applyFont="1" applyBorder="1" applyAlignment="1">
      <alignment horizontal="center"/>
    </xf>
    <xf numFmtId="165" fontId="4" fillId="0" borderId="7" xfId="0" applyNumberFormat="1" applyFont="1" applyBorder="1"/>
    <xf numFmtId="164" fontId="1" fillId="0" borderId="5" xfId="0" applyFont="1" applyBorder="1" applyAlignment="1">
      <alignment vertical="center"/>
    </xf>
    <xf numFmtId="164" fontId="1" fillId="0" borderId="7" xfId="0" applyFont="1" applyBorder="1" applyAlignment="1">
      <alignment vertical="center"/>
    </xf>
    <xf numFmtId="166" fontId="1" fillId="0" borderId="0" xfId="0" quotePrefix="1" applyNumberFormat="1" applyFont="1" applyAlignment="1">
      <alignment vertical="center"/>
    </xf>
    <xf numFmtId="166" fontId="1" fillId="0" borderId="0" xfId="0" quotePrefix="1" applyNumberFormat="1" applyFont="1" applyAlignment="1">
      <alignment horizontal="left" vertical="center"/>
    </xf>
    <xf numFmtId="164" fontId="8" fillId="0" borderId="0" xfId="0" applyFont="1" applyAlignment="1">
      <alignment horizontal="center"/>
    </xf>
    <xf numFmtId="164" fontId="9" fillId="0" borderId="0" xfId="0" applyFont="1"/>
    <xf numFmtId="165" fontId="4" fillId="0" borderId="2" xfId="0" applyNumberFormat="1" applyFont="1" applyBorder="1"/>
    <xf numFmtId="170" fontId="4" fillId="0" borderId="0" xfId="0" applyNumberFormat="1" applyFont="1"/>
    <xf numFmtId="170" fontId="4" fillId="0" borderId="8" xfId="0" applyNumberFormat="1" applyFont="1" applyBorder="1"/>
    <xf numFmtId="164" fontId="4" fillId="0" borderId="2" xfId="0" applyFont="1" applyBorder="1"/>
    <xf numFmtId="165" fontId="4" fillId="0" borderId="5" xfId="0" applyNumberFormat="1" applyFont="1" applyBorder="1" applyAlignment="1">
      <alignment horizontal="left"/>
    </xf>
    <xf numFmtId="165" fontId="4" fillId="0" borderId="7" xfId="0" applyNumberFormat="1" applyFont="1" applyBorder="1" applyAlignment="1">
      <alignment horizontal="left"/>
    </xf>
    <xf numFmtId="164" fontId="8" fillId="0" borderId="0" xfId="0" applyFont="1"/>
    <xf numFmtId="164" fontId="5" fillId="0" borderId="5" xfId="0" applyFont="1" applyBorder="1"/>
    <xf numFmtId="164" fontId="5" fillId="0" borderId="13" xfId="0" applyFont="1" applyBorder="1" applyAlignment="1">
      <alignment horizontal="center"/>
    </xf>
    <xf numFmtId="164" fontId="4" fillId="0" borderId="14" xfId="0" applyFont="1" applyBorder="1"/>
    <xf numFmtId="164" fontId="4" fillId="0" borderId="14" xfId="0" applyFont="1" applyBorder="1" applyAlignment="1">
      <alignment horizontal="center"/>
    </xf>
    <xf numFmtId="169" fontId="4" fillId="0" borderId="14" xfId="0" applyNumberFormat="1" applyFont="1" applyBorder="1"/>
    <xf numFmtId="169" fontId="4" fillId="0" borderId="15" xfId="0" applyNumberFormat="1" applyFont="1" applyBorder="1"/>
    <xf numFmtId="164" fontId="1" fillId="0" borderId="1" xfId="0" applyFont="1" applyBorder="1" applyAlignment="1">
      <alignment horizontal="center" vertical="center"/>
    </xf>
    <xf numFmtId="164" fontId="3" fillId="0" borderId="0" xfId="0" quotePrefix="1" applyFont="1" applyAlignment="1">
      <alignment vertical="center"/>
    </xf>
    <xf numFmtId="164" fontId="3" fillId="0" borderId="0" xfId="0" applyFont="1" applyAlignment="1">
      <alignment vertical="center"/>
    </xf>
    <xf numFmtId="164" fontId="1" fillId="0" borderId="0" xfId="0" quotePrefix="1" applyFont="1" applyAlignment="1">
      <alignment vertical="center"/>
    </xf>
    <xf numFmtId="2" fontId="10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169" fontId="10" fillId="0" borderId="0" xfId="0" applyNumberFormat="1" applyFont="1" applyAlignment="1">
      <alignment vertical="center"/>
    </xf>
    <xf numFmtId="169" fontId="1" fillId="0" borderId="0" xfId="0" applyNumberFormat="1" applyFont="1" applyAlignment="1">
      <alignment vertical="center"/>
    </xf>
    <xf numFmtId="164" fontId="8" fillId="0" borderId="0" xfId="0" applyFont="1" applyAlignment="1">
      <alignment horizontal="left" vertical="center"/>
    </xf>
    <xf numFmtId="164" fontId="8" fillId="0" borderId="0" xfId="0" applyFont="1" applyAlignment="1">
      <alignment horizontal="right" vertical="center"/>
    </xf>
    <xf numFmtId="167" fontId="1" fillId="0" borderId="0" xfId="0" applyNumberFormat="1" applyFont="1" applyAlignment="1">
      <alignment vertical="center"/>
    </xf>
    <xf numFmtId="165" fontId="1" fillId="0" borderId="0" xfId="0" applyNumberFormat="1" applyFont="1" applyAlignment="1">
      <alignment vertical="center"/>
    </xf>
    <xf numFmtId="166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left" vertical="center"/>
    </xf>
    <xf numFmtId="166" fontId="1" fillId="0" borderId="0" xfId="0" applyNumberFormat="1" applyFont="1" applyAlignment="1">
      <alignment horizontal="right" vertical="center"/>
    </xf>
    <xf numFmtId="166" fontId="11" fillId="0" borderId="0" xfId="0" applyNumberFormat="1" applyFont="1" applyAlignment="1">
      <alignment horizontal="left" vertical="center"/>
    </xf>
    <xf numFmtId="168" fontId="1" fillId="0" borderId="0" xfId="0" applyNumberFormat="1" applyFont="1" applyAlignment="1">
      <alignment vertical="center"/>
    </xf>
    <xf numFmtId="168" fontId="10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164" fontId="10" fillId="0" borderId="0" xfId="0" applyFont="1" applyAlignment="1">
      <alignment vertical="center"/>
    </xf>
    <xf numFmtId="165" fontId="10" fillId="0" borderId="0" xfId="0" applyNumberFormat="1" applyFont="1" applyAlignment="1">
      <alignment horizontal="left" vertical="center"/>
    </xf>
    <xf numFmtId="164" fontId="8" fillId="0" borderId="0" xfId="0" applyFont="1" applyAlignment="1">
      <alignment vertical="center"/>
    </xf>
    <xf numFmtId="164" fontId="11" fillId="0" borderId="0" xfId="0" applyFont="1" applyAlignment="1">
      <alignment horizontal="right" vertical="center"/>
    </xf>
    <xf numFmtId="165" fontId="1" fillId="0" borderId="0" xfId="0" applyNumberFormat="1" applyFont="1" applyAlignment="1">
      <alignment horizontal="center" vertical="center"/>
    </xf>
    <xf numFmtId="164" fontId="11" fillId="0" borderId="0" xfId="0" applyFont="1" applyAlignment="1">
      <alignment vertical="center"/>
    </xf>
    <xf numFmtId="170" fontId="1" fillId="0" borderId="0" xfId="0" applyNumberFormat="1" applyFont="1" applyAlignment="1">
      <alignment horizontal="center" vertical="center"/>
    </xf>
    <xf numFmtId="164" fontId="1" fillId="2" borderId="0" xfId="0" applyFont="1" applyFill="1" applyAlignment="1">
      <alignment vertical="center"/>
    </xf>
    <xf numFmtId="165" fontId="10" fillId="0" borderId="0" xfId="0" applyNumberFormat="1" applyFont="1" applyAlignment="1">
      <alignment vertical="center"/>
    </xf>
    <xf numFmtId="164" fontId="1" fillId="0" borderId="2" xfId="0" applyFont="1" applyBorder="1" applyAlignment="1">
      <alignment vertical="center"/>
    </xf>
    <xf numFmtId="164" fontId="1" fillId="0" borderId="3" xfId="0" applyFont="1" applyBorder="1" applyAlignment="1">
      <alignment vertical="center"/>
    </xf>
    <xf numFmtId="164" fontId="1" fillId="0" borderId="4" xfId="0" applyFont="1" applyBorder="1" applyAlignment="1">
      <alignment vertical="center"/>
    </xf>
    <xf numFmtId="164" fontId="1" fillId="0" borderId="8" xfId="0" applyFont="1" applyBorder="1" applyAlignment="1">
      <alignment vertical="center"/>
    </xf>
    <xf numFmtId="164" fontId="1" fillId="0" borderId="9" xfId="0" applyFont="1" applyBorder="1" applyAlignment="1">
      <alignment vertical="center"/>
    </xf>
    <xf numFmtId="164" fontId="1" fillId="0" borderId="4" xfId="0" applyFont="1" applyBorder="1" applyAlignment="1">
      <alignment horizontal="center" vertical="center"/>
    </xf>
    <xf numFmtId="164" fontId="1" fillId="3" borderId="9" xfId="0" applyFont="1" applyFill="1" applyBorder="1" applyAlignment="1">
      <alignment vertical="center"/>
    </xf>
    <xf numFmtId="164" fontId="1" fillId="0" borderId="13" xfId="0" applyFont="1" applyBorder="1" applyAlignment="1">
      <alignment horizontal="center" vertical="center"/>
    </xf>
    <xf numFmtId="164" fontId="1" fillId="3" borderId="15" xfId="0" applyFont="1" applyFill="1" applyBorder="1" applyAlignment="1">
      <alignment vertical="center"/>
    </xf>
    <xf numFmtId="164" fontId="1" fillId="0" borderId="14" xfId="0" applyFont="1" applyBorder="1" applyAlignment="1">
      <alignment vertical="center"/>
    </xf>
    <xf numFmtId="164" fontId="1" fillId="0" borderId="13" xfId="0" applyFont="1" applyBorder="1" applyAlignment="1">
      <alignment vertical="center"/>
    </xf>
    <xf numFmtId="164" fontId="1" fillId="0" borderId="6" xfId="0" applyFont="1" applyBorder="1" applyAlignment="1">
      <alignment vertical="center"/>
    </xf>
    <xf numFmtId="164" fontId="1" fillId="3" borderId="0" xfId="0" applyFont="1" applyFill="1" applyAlignment="1">
      <alignment vertical="center"/>
    </xf>
    <xf numFmtId="164" fontId="1" fillId="0" borderId="15" xfId="0" applyFont="1" applyBorder="1" applyAlignment="1">
      <alignment vertical="center"/>
    </xf>
    <xf numFmtId="164" fontId="1" fillId="0" borderId="16" xfId="0" applyFont="1" applyBorder="1" applyAlignment="1">
      <alignment vertical="center"/>
    </xf>
    <xf numFmtId="164" fontId="1" fillId="0" borderId="11" xfId="0" applyFont="1" applyBorder="1" applyAlignment="1">
      <alignment vertical="center"/>
    </xf>
    <xf numFmtId="164" fontId="1" fillId="0" borderId="10" xfId="0" applyFont="1" applyBorder="1" applyAlignment="1">
      <alignment vertical="center"/>
    </xf>
    <xf numFmtId="164" fontId="1" fillId="0" borderId="12" xfId="0" applyFont="1" applyBorder="1" applyAlignment="1">
      <alignment vertical="center"/>
    </xf>
    <xf numFmtId="164" fontId="1" fillId="0" borderId="2" xfId="0" applyFont="1" applyBorder="1" applyAlignment="1">
      <alignment horizontal="center" vertical="center"/>
    </xf>
    <xf numFmtId="164" fontId="1" fillId="3" borderId="15" xfId="0" applyFont="1" applyFill="1" applyBorder="1" applyAlignment="1">
      <alignment horizontal="center" vertical="center"/>
    </xf>
    <xf numFmtId="164" fontId="1" fillId="3" borderId="14" xfId="0" applyFont="1" applyFill="1" applyBorder="1" applyAlignment="1">
      <alignment vertical="center"/>
    </xf>
    <xf numFmtId="169" fontId="1" fillId="0" borderId="0" xfId="0" applyNumberFormat="1" applyFont="1" applyAlignment="1">
      <alignment horizontal="center" vertical="center"/>
    </xf>
    <xf numFmtId="13" fontId="1" fillId="0" borderId="0" xfId="0" applyNumberFormat="1" applyFont="1" applyAlignment="1">
      <alignment horizontal="right" vertical="center"/>
    </xf>
    <xf numFmtId="13" fontId="10" fillId="0" borderId="0" xfId="0" applyNumberFormat="1" applyFont="1" applyAlignment="1">
      <alignment horizontal="right" vertical="center"/>
    </xf>
    <xf numFmtId="164" fontId="14" fillId="0" borderId="0" xfId="0" applyFont="1" applyAlignment="1">
      <alignment vertical="center"/>
    </xf>
    <xf numFmtId="0" fontId="15" fillId="0" borderId="0" xfId="1"/>
    <xf numFmtId="0" fontId="18" fillId="0" borderId="16" xfId="1" applyFont="1" applyBorder="1" applyAlignment="1">
      <alignment horizontal="center"/>
    </xf>
    <xf numFmtId="0" fontId="20" fillId="0" borderId="16" xfId="1" applyFont="1" applyBorder="1" applyAlignment="1">
      <alignment horizontal="center"/>
    </xf>
    <xf numFmtId="0" fontId="15" fillId="0" borderId="0" xfId="1" applyAlignment="1">
      <alignment horizontal="center"/>
    </xf>
    <xf numFmtId="0" fontId="15" fillId="0" borderId="16" xfId="1" applyBorder="1" applyAlignment="1">
      <alignment horizontal="center"/>
    </xf>
    <xf numFmtId="0" fontId="18" fillId="4" borderId="16" xfId="1" applyFont="1" applyFill="1" applyBorder="1" applyAlignment="1">
      <alignment horizontal="center"/>
    </xf>
    <xf numFmtId="168" fontId="15" fillId="0" borderId="16" xfId="1" applyNumberFormat="1" applyBorder="1" applyAlignment="1">
      <alignment horizontal="center"/>
    </xf>
    <xf numFmtId="168" fontId="15" fillId="0" borderId="0" xfId="1" applyNumberFormat="1" applyAlignment="1">
      <alignment horizontal="center"/>
    </xf>
    <xf numFmtId="164" fontId="21" fillId="0" borderId="0" xfId="0" applyFont="1" applyAlignment="1">
      <alignment vertical="center"/>
    </xf>
    <xf numFmtId="171" fontId="4" fillId="0" borderId="0" xfId="0" applyNumberFormat="1" applyFont="1"/>
    <xf numFmtId="172" fontId="4" fillId="0" borderId="0" xfId="0" applyNumberFormat="1" applyFont="1"/>
    <xf numFmtId="1" fontId="4" fillId="0" borderId="0" xfId="0" applyNumberFormat="1" applyFont="1"/>
    <xf numFmtId="1" fontId="4" fillId="0" borderId="6" xfId="0" applyNumberFormat="1" applyFont="1" applyBorder="1"/>
    <xf numFmtId="1" fontId="4" fillId="0" borderId="8" xfId="0" applyNumberFormat="1" applyFont="1" applyBorder="1"/>
    <xf numFmtId="1" fontId="4" fillId="0" borderId="9" xfId="0" applyNumberFormat="1" applyFont="1" applyBorder="1"/>
    <xf numFmtId="165" fontId="4" fillId="0" borderId="7" xfId="0" applyNumberFormat="1" applyFont="1" applyBorder="1" applyAlignment="1">
      <alignment horizontal="left" indent="1"/>
    </xf>
    <xf numFmtId="1" fontId="4" fillId="0" borderId="3" xfId="0" applyNumberFormat="1" applyFont="1" applyBorder="1"/>
    <xf numFmtId="1" fontId="4" fillId="0" borderId="4" xfId="0" applyNumberFormat="1" applyFont="1" applyBorder="1"/>
    <xf numFmtId="164" fontId="4" fillId="0" borderId="0" xfId="0" applyFont="1" applyAlignment="1">
      <alignment horizontal="right"/>
    </xf>
    <xf numFmtId="13" fontId="1" fillId="0" borderId="0" xfId="0" applyNumberFormat="1" applyFont="1" applyAlignment="1">
      <alignment vertical="center"/>
    </xf>
    <xf numFmtId="165" fontId="26" fillId="0" borderId="0" xfId="0" applyNumberFormat="1" applyFont="1" applyAlignment="1">
      <alignment vertical="center"/>
    </xf>
    <xf numFmtId="168" fontId="1" fillId="0" borderId="0" xfId="0" applyNumberFormat="1" applyFont="1" applyAlignment="1">
      <alignment horizontal="right" vertical="center"/>
    </xf>
    <xf numFmtId="166" fontId="3" fillId="0" borderId="0" xfId="0" applyNumberFormat="1" applyFont="1" applyAlignment="1">
      <alignment horizontal="left" vertical="center"/>
    </xf>
    <xf numFmtId="166" fontId="3" fillId="0" borderId="0" xfId="0" quotePrefix="1" applyNumberFormat="1" applyFont="1" applyAlignment="1">
      <alignment horizontal="left" vertical="center"/>
    </xf>
    <xf numFmtId="164" fontId="3" fillId="0" borderId="5" xfId="0" applyFont="1" applyBorder="1" applyAlignment="1">
      <alignment vertical="center"/>
    </xf>
    <xf numFmtId="164" fontId="1" fillId="0" borderId="6" xfId="0" applyFont="1" applyBorder="1" applyAlignment="1">
      <alignment horizontal="center" vertical="center"/>
    </xf>
    <xf numFmtId="169" fontId="1" fillId="0" borderId="6" xfId="0" applyNumberFormat="1" applyFont="1" applyBorder="1" applyAlignment="1">
      <alignment horizontal="center" vertical="center"/>
    </xf>
    <xf numFmtId="169" fontId="1" fillId="0" borderId="9" xfId="0" applyNumberFormat="1" applyFont="1" applyBorder="1" applyAlignment="1">
      <alignment horizontal="center" vertical="center"/>
    </xf>
    <xf numFmtId="170" fontId="1" fillId="0" borderId="0" xfId="0" applyNumberFormat="1" applyFont="1" applyAlignment="1">
      <alignment vertical="center"/>
    </xf>
    <xf numFmtId="164" fontId="1" fillId="3" borderId="8" xfId="0" applyFont="1" applyFill="1" applyBorder="1" applyAlignment="1">
      <alignment vertical="center"/>
    </xf>
    <xf numFmtId="164" fontId="1" fillId="0" borderId="0" xfId="0" applyFont="1" applyAlignment="1">
      <alignment horizontal="justify" vertical="center"/>
    </xf>
    <xf numFmtId="164" fontId="3" fillId="0" borderId="10" xfId="0" applyFont="1" applyBorder="1" applyAlignment="1">
      <alignment horizontal="center" vertical="center"/>
    </xf>
    <xf numFmtId="164" fontId="3" fillId="0" borderId="11" xfId="0" applyFont="1" applyBorder="1" applyAlignment="1">
      <alignment horizontal="center" vertical="center"/>
    </xf>
    <xf numFmtId="164" fontId="3" fillId="0" borderId="12" xfId="0" applyFont="1" applyBorder="1" applyAlignment="1">
      <alignment horizontal="center" vertical="center"/>
    </xf>
    <xf numFmtId="164" fontId="5" fillId="0" borderId="2" xfId="0" applyFont="1" applyBorder="1" applyAlignment="1">
      <alignment horizontal="center"/>
    </xf>
    <xf numFmtId="164" fontId="5" fillId="0" borderId="3" xfId="0" applyFont="1" applyBorder="1" applyAlignment="1">
      <alignment horizontal="center"/>
    </xf>
    <xf numFmtId="164" fontId="5" fillId="0" borderId="4" xfId="0" applyFont="1" applyBorder="1" applyAlignment="1">
      <alignment horizontal="center"/>
    </xf>
    <xf numFmtId="164" fontId="4" fillId="0" borderId="2" xfId="0" applyFont="1" applyBorder="1" applyAlignment="1">
      <alignment horizontal="center"/>
    </xf>
    <xf numFmtId="164" fontId="4" fillId="0" borderId="3" xfId="0" applyFont="1" applyBorder="1" applyAlignment="1">
      <alignment horizontal="center"/>
    </xf>
    <xf numFmtId="164" fontId="4" fillId="0" borderId="4" xfId="0" applyFont="1" applyBorder="1" applyAlignment="1">
      <alignment horizontal="center"/>
    </xf>
    <xf numFmtId="164" fontId="4" fillId="0" borderId="0" xfId="0" applyFont="1" applyAlignment="1">
      <alignment horizontal="center"/>
    </xf>
    <xf numFmtId="164" fontId="4" fillId="0" borderId="6" xfId="0" applyFont="1" applyBorder="1" applyAlignment="1">
      <alignment horizontal="center"/>
    </xf>
    <xf numFmtId="0" fontId="16" fillId="0" borderId="0" xfId="1" applyFont="1" applyAlignment="1">
      <alignment horizontal="center"/>
    </xf>
  </cellXfs>
  <cellStyles count="2">
    <cellStyle name="Normal" xfId="0" builtinId="0"/>
    <cellStyle name="Normal 2" xfId="1" xr:uid="{D1085210-89BA-4DED-B323-EFDC0FA48CDD}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emf"/><Relationship Id="rId27" Type="http://schemas.openxmlformats.org/officeDocument/2006/relationships/image" Target="../media/image2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emf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110</xdr:row>
      <xdr:rowOff>19050</xdr:rowOff>
    </xdr:from>
    <xdr:to>
      <xdr:col>3</xdr:col>
      <xdr:colOff>209423</xdr:colOff>
      <xdr:row>112</xdr:row>
      <xdr:rowOff>148606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E71F273-F824-4A08-BDCF-6A7D7482B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0" y="9277350"/>
          <a:ext cx="1019048" cy="539131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113</xdr:row>
      <xdr:rowOff>0</xdr:rowOff>
    </xdr:from>
    <xdr:to>
      <xdr:col>3</xdr:col>
      <xdr:colOff>3048</xdr:colOff>
      <xdr:row>114</xdr:row>
      <xdr:rowOff>57782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9B064A6-F524-4A0C-8A63-B872B5072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" y="9858375"/>
          <a:ext cx="790476" cy="23685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119</xdr:row>
      <xdr:rowOff>0</xdr:rowOff>
    </xdr:from>
    <xdr:to>
      <xdr:col>4</xdr:col>
      <xdr:colOff>1124</xdr:colOff>
      <xdr:row>120</xdr:row>
      <xdr:rowOff>20930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F269A02-1DB1-4E85-983D-C67CA39B9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8625" y="11001375"/>
          <a:ext cx="1306833" cy="20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125</xdr:row>
      <xdr:rowOff>123825</xdr:rowOff>
    </xdr:from>
    <xdr:to>
      <xdr:col>4</xdr:col>
      <xdr:colOff>510723</xdr:colOff>
      <xdr:row>127</xdr:row>
      <xdr:rowOff>130817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292DAE1-3664-4E35-A26A-61E5D53CB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" y="12268200"/>
          <a:ext cx="1857558" cy="37846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130</xdr:row>
      <xdr:rowOff>38100</xdr:rowOff>
    </xdr:from>
    <xdr:to>
      <xdr:col>4</xdr:col>
      <xdr:colOff>2865</xdr:colOff>
      <xdr:row>132</xdr:row>
      <xdr:rowOff>111758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6A8BFE8-04D5-417F-95B6-A7EB12208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" y="13134975"/>
          <a:ext cx="1285714" cy="4546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139</xdr:row>
      <xdr:rowOff>76200</xdr:rowOff>
    </xdr:from>
    <xdr:to>
      <xdr:col>3</xdr:col>
      <xdr:colOff>249418</xdr:colOff>
      <xdr:row>141</xdr:row>
      <xdr:rowOff>130806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3EF0B0B-5B08-405B-A503-415C00D71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8625" y="14887575"/>
          <a:ext cx="1095238" cy="4737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148</xdr:row>
      <xdr:rowOff>19050</xdr:rowOff>
    </xdr:from>
    <xdr:to>
      <xdr:col>4</xdr:col>
      <xdr:colOff>38341</xdr:colOff>
      <xdr:row>149</xdr:row>
      <xdr:rowOff>19696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97FC0280-EC80-439B-8326-C2A7061AF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8625" y="16583025"/>
          <a:ext cx="1390891" cy="209524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178</xdr:row>
      <xdr:rowOff>76200</xdr:rowOff>
    </xdr:from>
    <xdr:to>
      <xdr:col>5</xdr:col>
      <xdr:colOff>554605</xdr:colOff>
      <xdr:row>180</xdr:row>
      <xdr:rowOff>132714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DDB47FF-A5BD-438D-9C5A-3556E6D92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4825" y="22393275"/>
          <a:ext cx="2640580" cy="44513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192</xdr:row>
      <xdr:rowOff>180975</xdr:rowOff>
    </xdr:from>
    <xdr:to>
      <xdr:col>4</xdr:col>
      <xdr:colOff>91675</xdr:colOff>
      <xdr:row>195</xdr:row>
      <xdr:rowOff>167654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9E5F3581-53CB-4D2E-9A58-384060AB6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28625" y="25203150"/>
          <a:ext cx="1438510" cy="548654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196</xdr:row>
      <xdr:rowOff>76200</xdr:rowOff>
    </xdr:from>
    <xdr:to>
      <xdr:col>3</xdr:col>
      <xdr:colOff>247517</xdr:colOff>
      <xdr:row>198</xdr:row>
      <xdr:rowOff>130810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21162F9E-9F63-451B-B7CC-D43014AD4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66725" y="25860375"/>
          <a:ext cx="1066667" cy="43561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201</xdr:row>
      <xdr:rowOff>76200</xdr:rowOff>
    </xdr:from>
    <xdr:to>
      <xdr:col>4</xdr:col>
      <xdr:colOff>457395</xdr:colOff>
      <xdr:row>203</xdr:row>
      <xdr:rowOff>132715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6A99CE95-1AF2-471D-83BE-9AB6EB522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76250" y="26812875"/>
          <a:ext cx="1762320" cy="44513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206</xdr:row>
      <xdr:rowOff>142875</xdr:rowOff>
    </xdr:from>
    <xdr:to>
      <xdr:col>5</xdr:col>
      <xdr:colOff>567922</xdr:colOff>
      <xdr:row>212</xdr:row>
      <xdr:rowOff>173373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875D70AF-5670-4B37-A38D-89C997C5D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28625" y="27832050"/>
          <a:ext cx="2783437" cy="117349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213</xdr:row>
      <xdr:rowOff>114300</xdr:rowOff>
    </xdr:from>
    <xdr:to>
      <xdr:col>4</xdr:col>
      <xdr:colOff>647865</xdr:colOff>
      <xdr:row>215</xdr:row>
      <xdr:rowOff>132719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EC9A8FFC-8FA2-49E7-BB38-BD661C5D4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28625" y="29136975"/>
          <a:ext cx="2000415" cy="407039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219</xdr:row>
      <xdr:rowOff>57150</xdr:rowOff>
    </xdr:from>
    <xdr:to>
      <xdr:col>4</xdr:col>
      <xdr:colOff>457390</xdr:colOff>
      <xdr:row>220</xdr:row>
      <xdr:rowOff>95886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649E7EAA-2D4E-4858-B3AB-19AFF2E1E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38150" y="30222825"/>
          <a:ext cx="1800415" cy="217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221</xdr:row>
      <xdr:rowOff>47625</xdr:rowOff>
    </xdr:from>
    <xdr:to>
      <xdr:col>3</xdr:col>
      <xdr:colOff>58942</xdr:colOff>
      <xdr:row>222</xdr:row>
      <xdr:rowOff>57789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38F22BA5-F8C9-476B-8936-5C385EB09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28625" y="30594300"/>
          <a:ext cx="904762" cy="18923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222</xdr:row>
      <xdr:rowOff>171450</xdr:rowOff>
    </xdr:from>
    <xdr:to>
      <xdr:col>3</xdr:col>
      <xdr:colOff>175130</xdr:colOff>
      <xdr:row>224</xdr:row>
      <xdr:rowOff>111775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4517E19F-AB0A-44B5-9C80-13AEE4D55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28625" y="30908625"/>
          <a:ext cx="1038095" cy="32132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230</xdr:row>
      <xdr:rowOff>161925</xdr:rowOff>
    </xdr:from>
    <xdr:to>
      <xdr:col>5</xdr:col>
      <xdr:colOff>459415</xdr:colOff>
      <xdr:row>235</xdr:row>
      <xdr:rowOff>1309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117F17BC-ECB8-4CD9-8866-372DF594B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85825" y="32423100"/>
          <a:ext cx="2164390" cy="78550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237</xdr:row>
      <xdr:rowOff>152400</xdr:rowOff>
    </xdr:from>
    <xdr:to>
      <xdr:col>5</xdr:col>
      <xdr:colOff>285912</xdr:colOff>
      <xdr:row>241</xdr:row>
      <xdr:rowOff>172100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EA06DE74-F00A-4C2C-A349-28323845A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57250" y="33747075"/>
          <a:ext cx="2019462" cy="7664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252</xdr:row>
      <xdr:rowOff>161925</xdr:rowOff>
    </xdr:from>
    <xdr:to>
      <xdr:col>8</xdr:col>
      <xdr:colOff>41390</xdr:colOff>
      <xdr:row>254</xdr:row>
      <xdr:rowOff>111774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7551D820-10CF-4108-BC76-40D7EA4F3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57250" y="36614100"/>
          <a:ext cx="3498965" cy="330849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260</xdr:row>
      <xdr:rowOff>66675</xdr:rowOff>
    </xdr:from>
    <xdr:to>
      <xdr:col>4</xdr:col>
      <xdr:colOff>169775</xdr:colOff>
      <xdr:row>262</xdr:row>
      <xdr:rowOff>94618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24FD042B-0BB4-44D2-A7DE-C1E3D6BF7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485775" y="38042850"/>
          <a:ext cx="1476605" cy="416563"/>
        </a:xfrm>
        <a:prstGeom prst="rect">
          <a:avLst/>
        </a:prstGeom>
      </xdr:spPr>
    </xdr:pic>
    <xdr:clientData/>
  </xdr:twoCellAnchor>
  <xdr:oneCellAnchor>
    <xdr:from>
      <xdr:col>1</xdr:col>
      <xdr:colOff>44450</xdr:colOff>
      <xdr:row>272</xdr:row>
      <xdr:rowOff>127476</xdr:rowOff>
    </xdr:from>
    <xdr:ext cx="1997726" cy="7631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22D6FDD0-8D34-4B90-B801-DC49E0F00C03}"/>
                </a:ext>
              </a:extLst>
            </xdr:cNvPr>
            <xdr:cNvSpPr txBox="1"/>
          </xdr:nvSpPr>
          <xdr:spPr>
            <a:xfrm>
              <a:off x="473075" y="40532526"/>
              <a:ext cx="1997726" cy="7631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𝑚𝑖𝑛</m:t>
                    </m:r>
                    <m:d>
                      <m:dPr>
                        <m:begChr m:val="{"/>
                        <m:endChr m:val="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r>
                                <m:rPr>
                                  <m:brk m:alnAt="7"/>
                                </m:rP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9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9</m:t>
                              </m:r>
                              <m:sSub>
                                <m:sSubPr>
                                  <m:ctrlP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𝑡</m:t>
                                  </m:r>
                                </m:e>
                                <m:sub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𝑏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_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𝑊𝐿</m:t>
                                  </m:r>
                                </m:sub>
                              </m:sSub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∙</m:t>
                              </m:r>
                              <m:rad>
                                <m:radPr>
                                  <m:degHide m:val="on"/>
                                  <m:ctrlP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radPr>
                                <m:deg/>
                                <m:e>
                                  <m:sSub>
                                    <m:sSubPr>
                                      <m:ctrlPr>
                                        <a:rPr lang="es-MX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s-MX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𝐹</m:t>
                                      </m:r>
                                    </m:e>
                                    <m:sub>
                                      <m:r>
                                        <a:rPr lang="es-MX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𝑦</m:t>
                                      </m:r>
                                    </m:sub>
                                  </m:sSub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𝐻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𝛾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𝑓</m:t>
                                  </m:r>
                                </m:e>
                              </m:rad>
                            </m:e>
                          </m:mr>
                          <m:mr>
                            <m:e/>
                          </m:mr>
                          <m:mr>
                            <m:e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196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∙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𝐻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𝐷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22D6FDD0-8D34-4B90-B801-DC49E0F00C03}"/>
                </a:ext>
              </a:extLst>
            </xdr:cNvPr>
            <xdr:cNvSpPr txBox="1"/>
          </xdr:nvSpPr>
          <xdr:spPr>
            <a:xfrm>
              <a:off x="473075" y="40532526"/>
              <a:ext cx="1997726" cy="7631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s-MX" sz="1100" b="0" i="0">
                  <a:latin typeface="Cambria Math" panose="02040503050406030204" pitchFamily="18" charset="0"/>
                </a:rPr>
                <a:t>𝑤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𝐿=𝑚𝑖𝑛{■8(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99𝑡_(𝑏_𝑊𝐿)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√(𝐹_𝑦∙𝐻∙𝛾𝑓)@@196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𝐻∙𝐷∙𝐺)┤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5</xdr:col>
      <xdr:colOff>119062</xdr:colOff>
      <xdr:row>279</xdr:row>
      <xdr:rowOff>142875</xdr:rowOff>
    </xdr:from>
    <xdr:ext cx="1351845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1FF6C15-96A9-4532-A214-2BB87A180289}"/>
                </a:ext>
              </a:extLst>
            </xdr:cNvPr>
            <xdr:cNvSpPr txBox="1"/>
          </xdr:nvSpPr>
          <xdr:spPr>
            <a:xfrm>
              <a:off x="2709862" y="41881425"/>
              <a:ext cx="1351845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𝑟𝑤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</m:e>
                        </m:d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&lt;1.57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1FF6C15-96A9-4532-A214-2BB87A180289}"/>
                </a:ext>
              </a:extLst>
            </xdr:cNvPr>
            <xdr:cNvSpPr txBox="1"/>
          </xdr:nvSpPr>
          <xdr:spPr>
            <a:xfrm>
              <a:off x="2709862" y="41881425"/>
              <a:ext cx="1351845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𝑀_𝑟𝑤/(𝐷^2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∙(𝑤_𝑡+𝑤_𝐿 ) )&lt;1.57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95250</xdr:colOff>
      <xdr:row>281</xdr:row>
      <xdr:rowOff>152400</xdr:rowOff>
    </xdr:from>
    <xdr:ext cx="1049197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CB5C7CC7-01D1-40CF-A519-24921C218D09}"/>
                </a:ext>
              </a:extLst>
            </xdr:cNvPr>
            <xdr:cNvSpPr txBox="1"/>
          </xdr:nvSpPr>
          <xdr:spPr>
            <a:xfrm>
              <a:off x="523875" y="42271950"/>
              <a:ext cx="1049197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𝑟𝑤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</m:e>
                        </m:d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CB5C7CC7-01D1-40CF-A519-24921C218D09}"/>
                </a:ext>
              </a:extLst>
            </xdr:cNvPr>
            <xdr:cNvSpPr txBox="1"/>
          </xdr:nvSpPr>
          <xdr:spPr>
            <a:xfrm>
              <a:off x="523875" y="42271950"/>
              <a:ext cx="1049197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𝑀_𝑟𝑤/(𝐷^2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∙(𝑤_𝑡+𝑤_𝐿 ) )=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</xdr:col>
      <xdr:colOff>133350</xdr:colOff>
      <xdr:row>289</xdr:row>
      <xdr:rowOff>47625</xdr:rowOff>
    </xdr:from>
    <xdr:to>
      <xdr:col>11</xdr:col>
      <xdr:colOff>408</xdr:colOff>
      <xdr:row>307</xdr:row>
      <xdr:rowOff>74130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D8E57ACB-A432-4D42-AE4A-A8C7A62C91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43691175"/>
          <a:ext cx="5134383" cy="34555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52387</xdr:colOff>
      <xdr:row>331</xdr:row>
      <xdr:rowOff>38100</xdr:rowOff>
    </xdr:from>
    <xdr:ext cx="3012748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1AF130FC-D812-4DE9-A9BD-A839E1DBD669}"/>
                </a:ext>
              </a:extLst>
            </xdr:cNvPr>
            <xdr:cNvSpPr txBox="1"/>
          </xdr:nvSpPr>
          <xdr:spPr>
            <a:xfrm>
              <a:off x="481012" y="51758850"/>
              <a:ext cx="3012748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𝐻𝐴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𝐵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𝑝𝑒𝑑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𝑝𝑒𝑑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𝐵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𝑧𝑎𝑝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𝑧𝑎𝑝</m:t>
                                </m:r>
                              </m:sub>
                            </m:sSub>
                          </m:e>
                        </m:d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</m:d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1AF130FC-D812-4DE9-A9BD-A839E1DBD669}"/>
                </a:ext>
              </a:extLst>
            </xdr:cNvPr>
            <xdr:cNvSpPr txBox="1"/>
          </xdr:nvSpPr>
          <xdr:spPr>
            <a:xfrm>
              <a:off x="481012" y="51758850"/>
              <a:ext cx="3012748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𝑓𝑢𝑛𝑑=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𝐻𝐴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∙[(𝐵_𝑝𝑒𝑑∙𝐻_𝑝𝑒𝑑+𝐵_𝑧𝑎𝑝∙𝑡_𝑧𝑎𝑝 )(𝜋∙𝐷)]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71437</xdr:colOff>
      <xdr:row>339</xdr:row>
      <xdr:rowOff>123825</xdr:rowOff>
    </xdr:from>
    <xdr:ext cx="3908570" cy="4390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2C8D8CB7-9AEA-40EB-B9AB-63D9C59A73BF}"/>
                </a:ext>
              </a:extLst>
            </xdr:cNvPr>
            <xdr:cNvSpPr txBox="1"/>
          </xdr:nvSpPr>
          <xdr:spPr>
            <a:xfrm>
              <a:off x="928687" y="53406675"/>
              <a:ext cx="3908570" cy="439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𝑒𝑥𝑡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𝑧𝑎𝑝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𝑝𝑒𝑑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d>
                              <m:d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𝑓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𝑡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𝑧𝑎𝑝</m:t>
                                    </m:r>
                                  </m:sub>
                                </m:sSub>
                              </m:e>
                            </m:d>
                          </m:e>
                        </m:d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𝑟𝑒𝑙𝑙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𝑒𝑥𝑡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𝑚𝑒𝑑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2C8D8CB7-9AEA-40EB-B9AB-63D9C59A73BF}"/>
                </a:ext>
              </a:extLst>
            </xdr:cNvPr>
            <xdr:cNvSpPr txBox="1"/>
          </xdr:nvSpPr>
          <xdr:spPr>
            <a:xfrm>
              <a:off x="928687" y="53406675"/>
              <a:ext cx="3908570" cy="439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𝑟𝑒𝑙𝑙_𝑒𝑥𝑡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 [[(𝐵_𝑧𝑎𝑝−𝐵_𝑝𝑒𝑑)/2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∙(𝐷_𝑓−𝑡_𝑧𝑎𝑝 )]∙(𝜋∙𝐷_(𝑟𝑒𝑙𝑙_𝑒𝑥𝑡_𝑚𝑒𝑑) )]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42862</xdr:colOff>
      <xdr:row>336</xdr:row>
      <xdr:rowOff>142875</xdr:rowOff>
    </xdr:from>
    <xdr:ext cx="2400594" cy="320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F0E28920-DA54-44D4-8604-593FA40E4AFE}"/>
                </a:ext>
              </a:extLst>
            </xdr:cNvPr>
            <xdr:cNvSpPr txBox="1"/>
          </xdr:nvSpPr>
          <xdr:spPr>
            <a:xfrm>
              <a:off x="900112" y="52854225"/>
              <a:ext cx="2400594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𝑒𝑥𝑡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𝑚𝑒𝑑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𝑝𝑒𝑑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𝑧𝑎𝑝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F0E28920-DA54-44D4-8604-593FA40E4AFE}"/>
                </a:ext>
              </a:extLst>
            </xdr:cNvPr>
            <xdr:cNvSpPr txBox="1"/>
          </xdr:nvSpPr>
          <xdr:spPr>
            <a:xfrm>
              <a:off x="900112" y="52854225"/>
              <a:ext cx="2400594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𝐷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𝑟𝑒𝑙𝑙_𝑒𝑥𝑡_𝑚𝑒𝑑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=〖𝐷+𝐵〗_𝑝𝑒𝑑+(𝐵_𝑧𝑎𝑝−𝐵_𝑝𝑒𝑑)/2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47625</xdr:colOff>
      <xdr:row>347</xdr:row>
      <xdr:rowOff>95250</xdr:rowOff>
    </xdr:from>
    <xdr:ext cx="3494418" cy="4390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225756B4-A46C-4718-A241-5812DC1A1FF5}"/>
                </a:ext>
              </a:extLst>
            </xdr:cNvPr>
            <xdr:cNvSpPr txBox="1"/>
          </xdr:nvSpPr>
          <xdr:spPr>
            <a:xfrm>
              <a:off x="904875" y="54940200"/>
              <a:ext cx="3494418" cy="439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𝑖𝑛𝑡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𝑧𝑎𝑝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𝑝𝑒𝑑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𝑝𝑒𝑑</m:t>
                                </m:r>
                              </m:sub>
                            </m:sSub>
                          </m:e>
                        </m:d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𝑟𝑒𝑙𝑙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𝑖𝑛𝑡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𝑚𝑒𝑑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225756B4-A46C-4718-A241-5812DC1A1FF5}"/>
                </a:ext>
              </a:extLst>
            </xdr:cNvPr>
            <xdr:cNvSpPr txBox="1"/>
          </xdr:nvSpPr>
          <xdr:spPr>
            <a:xfrm>
              <a:off x="904875" y="54940200"/>
              <a:ext cx="3494418" cy="439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𝑟𝑒𝑙𝑙_𝑖𝑛𝑡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 [[(𝐵_𝑧𝑎𝑝−𝐵_𝑝𝑒𝑑)/2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∙𝐻_𝑝𝑒𝑑 ]∙(𝜋∙𝐷_(𝑟𝑒𝑙𝑙_𝑖𝑛𝑡_𝑚𝑒𝑑) )]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344</xdr:row>
      <xdr:rowOff>142875</xdr:rowOff>
    </xdr:from>
    <xdr:ext cx="2386871" cy="320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58825728-96C3-496E-9A76-F9EB98C54A6E}"/>
                </a:ext>
              </a:extLst>
            </xdr:cNvPr>
            <xdr:cNvSpPr txBox="1"/>
          </xdr:nvSpPr>
          <xdr:spPr>
            <a:xfrm>
              <a:off x="876300" y="54416325"/>
              <a:ext cx="2386871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𝑖𝑛𝑡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𝑚𝑒𝑑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𝑝𝑒𝑑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𝑧𝑎𝑝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58825728-96C3-496E-9A76-F9EB98C54A6E}"/>
                </a:ext>
              </a:extLst>
            </xdr:cNvPr>
            <xdr:cNvSpPr txBox="1"/>
          </xdr:nvSpPr>
          <xdr:spPr>
            <a:xfrm>
              <a:off x="876300" y="54416325"/>
              <a:ext cx="2386871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𝐷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𝑟𝑒𝑙𝑙_𝑖𝑛𝑡_𝑚𝑒𝑑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=〖𝐷−𝐵〗_𝑝𝑒𝑑−(𝐵_𝑧𝑎𝑝−𝐵_𝑝𝑒𝑑)/2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100012</xdr:colOff>
      <xdr:row>351</xdr:row>
      <xdr:rowOff>38100</xdr:rowOff>
    </xdr:from>
    <xdr:ext cx="1698477" cy="1752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AE517C0F-A043-4882-833A-AD967C448DDC}"/>
                </a:ext>
              </a:extLst>
            </xdr:cNvPr>
            <xdr:cNvSpPr txBox="1"/>
          </xdr:nvSpPr>
          <xdr:spPr>
            <a:xfrm>
              <a:off x="528637" y="55683150"/>
              <a:ext cx="1698477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𝑒𝑥𝑡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𝑖𝑛𝑡</m:t>
                        </m:r>
                      </m:sub>
                    </m:sSub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AE517C0F-A043-4882-833A-AD967C448DDC}"/>
                </a:ext>
              </a:extLst>
            </xdr:cNvPr>
            <xdr:cNvSpPr txBox="1"/>
          </xdr:nvSpPr>
          <xdr:spPr>
            <a:xfrm>
              <a:off x="528637" y="55683150"/>
              <a:ext cx="1698477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𝑟𝑒𝑙𝑙=𝑊_(𝑟𝑒𝑙𝑙_𝑒𝑥𝑡)+𝑊_(𝑟𝑒𝑙𝑙_𝑖𝑛𝑡)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114300</xdr:colOff>
      <xdr:row>355</xdr:row>
      <xdr:rowOff>133350</xdr:rowOff>
    </xdr:from>
    <xdr:ext cx="1745799" cy="320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B4854751-0387-4768-92D4-3FA4339D7324}"/>
                </a:ext>
              </a:extLst>
            </xdr:cNvPr>
            <xdr:cNvSpPr txBox="1"/>
          </xdr:nvSpPr>
          <xdr:spPr>
            <a:xfrm>
              <a:off x="542925" y="56578500"/>
              <a:ext cx="1745799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𝑙𝑖𝑞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𝑧𝑎𝑝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B4854751-0387-4768-92D4-3FA4339D7324}"/>
                </a:ext>
              </a:extLst>
            </xdr:cNvPr>
            <xdr:cNvSpPr txBox="1"/>
          </xdr:nvSpPr>
          <xdr:spPr>
            <a:xfrm>
              <a:off x="542925" y="56578500"/>
              <a:ext cx="1745799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𝑏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𝑙𝑖𝑞=𝐵_𝑝𝑒𝑑/2+(𝐵_𝑧𝑎𝑝−𝐵_𝑝𝑒𝑑)/2=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117443</xdr:colOff>
      <xdr:row>358</xdr:row>
      <xdr:rowOff>22701</xdr:rowOff>
    </xdr:from>
    <xdr:ext cx="2357697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4F114A80-6925-4A0C-BAB4-974D979EE8A2}"/>
                </a:ext>
              </a:extLst>
            </xdr:cNvPr>
            <xdr:cNvSpPr txBox="1"/>
          </xdr:nvSpPr>
          <xdr:spPr>
            <a:xfrm>
              <a:off x="546068" y="57039351"/>
              <a:ext cx="2357697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l-G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𝑙𝑖𝑞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𝑙𝑖𝑞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𝜋</m:t>
                        </m:r>
                        <m: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d>
                          <m:dPr>
                            <m:ctrlPr>
                              <a:rPr lang="el-GR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𝐷</m:t>
                            </m:r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𝑏</m:t>
                                </m:r>
                              </m:e>
                              <m:sub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𝑙𝑖𝑞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</m:t>
                        </m:r>
                      </m:sub>
                    </m:sSub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4F114A80-6925-4A0C-BAB4-974D979EE8A2}"/>
                </a:ext>
              </a:extLst>
            </xdr:cNvPr>
            <xdr:cNvSpPr txBox="1"/>
          </xdr:nvSpPr>
          <xdr:spPr>
            <a:xfrm>
              <a:off x="546068" y="57039351"/>
              <a:ext cx="2357697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l-GR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𝑙𝑖𝑞_𝑧𝑎𝑝</a:t>
              </a:r>
              <a:r>
                <a:rPr lang="el-GR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=[𝑏_𝑙𝑖𝑞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∙𝐻∙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𝐷−𝑏_𝑙𝑖𝑞 )]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∙𝛾_𝑓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423862</xdr:colOff>
      <xdr:row>376</xdr:row>
      <xdr:rowOff>23812</xdr:rowOff>
    </xdr:from>
    <xdr:ext cx="2679067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716FB2A5-3CA7-48EE-BF7C-25359160E4B5}"/>
                </a:ext>
              </a:extLst>
            </xdr:cNvPr>
            <xdr:cNvSpPr txBox="1"/>
          </xdr:nvSpPr>
          <xdr:spPr>
            <a:xfrm>
              <a:off x="852487" y="60621862"/>
              <a:ext cx="2679067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𝑣𝑝𝑜𝑠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𝐼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𝑂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716FB2A5-3CA7-48EE-BF7C-25359160E4B5}"/>
                </a:ext>
              </a:extLst>
            </xdr:cNvPr>
            <xdr:cNvSpPr txBox="1"/>
          </xdr:nvSpPr>
          <xdr:spPr>
            <a:xfrm>
              <a:off x="852487" y="60621862"/>
              <a:ext cx="2679067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𝑣𝑝𝑜𝑠=(1−𝐼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∙𝐶_𝑣 )</a:t>
              </a:r>
              <a:r>
                <a:rPr lang="es-MX" sz="1100" b="0" i="0">
                  <a:latin typeface="Cambria Math" panose="02040503050406030204" pitchFamily="18" charset="0"/>
                </a:rPr>
                <a:t>(𝑁_𝑂+𝑊_𝑓𝑢𝑛𝑑+𝑊_𝑟𝑒𝑙𝑙 )=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423862</xdr:colOff>
      <xdr:row>378</xdr:row>
      <xdr:rowOff>61912</xdr:rowOff>
    </xdr:from>
    <xdr:ext cx="3370859" cy="4322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06B8AE1E-DDEB-4896-9166-70F127533B3E}"/>
                </a:ext>
              </a:extLst>
            </xdr:cNvPr>
            <xdr:cNvSpPr txBox="1"/>
          </xdr:nvSpPr>
          <xdr:spPr>
            <a:xfrm>
              <a:off x="852487" y="61079062"/>
              <a:ext cx="3370859" cy="432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den>
                        </m:f>
                      </m:e>
                    </m:d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−</m:t>
                                        </m:r>
                                        <m:sSub>
                                          <m:sSubPr>
                                            <m:ctrlP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𝐵</m:t>
                                            </m:r>
                                          </m:e>
                                          <m:sub>
                                            <m: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𝑝𝑒𝑑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  <m:sup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4</m:t>
                                </m:r>
                              </m:den>
                            </m:f>
                          </m:e>
                        </m:d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𝑓𝑢𝑛𝑑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06B8AE1E-DDEB-4896-9166-70F127533B3E}"/>
                </a:ext>
              </a:extLst>
            </xdr:cNvPr>
            <xdr:cNvSpPr txBox="1"/>
          </xdr:nvSpPr>
          <xdr:spPr>
            <a:xfrm>
              <a:off x="852487" y="61079062"/>
              <a:ext cx="3370859" cy="432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𝑄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𝑟𝑒𝑙𝑙=(𝐴_0/2𝑔)[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∙(𝜋∙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(𝐷−𝐵_𝑝𝑒𝑑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2/4)(𝐻_𝑓𝑢𝑛𝑑−𝐷_𝑓 )]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23812</xdr:colOff>
      <xdr:row>382</xdr:row>
      <xdr:rowOff>109537</xdr:rowOff>
    </xdr:from>
    <xdr:ext cx="3574376" cy="3767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7BE705C1-E7A9-4D09-B0AE-34CA12D05A30}"/>
                </a:ext>
              </a:extLst>
            </xdr:cNvPr>
            <xdr:cNvSpPr txBox="1"/>
          </xdr:nvSpPr>
          <xdr:spPr>
            <a:xfrm>
              <a:off x="881062" y="61964887"/>
              <a:ext cx="3574376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𝑡𝑜𝑡𝑎𝑙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𝑟𝑤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𝑉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𝑓𝑢𝑛𝑑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7BE705C1-E7A9-4D09-B0AE-34CA12D05A30}"/>
                </a:ext>
              </a:extLst>
            </xdr:cNvPr>
            <xdr:cNvSpPr txBox="1"/>
          </xdr:nvSpPr>
          <xdr:spPr>
            <a:xfrm>
              <a:off x="881062" y="61964887"/>
              <a:ext cx="3574376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𝑡𝑜𝑡𝑎𝑙=𝑀_𝑟𝑤+𝑉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∙𝐻_𝑓𝑢𝑛𝑑+𝑄_𝑟𝑒𝑙𝑙∙[𝐻_𝑓𝑢𝑛𝑑−(𝐻_𝑓𝑢𝑛𝑑−𝐷_𝑓)/2]=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23812</xdr:colOff>
      <xdr:row>384</xdr:row>
      <xdr:rowOff>138112</xdr:rowOff>
    </xdr:from>
    <xdr:ext cx="1040606" cy="36407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A9D4C482-0740-4A4D-9CA8-1F6B867EAFDF}"/>
                </a:ext>
              </a:extLst>
            </xdr:cNvPr>
            <xdr:cNvSpPr txBox="1"/>
          </xdr:nvSpPr>
          <xdr:spPr>
            <a:xfrm>
              <a:off x="881062" y="62412562"/>
              <a:ext cx="1040606" cy="3640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𝑣𝑝𝑜𝑠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𝑡𝑜𝑡𝑎𝑙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A9D4C482-0740-4A4D-9CA8-1F6B867EAFDF}"/>
                </a:ext>
              </a:extLst>
            </xdr:cNvPr>
            <xdr:cNvSpPr txBox="1"/>
          </xdr:nvSpPr>
          <xdr:spPr>
            <a:xfrm>
              <a:off x="881062" y="62412562"/>
              <a:ext cx="1040606" cy="3640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𝑒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𝑣𝑝𝑜𝑠=𝑀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𝑡𝑜𝑡𝑎𝑙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𝑣𝑝𝑜𝑠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387</xdr:row>
      <xdr:rowOff>171450</xdr:rowOff>
    </xdr:from>
    <xdr:ext cx="483786" cy="3227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B6629419-ED68-471B-BC99-FD7477224ACB}"/>
                </a:ext>
              </a:extLst>
            </xdr:cNvPr>
            <xdr:cNvSpPr txBox="1"/>
          </xdr:nvSpPr>
          <xdr:spPr>
            <a:xfrm>
              <a:off x="857250" y="63055500"/>
              <a:ext cx="483786" cy="3227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𝑒𝑥𝑡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B6629419-ED68-471B-BC99-FD7477224ACB}"/>
                </a:ext>
              </a:extLst>
            </xdr:cNvPr>
            <xdr:cNvSpPr txBox="1"/>
          </xdr:nvSpPr>
          <xdr:spPr>
            <a:xfrm>
              <a:off x="857250" y="63055500"/>
              <a:ext cx="483786" cy="3227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𝑒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𝑣𝑝𝑜𝑠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𝑒𝑥𝑡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390</xdr:row>
      <xdr:rowOff>171450</xdr:rowOff>
    </xdr:from>
    <xdr:ext cx="398635" cy="3184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8019AC3A-2249-4BFA-AFB3-9D7EA2517F1F}"/>
                </a:ext>
              </a:extLst>
            </xdr:cNvPr>
            <xdr:cNvSpPr txBox="1"/>
          </xdr:nvSpPr>
          <xdr:spPr>
            <a:xfrm>
              <a:off x="857250" y="63627000"/>
              <a:ext cx="398635" cy="3184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𝑖𝑛𝑡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𝑒𝑥𝑡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8019AC3A-2249-4BFA-AFB3-9D7EA2517F1F}"/>
                </a:ext>
              </a:extLst>
            </xdr:cNvPr>
            <xdr:cNvSpPr txBox="1"/>
          </xdr:nvSpPr>
          <xdr:spPr>
            <a:xfrm>
              <a:off x="857250" y="63627000"/>
              <a:ext cx="398635" cy="3184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𝑖𝑛𝑡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𝑒𝑥𝑡 =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12</xdr:col>
      <xdr:colOff>476250</xdr:colOff>
      <xdr:row>395</xdr:row>
      <xdr:rowOff>9526</xdr:rowOff>
    </xdr:from>
    <xdr:to>
      <xdr:col>16</xdr:col>
      <xdr:colOff>402432</xdr:colOff>
      <xdr:row>406</xdr:row>
      <xdr:rowOff>544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CC5FACC2-BE3C-433D-9D62-7AF5BA2A9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7975" y="64417576"/>
          <a:ext cx="2499277" cy="21817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</xdr:col>
      <xdr:colOff>80962</xdr:colOff>
      <xdr:row>397</xdr:row>
      <xdr:rowOff>14287</xdr:rowOff>
    </xdr:from>
    <xdr:ext cx="1481495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44FA09C5-C822-47EF-B5D9-5DE30D5342DB}"/>
                </a:ext>
              </a:extLst>
            </xdr:cNvPr>
            <xdr:cNvSpPr txBox="1"/>
          </xdr:nvSpPr>
          <xdr:spPr>
            <a:xfrm>
              <a:off x="938212" y="64803337"/>
              <a:ext cx="1481495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𝑒𝑥𝑡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𝑖𝑛𝑡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44FA09C5-C822-47EF-B5D9-5DE30D5342DB}"/>
                </a:ext>
              </a:extLst>
            </xdr:cNvPr>
            <xdr:cNvSpPr txBox="1"/>
          </xdr:nvSpPr>
          <xdr:spPr>
            <a:xfrm>
              <a:off x="938212" y="64803337"/>
              <a:ext cx="1481495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𝑓𝑢𝑛𝑑=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𝜋∙(𝑟_𝑒𝑥𝑡^2−𝑟_𝑖𝑛𝑡^2 )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42862</xdr:colOff>
      <xdr:row>404</xdr:row>
      <xdr:rowOff>138112</xdr:rowOff>
    </xdr:from>
    <xdr:ext cx="767646" cy="3688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ECE060CD-7E0F-4F2A-AF91-C0241DC7F055}"/>
                </a:ext>
              </a:extLst>
            </xdr:cNvPr>
            <xdr:cNvSpPr txBox="1"/>
          </xdr:nvSpPr>
          <xdr:spPr>
            <a:xfrm>
              <a:off x="900112" y="66327337"/>
              <a:ext cx="767646" cy="368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ECE060CD-7E0F-4F2A-AF91-C0241DC7F055}"/>
                </a:ext>
              </a:extLst>
            </xdr:cNvPr>
            <xdr:cNvSpPr txBox="1"/>
          </xdr:nvSpPr>
          <xdr:spPr>
            <a:xfrm>
              <a:off x="900112" y="66327337"/>
              <a:ext cx="767646" cy="368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MX" sz="1100" b="0" i="0">
                  <a:latin typeface="Cambria Math" panose="02040503050406030204" pitchFamily="18" charset="0"/>
                </a:rPr>
                <a:t>𝐶1=𝑁_𝑣𝑝𝑜𝑠/𝐴_𝑓𝑢𝑛𝑑 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407</xdr:row>
      <xdr:rowOff>19050</xdr:rowOff>
    </xdr:from>
    <xdr:ext cx="1134413" cy="1752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3B56BCE3-C92F-416B-8FAC-B865B3E1DCB6}"/>
                </a:ext>
              </a:extLst>
            </xdr:cNvPr>
            <xdr:cNvSpPr txBox="1"/>
          </xdr:nvSpPr>
          <xdr:spPr>
            <a:xfrm>
              <a:off x="876300" y="66808350"/>
              <a:ext cx="1134413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max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⁡_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L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3B56BCE3-C92F-416B-8FAC-B865B3E1DCB6}"/>
                </a:ext>
              </a:extLst>
            </xdr:cNvPr>
            <xdr:cNvSpPr txBox="1"/>
          </xdr:nvSpPr>
          <xdr:spPr>
            <a:xfrm>
              <a:off x="876300" y="66808350"/>
              <a:ext cx="1134413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max⁡_𝑐1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MX" sz="1100" b="0" i="0">
                  <a:latin typeface="Cambria Math" panose="02040503050406030204" pitchFamily="18" charset="0"/>
                </a:rPr>
                <a:t>𝐶1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𝑣2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51</xdr:col>
      <xdr:colOff>28575</xdr:colOff>
      <xdr:row>393</xdr:row>
      <xdr:rowOff>19050</xdr:rowOff>
    </xdr:from>
    <xdr:to>
      <xdr:col>69</xdr:col>
      <xdr:colOff>132371</xdr:colOff>
      <xdr:row>405</xdr:row>
      <xdr:rowOff>202606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81B3470B-0858-455C-8DF9-752A0299A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41350" y="64046100"/>
          <a:ext cx="7847620" cy="2536231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418</xdr:row>
      <xdr:rowOff>19050</xdr:rowOff>
    </xdr:from>
    <xdr:ext cx="2012410" cy="1919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C3E88BFD-7A95-491B-ADD1-E1713243351F}"/>
                </a:ext>
              </a:extLst>
            </xdr:cNvPr>
            <xdr:cNvSpPr txBox="1"/>
          </xdr:nvSpPr>
          <xdr:spPr>
            <a:xfrm>
              <a:off x="876300" y="69008625"/>
              <a:ext cx="2012410" cy="191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𝑟𝑒𝑙𝑙𝑖𝑛𝑡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𝑖𝑛𝑡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C3E88BFD-7A95-491B-ADD1-E1713243351F}"/>
                </a:ext>
              </a:extLst>
            </xdr:cNvPr>
            <xdr:cNvSpPr txBox="1"/>
          </xdr:nvSpPr>
          <xdr:spPr>
            <a:xfrm>
              <a:off x="876300" y="69008625"/>
              <a:ext cx="2012410" cy="191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𝑟𝑒𝑙𝑙𝑖𝑛𝑡=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𝛾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𝑟𝑒𝑙𝑙∙𝜋∙𝑟_𝑖𝑛𝑡^2∙𝐻_𝑓𝑢𝑛𝑑=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419</xdr:row>
      <xdr:rowOff>152400</xdr:rowOff>
    </xdr:from>
    <xdr:ext cx="2409506" cy="3552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76C336C8-DFFE-4637-A023-457F2CCC04F0}"/>
                </a:ext>
              </a:extLst>
            </xdr:cNvPr>
            <xdr:cNvSpPr txBox="1"/>
          </xdr:nvSpPr>
          <xdr:spPr>
            <a:xfrm>
              <a:off x="876300" y="69332475"/>
              <a:ext cx="2409506" cy="3552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𝐹𝑆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ES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tan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⁡(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𝜙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𝑟𝑒𝑙𝑙𝑖𝑛𝑡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𝑡𝑜𝑡𝑎𝑙</m:t>
                            </m:r>
                          </m:sub>
                        </m:sSub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76C336C8-DFFE-4637-A023-457F2CCC04F0}"/>
                </a:ext>
              </a:extLst>
            </xdr:cNvPr>
            <xdr:cNvSpPr txBox="1"/>
          </xdr:nvSpPr>
          <xdr:spPr>
            <a:xfrm>
              <a:off x="876300" y="69332475"/>
              <a:ext cx="2409506" cy="3552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latin typeface="Cambria Math" panose="02040503050406030204" pitchFamily="18" charset="0"/>
                </a:rPr>
                <a:t>〖</a:t>
              </a:r>
              <a:r>
                <a:rPr lang="es-ES" sz="1100" b="0" i="0">
                  <a:latin typeface="Cambria Math" panose="02040503050406030204" pitchFamily="18" charset="0"/>
                </a:rPr>
                <a:t>𝐹𝑆</a:t>
              </a:r>
              <a:r>
                <a:rPr lang="es-CL" sz="1100" b="0" i="0">
                  <a:latin typeface="Cambria Math" panose="02040503050406030204" pitchFamily="18" charset="0"/>
                </a:rPr>
                <a:t>〗_</a:t>
              </a:r>
              <a:r>
                <a:rPr lang="es-ES" sz="1100" b="0" i="0">
                  <a:latin typeface="Cambria Math" panose="02040503050406030204" pitchFamily="18" charset="0"/>
                </a:rPr>
                <a:t>𝑑=(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𝜇∙𝑁_𝑣𝑝𝑜𝑠+tan⁡(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𝑟𝑒𝑙𝑙)∙𝑁_𝑟𝑒𝑙𝑙𝑖𝑛𝑡)/</a:t>
              </a:r>
              <a:r>
                <a:rPr lang="es-ES" sz="1100" b="0" i="0">
                  <a:latin typeface="Cambria Math" panose="02040503050406030204" pitchFamily="18" charset="0"/>
                </a:rPr>
                <a:t>𝑄_𝑡𝑜𝑡𝑎𝑙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423862</xdr:colOff>
      <xdr:row>430</xdr:row>
      <xdr:rowOff>23812</xdr:rowOff>
    </xdr:from>
    <xdr:ext cx="2694071" cy="1951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93DA383C-49A3-4734-914D-0794C57CA75C}"/>
                </a:ext>
              </a:extLst>
            </xdr:cNvPr>
            <xdr:cNvSpPr txBox="1"/>
          </xdr:nvSpPr>
          <xdr:spPr>
            <a:xfrm>
              <a:off x="852487" y="71337487"/>
              <a:ext cx="2694071" cy="1951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𝑛𝑒𝑔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𝐼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𝑂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93DA383C-49A3-4734-914D-0794C57CA75C}"/>
                </a:ext>
              </a:extLst>
            </xdr:cNvPr>
            <xdr:cNvSpPr txBox="1"/>
          </xdr:nvSpPr>
          <xdr:spPr>
            <a:xfrm>
              <a:off x="852487" y="71337487"/>
              <a:ext cx="2694071" cy="1951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</a:rPr>
                <a:t>𝑛𝑒𝑔</a:t>
              </a:r>
              <a:r>
                <a:rPr lang="es-MX" sz="1100" b="0" i="0">
                  <a:latin typeface="Cambria Math" panose="02040503050406030204" pitchFamily="18" charset="0"/>
                </a:rPr>
                <a:t>=(1</a:t>
              </a:r>
              <a:r>
                <a:rPr lang="es-ES" sz="1100" b="0" i="0">
                  <a:latin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</a:rPr>
                <a:t>𝐼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∙𝐶_𝑣 )</a:t>
              </a:r>
              <a:r>
                <a:rPr lang="es-MX" sz="1100" b="0" i="0">
                  <a:latin typeface="Cambria Math" panose="02040503050406030204" pitchFamily="18" charset="0"/>
                </a:rPr>
                <a:t>(𝑁_𝑂+𝑊_𝑓𝑢𝑛𝑑+𝑊_𝑟𝑒𝑙𝑙 )=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423862</xdr:colOff>
      <xdr:row>432</xdr:row>
      <xdr:rowOff>61912</xdr:rowOff>
    </xdr:from>
    <xdr:ext cx="3370859" cy="4322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0ECD1A20-47D9-468B-B72C-658AC303A55E}"/>
                </a:ext>
              </a:extLst>
            </xdr:cNvPr>
            <xdr:cNvSpPr txBox="1"/>
          </xdr:nvSpPr>
          <xdr:spPr>
            <a:xfrm>
              <a:off x="852487" y="71794687"/>
              <a:ext cx="3370859" cy="432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den>
                        </m:f>
                      </m:e>
                    </m:d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−</m:t>
                                        </m:r>
                                        <m:sSub>
                                          <m:sSubPr>
                                            <m:ctrlP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𝐵</m:t>
                                            </m:r>
                                          </m:e>
                                          <m:sub>
                                            <m: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𝑝𝑒𝑑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  <m:sup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4</m:t>
                                </m:r>
                              </m:den>
                            </m:f>
                          </m:e>
                        </m:d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𝑓𝑢𝑛𝑑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0ECD1A20-47D9-468B-B72C-658AC303A55E}"/>
                </a:ext>
              </a:extLst>
            </xdr:cNvPr>
            <xdr:cNvSpPr txBox="1"/>
          </xdr:nvSpPr>
          <xdr:spPr>
            <a:xfrm>
              <a:off x="852487" y="71794687"/>
              <a:ext cx="3370859" cy="432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𝑄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𝑟𝑒𝑙𝑙=(𝐴_0/2𝑔)[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∙(𝜋∙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(𝐷−𝐵_𝑝𝑒𝑑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2/4)(𝐻_𝑓𝑢𝑛𝑑−𝐷_𝑓 )]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23812</xdr:colOff>
      <xdr:row>436</xdr:row>
      <xdr:rowOff>109537</xdr:rowOff>
    </xdr:from>
    <xdr:ext cx="3574376" cy="3767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AEEE69A0-CC34-48DB-98AC-43D3450AD96B}"/>
                </a:ext>
              </a:extLst>
            </xdr:cNvPr>
            <xdr:cNvSpPr txBox="1"/>
          </xdr:nvSpPr>
          <xdr:spPr>
            <a:xfrm>
              <a:off x="881062" y="72680512"/>
              <a:ext cx="3574376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𝑡𝑜𝑡𝑎𝑙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𝑟𝑤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𝑉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𝑓𝑢𝑛𝑑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AEEE69A0-CC34-48DB-98AC-43D3450AD96B}"/>
                </a:ext>
              </a:extLst>
            </xdr:cNvPr>
            <xdr:cNvSpPr txBox="1"/>
          </xdr:nvSpPr>
          <xdr:spPr>
            <a:xfrm>
              <a:off x="881062" y="72680512"/>
              <a:ext cx="3574376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𝑡𝑜𝑡𝑎𝑙=𝑀_𝑟𝑤+𝑉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∙𝐻_𝑓𝑢𝑛𝑑+𝑄_𝑟𝑒𝑙𝑙∙[𝐻_𝑓𝑢𝑛𝑑−(𝐻_𝑓𝑢𝑛𝑑−𝐷_𝑓)/2]=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23812</xdr:colOff>
      <xdr:row>438</xdr:row>
      <xdr:rowOff>138112</xdr:rowOff>
    </xdr:from>
    <xdr:ext cx="1055610" cy="3647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D6A92471-4388-42B6-BC9C-786F6CBC3B5B}"/>
                </a:ext>
              </a:extLst>
            </xdr:cNvPr>
            <xdr:cNvSpPr txBox="1"/>
          </xdr:nvSpPr>
          <xdr:spPr>
            <a:xfrm>
              <a:off x="881062" y="73128187"/>
              <a:ext cx="1055610" cy="364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𝑛𝑒𝑔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𝑡𝑜𝑡𝑎𝑙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𝑛𝑒𝑔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D6A92471-4388-42B6-BC9C-786F6CBC3B5B}"/>
                </a:ext>
              </a:extLst>
            </xdr:cNvPr>
            <xdr:cNvSpPr txBox="1"/>
          </xdr:nvSpPr>
          <xdr:spPr>
            <a:xfrm>
              <a:off x="881062" y="73128187"/>
              <a:ext cx="1055610" cy="364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𝑒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</a:rPr>
                <a:t>𝑛𝑒𝑔</a:t>
              </a:r>
              <a:r>
                <a:rPr lang="es-MX" sz="1100" b="0" i="0">
                  <a:latin typeface="Cambria Math" panose="02040503050406030204" pitchFamily="18" charset="0"/>
                </a:rPr>
                <a:t>=𝑀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𝑡𝑜𝑡𝑎𝑙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</a:rPr>
                <a:t>𝑛𝑒𝑔 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441</xdr:row>
      <xdr:rowOff>171450</xdr:rowOff>
    </xdr:from>
    <xdr:ext cx="498791" cy="3234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4720BF97-67D9-411A-A878-44CB2545831F}"/>
                </a:ext>
              </a:extLst>
            </xdr:cNvPr>
            <xdr:cNvSpPr txBox="1"/>
          </xdr:nvSpPr>
          <xdr:spPr>
            <a:xfrm>
              <a:off x="857250" y="73771125"/>
              <a:ext cx="498791" cy="3234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𝑛𝑒𝑔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𝑒𝑥𝑡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4720BF97-67D9-411A-A878-44CB2545831F}"/>
                </a:ext>
              </a:extLst>
            </xdr:cNvPr>
            <xdr:cNvSpPr txBox="1"/>
          </xdr:nvSpPr>
          <xdr:spPr>
            <a:xfrm>
              <a:off x="857250" y="73771125"/>
              <a:ext cx="498791" cy="3234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𝑒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</a:rPr>
                <a:t>𝑛𝑒𝑔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𝑒𝑥𝑡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444</xdr:row>
      <xdr:rowOff>171450</xdr:rowOff>
    </xdr:from>
    <xdr:ext cx="398635" cy="3184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5D519FA4-53AB-42D5-93F9-ECC7E34B06D1}"/>
                </a:ext>
              </a:extLst>
            </xdr:cNvPr>
            <xdr:cNvSpPr txBox="1"/>
          </xdr:nvSpPr>
          <xdr:spPr>
            <a:xfrm>
              <a:off x="857250" y="74342625"/>
              <a:ext cx="398635" cy="3184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𝑖𝑛𝑡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𝑒𝑥𝑡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5D519FA4-53AB-42D5-93F9-ECC7E34B06D1}"/>
                </a:ext>
              </a:extLst>
            </xdr:cNvPr>
            <xdr:cNvSpPr txBox="1"/>
          </xdr:nvSpPr>
          <xdr:spPr>
            <a:xfrm>
              <a:off x="857250" y="74342625"/>
              <a:ext cx="398635" cy="3184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𝑖𝑛𝑡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𝑒𝑥𝑡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12</xdr:col>
      <xdr:colOff>476250</xdr:colOff>
      <xdr:row>449</xdr:row>
      <xdr:rowOff>9526</xdr:rowOff>
    </xdr:from>
    <xdr:ext cx="2495550" cy="2182182"/>
    <xdr:pic>
      <xdr:nvPicPr>
        <xdr:cNvPr id="53" name="Imagen 52">
          <a:extLst>
            <a:ext uri="{FF2B5EF4-FFF2-40B4-BE49-F238E27FC236}">
              <a16:creationId xmlns:a16="http://schemas.microsoft.com/office/drawing/2014/main" id="{3FADD813-C0B5-4827-AC6C-624474B75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7975" y="75133201"/>
          <a:ext cx="2495550" cy="21821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80962</xdr:colOff>
      <xdr:row>451</xdr:row>
      <xdr:rowOff>14287</xdr:rowOff>
    </xdr:from>
    <xdr:ext cx="1481495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C0E71609-73A8-4C72-AD74-ADE2903396CE}"/>
                </a:ext>
              </a:extLst>
            </xdr:cNvPr>
            <xdr:cNvSpPr txBox="1"/>
          </xdr:nvSpPr>
          <xdr:spPr>
            <a:xfrm>
              <a:off x="938212" y="75518962"/>
              <a:ext cx="1481495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𝑒𝑥𝑡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𝑖𝑛𝑡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C0E71609-73A8-4C72-AD74-ADE2903396CE}"/>
                </a:ext>
              </a:extLst>
            </xdr:cNvPr>
            <xdr:cNvSpPr txBox="1"/>
          </xdr:nvSpPr>
          <xdr:spPr>
            <a:xfrm>
              <a:off x="938212" y="75518962"/>
              <a:ext cx="1481495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𝑓𝑢𝑛𝑑=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𝜋∙(𝑟_𝑒𝑥𝑡^2−𝑟_𝑖𝑛𝑡^2 )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42862</xdr:colOff>
      <xdr:row>458</xdr:row>
      <xdr:rowOff>138112</xdr:rowOff>
    </xdr:from>
    <xdr:ext cx="767646" cy="3688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94FBB1C6-FB46-47E9-A0B1-432DDB875FC9}"/>
                </a:ext>
              </a:extLst>
            </xdr:cNvPr>
            <xdr:cNvSpPr txBox="1"/>
          </xdr:nvSpPr>
          <xdr:spPr>
            <a:xfrm>
              <a:off x="900112" y="77042962"/>
              <a:ext cx="767646" cy="368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94FBB1C6-FB46-47E9-A0B1-432DDB875FC9}"/>
                </a:ext>
              </a:extLst>
            </xdr:cNvPr>
            <xdr:cNvSpPr txBox="1"/>
          </xdr:nvSpPr>
          <xdr:spPr>
            <a:xfrm>
              <a:off x="900112" y="77042962"/>
              <a:ext cx="767646" cy="368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MX" sz="1100" b="0" i="0">
                  <a:latin typeface="Cambria Math" panose="02040503050406030204" pitchFamily="18" charset="0"/>
                </a:rPr>
                <a:t>𝐶</a:t>
              </a:r>
              <a:r>
                <a:rPr lang="es-ES" sz="1100" b="0" i="0">
                  <a:latin typeface="Cambria Math" panose="02040503050406030204" pitchFamily="18" charset="0"/>
                </a:rPr>
                <a:t>2</a:t>
              </a:r>
              <a:r>
                <a:rPr lang="es-MX" sz="1100" b="0" i="0">
                  <a:latin typeface="Cambria Math" panose="02040503050406030204" pitchFamily="18" charset="0"/>
                </a:rPr>
                <a:t>=𝑁_𝑣𝑝𝑜𝑠/𝐴_𝑓𝑢𝑛𝑑 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461</xdr:row>
      <xdr:rowOff>19050</xdr:rowOff>
    </xdr:from>
    <xdr:ext cx="1134413" cy="1752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2BB306F9-1940-48AE-AA93-782A01117E7B}"/>
                </a:ext>
              </a:extLst>
            </xdr:cNvPr>
            <xdr:cNvSpPr txBox="1"/>
          </xdr:nvSpPr>
          <xdr:spPr>
            <a:xfrm>
              <a:off x="876300" y="77523975"/>
              <a:ext cx="1134413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max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⁡_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b>
                    </m:sSub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L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2BB306F9-1940-48AE-AA93-782A01117E7B}"/>
                </a:ext>
              </a:extLst>
            </xdr:cNvPr>
            <xdr:cNvSpPr txBox="1"/>
          </xdr:nvSpPr>
          <xdr:spPr>
            <a:xfrm>
              <a:off x="876300" y="77523975"/>
              <a:ext cx="1134413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max⁡_𝑐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MX" sz="1100" b="0" i="0">
                  <a:latin typeface="Cambria Math" panose="02040503050406030204" pitchFamily="18" charset="0"/>
                </a:rPr>
                <a:t>𝐶</a:t>
              </a:r>
              <a:r>
                <a:rPr lang="es-ES" sz="1100" b="0" i="0">
                  <a:latin typeface="Cambria Math" panose="02040503050406030204" pitchFamily="18" charset="0"/>
                </a:rPr>
                <a:t>2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𝑣2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471</xdr:row>
      <xdr:rowOff>152400</xdr:rowOff>
    </xdr:from>
    <xdr:ext cx="2424510" cy="3559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F9092220-FEA8-4A30-A354-03F13B991315}"/>
                </a:ext>
              </a:extLst>
            </xdr:cNvPr>
            <xdr:cNvSpPr txBox="1"/>
          </xdr:nvSpPr>
          <xdr:spPr>
            <a:xfrm>
              <a:off x="876300" y="79695675"/>
              <a:ext cx="2424510" cy="3559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𝐹𝑆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𝑣𝑛𝑒𝑔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ES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tan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⁡(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𝜙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𝑟𝑒𝑙𝑙𝑖𝑛𝑡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𝑡𝑜𝑡𝑎𝑙</m:t>
                            </m:r>
                          </m:sub>
                        </m:sSub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F9092220-FEA8-4A30-A354-03F13B991315}"/>
                </a:ext>
              </a:extLst>
            </xdr:cNvPr>
            <xdr:cNvSpPr txBox="1"/>
          </xdr:nvSpPr>
          <xdr:spPr>
            <a:xfrm>
              <a:off x="876300" y="79695675"/>
              <a:ext cx="2424510" cy="3559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latin typeface="Cambria Math" panose="02040503050406030204" pitchFamily="18" charset="0"/>
                </a:rPr>
                <a:t>〖</a:t>
              </a:r>
              <a:r>
                <a:rPr lang="es-ES" sz="1100" b="0" i="0">
                  <a:latin typeface="Cambria Math" panose="02040503050406030204" pitchFamily="18" charset="0"/>
                </a:rPr>
                <a:t>𝐹𝑆</a:t>
              </a:r>
              <a:r>
                <a:rPr lang="es-CL" sz="1100" b="0" i="0">
                  <a:latin typeface="Cambria Math" panose="02040503050406030204" pitchFamily="18" charset="0"/>
                </a:rPr>
                <a:t>〗_</a:t>
              </a:r>
              <a:r>
                <a:rPr lang="es-ES" sz="1100" b="0" i="0">
                  <a:latin typeface="Cambria Math" panose="02040503050406030204" pitchFamily="18" charset="0"/>
                </a:rPr>
                <a:t>𝑑=(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𝜇∙𝑁_𝑣𝑛𝑒𝑔+tan⁡(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𝑟𝑒𝑙𝑙)∙𝑁_𝑟𝑒𝑙𝑙𝑖𝑛𝑡)/</a:t>
              </a:r>
              <a:r>
                <a:rPr lang="es-ES" sz="1100" b="0" i="0">
                  <a:latin typeface="Cambria Math" panose="02040503050406030204" pitchFamily="18" charset="0"/>
                </a:rPr>
                <a:t>𝑄_𝑡𝑜𝑡𝑎𝑙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467</xdr:row>
      <xdr:rowOff>46384</xdr:rowOff>
    </xdr:from>
    <xdr:ext cx="1877502" cy="1902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BA938072-04A8-4EA2-96AC-6838E3C7425E}"/>
                </a:ext>
              </a:extLst>
            </xdr:cNvPr>
            <xdr:cNvSpPr txBox="1"/>
          </xdr:nvSpPr>
          <xdr:spPr>
            <a:xfrm>
              <a:off x="876300" y="78799084"/>
              <a:ext cx="1877502" cy="190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𝑑𝑖𝑠</m:t>
                        </m:r>
                      </m:sub>
                    </m:sSub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𝑀𝑎𝑥</m:t>
                    </m:r>
                    <m:d>
                      <m:dPr>
                        <m:begChr m:val="{"/>
                        <m:endChr m:val="}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C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C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E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max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_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, </m:t>
                        </m:r>
                        <m:sSub>
                          <m:sSubPr>
                            <m:ctrlPr>
                              <a:rPr lang="es-C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C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E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max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_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BA938072-04A8-4EA2-96AC-6838E3C7425E}"/>
                </a:ext>
              </a:extLst>
            </xdr:cNvPr>
            <xdr:cNvSpPr txBox="1"/>
          </xdr:nvSpPr>
          <xdr:spPr>
            <a:xfrm>
              <a:off x="876300" y="78799084"/>
              <a:ext cx="1877502" cy="190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𝑑𝑖𝑠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𝑀𝑎𝑥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</a:t>
              </a:r>
              <a:r>
                <a:rPr lang="es-CL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max_𝑐1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, </a:t>
              </a:r>
              <a:r>
                <a:rPr lang="es-CL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max_𝑐1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}=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292376</xdr:colOff>
      <xdr:row>487</xdr:row>
      <xdr:rowOff>23192</xdr:rowOff>
    </xdr:from>
    <xdr:ext cx="0" cy="0"/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13E9A857-FE89-4DF1-B6FD-816DFBD18CBD}"/>
            </a:ext>
          </a:extLst>
        </xdr:cNvPr>
        <xdr:cNvSpPr txBox="1"/>
      </xdr:nvSpPr>
      <xdr:spPr>
        <a:xfrm>
          <a:off x="1149626" y="82690667"/>
          <a:ext cx="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L" sz="1100"/>
        </a:p>
      </xdr:txBody>
    </xdr:sp>
    <xdr:clientData/>
  </xdr:oneCellAnchor>
  <xdr:oneCellAnchor>
    <xdr:from>
      <xdr:col>1</xdr:col>
      <xdr:colOff>101876</xdr:colOff>
      <xdr:row>484</xdr:row>
      <xdr:rowOff>163999</xdr:rowOff>
    </xdr:from>
    <xdr:ext cx="2346220" cy="7631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98489160-C04F-4AD9-B1E6-96DB3AF54191}"/>
                </a:ext>
              </a:extLst>
            </xdr:cNvPr>
            <xdr:cNvSpPr txBox="1"/>
          </xdr:nvSpPr>
          <xdr:spPr>
            <a:xfrm>
              <a:off x="530501" y="82221874"/>
              <a:ext cx="2346220" cy="7631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𝑝𝑎</m:t>
                        </m:r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_</m:t>
                        </m:r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𝑚𝑖𝑛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{"/>
                        <m:endChr m:val=""/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eqArrPr>
                          <m:e>
                            <m:f>
                              <m:f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𝑝𝑒𝑟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1.8</m:t>
                                </m:r>
                              </m:den>
                            </m:f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,  </m:t>
                            </m:r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𝑝𝑒𝑟</m:t>
                                </m:r>
                              </m:sub>
                            </m:s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&lt;15[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]</m:t>
                            </m:r>
                          </m:e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&amp;</m:t>
                            </m:r>
                            <m:f>
                              <m:f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𝑝𝑒𝑟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3.0</m:t>
                                </m:r>
                              </m:den>
                            </m:f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,  </m:t>
                            </m:r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𝑝𝑒𝑟</m:t>
                                </m:r>
                              </m:sub>
                            </m:s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≥15[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]</m:t>
                            </m:r>
                          </m:e>
                        </m:eqArr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98489160-C04F-4AD9-B1E6-96DB3AF54191}"/>
                </a:ext>
              </a:extLst>
            </xdr:cNvPr>
            <xdr:cNvSpPr txBox="1"/>
          </xdr:nvSpPr>
          <xdr:spPr>
            <a:xfrm>
              <a:off x="530501" y="82221874"/>
              <a:ext cx="2346220" cy="7631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𝑝𝑎_𝑚𝑖𝑛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={█((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𝜋∙𝐷_𝑝𝑒𝑟)/</a:t>
              </a:r>
              <a:r>
                <a:rPr lang="es-ES" sz="1100" b="0" i="0">
                  <a:latin typeface="Cambria Math" panose="02040503050406030204" pitchFamily="18" charset="0"/>
                </a:rPr>
                <a:t>1.8,  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𝐷_𝑝𝑒𝑟</a:t>
              </a:r>
              <a:r>
                <a:rPr lang="es-ES" sz="1100" b="0" i="0">
                  <a:latin typeface="Cambria Math" panose="02040503050406030204" pitchFamily="18" charset="0"/>
                </a:rPr>
                <a:t>&lt;15[𝑚]@&amp;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(𝜋∙𝐷_𝑝𝑒𝑟)/3.0</a:t>
              </a:r>
              <a:r>
                <a:rPr lang="es-ES" sz="1100" b="0" i="0">
                  <a:latin typeface="Cambria Math" panose="02040503050406030204" pitchFamily="18" charset="0"/>
                </a:rPr>
                <a:t>,  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𝐷_𝑝𝑒𝑟</a:t>
              </a:r>
              <a:r>
                <a:rPr lang="es-ES" sz="1100" b="0" i="0">
                  <a:latin typeface="Cambria Math" panose="02040503050406030204" pitchFamily="18" charset="0"/>
                </a:rPr>
                <a:t>≥15[𝑚])┤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68741</xdr:colOff>
      <xdr:row>505</xdr:row>
      <xdr:rowOff>14912</xdr:rowOff>
    </xdr:from>
    <xdr:ext cx="1502654" cy="4862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99D008E-BC28-4429-AF2C-6D68082D4FAD}"/>
                </a:ext>
              </a:extLst>
            </xdr:cNvPr>
            <xdr:cNvSpPr txBox="1"/>
          </xdr:nvSpPr>
          <xdr:spPr>
            <a:xfrm>
              <a:off x="925991" y="86339987"/>
              <a:ext cx="1502654" cy="4862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𝑝𝑎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𝑀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𝑟𝑤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𝜋</m:t>
                                </m:r>
                                <m:sSup>
                                  <m:sSup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𝐷</m:t>
                                    </m:r>
                                  </m:e>
                                  <m:sup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den>
                            </m:f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</m:e>
                        </m:d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𝑝𝑎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99D008E-BC28-4429-AF2C-6D68082D4FAD}"/>
                </a:ext>
              </a:extLst>
            </xdr:cNvPr>
            <xdr:cNvSpPr txBox="1"/>
          </xdr:nvSpPr>
          <xdr:spPr>
            <a:xfrm>
              <a:off x="925991" y="86339987"/>
              <a:ext cx="1502654" cy="4862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𝑇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𝑝𝑎=(((4𝑀_𝑟𝑤)/(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𝜋𝐷^2 )</a:t>
              </a:r>
              <a:r>
                <a:rPr lang="es-ES" sz="1100" b="0" i="0">
                  <a:latin typeface="Cambria Math" panose="02040503050406030204" pitchFamily="18" charset="0"/>
                </a:rPr>
                <a:t>−𝑤_𝑡 )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∙𝜋𝐷)/</a:t>
              </a:r>
              <a:r>
                <a:rPr lang="es-ES" sz="1100" b="0" i="0">
                  <a:latin typeface="Cambria Math" panose="02040503050406030204" pitchFamily="18" charset="0"/>
                </a:rPr>
                <a:t>𝑛_𝑝𝑎 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412474</xdr:colOff>
      <xdr:row>518</xdr:row>
      <xdr:rowOff>72886</xdr:rowOff>
    </xdr:from>
    <xdr:ext cx="1746825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D1B8E79E-E830-4E2D-A6CC-1236CF33816D}"/>
                </a:ext>
              </a:extLst>
            </xdr:cNvPr>
            <xdr:cNvSpPr txBox="1"/>
          </xdr:nvSpPr>
          <xdr:spPr>
            <a:xfrm>
              <a:off x="841099" y="89064961"/>
              <a:ext cx="174682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4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𝑝𝑎</m:t>
                                </m:r>
                              </m:sub>
                            </m:s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0.9743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D1B8E79E-E830-4E2D-A6CC-1236CF33816D}"/>
                </a:ext>
              </a:extLst>
            </xdr:cNvPr>
            <xdr:cNvSpPr txBox="1"/>
          </xdr:nvSpPr>
          <xdr:spPr>
            <a:xfrm>
              <a:off x="841099" y="89064961"/>
              <a:ext cx="174682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𝑠𝑒_𝑁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𝜋/</a:t>
              </a:r>
              <a:r>
                <a:rPr lang="es-ES" sz="1100" b="0" i="0">
                  <a:latin typeface="Cambria Math" panose="02040503050406030204" pitchFamily="18" charset="0"/>
                </a:rPr>
                <a:t>4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(𝑑_𝑝𝑎−0.9743/𝑛_𝑡 )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412474</xdr:colOff>
      <xdr:row>542</xdr:row>
      <xdr:rowOff>72886</xdr:rowOff>
    </xdr:from>
    <xdr:ext cx="1746825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79B3223-DA02-4A2E-8BEB-19FD75801FE6}"/>
                </a:ext>
              </a:extLst>
            </xdr:cNvPr>
            <xdr:cNvSpPr txBox="1"/>
          </xdr:nvSpPr>
          <xdr:spPr>
            <a:xfrm>
              <a:off x="841099" y="93932236"/>
              <a:ext cx="174682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4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𝑝𝑎</m:t>
                                </m:r>
                              </m:sub>
                            </m:s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0.9743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79B3223-DA02-4A2E-8BEB-19FD75801FE6}"/>
                </a:ext>
              </a:extLst>
            </xdr:cNvPr>
            <xdr:cNvSpPr txBox="1"/>
          </xdr:nvSpPr>
          <xdr:spPr>
            <a:xfrm>
              <a:off x="841099" y="93932236"/>
              <a:ext cx="174682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𝑠𝑒_𝑉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𝜋/</a:t>
              </a:r>
              <a:r>
                <a:rPr lang="es-ES" sz="1100" b="0" i="0">
                  <a:latin typeface="Cambria Math" panose="02040503050406030204" pitchFamily="18" charset="0"/>
                </a:rPr>
                <a:t>4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(𝑑_𝑝𝑎−0.9743/𝑛_𝑡 )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</xdr:col>
      <xdr:colOff>339588</xdr:colOff>
      <xdr:row>569</xdr:row>
      <xdr:rowOff>147734</xdr:rowOff>
    </xdr:from>
    <xdr:to>
      <xdr:col>5</xdr:col>
      <xdr:colOff>554272</xdr:colOff>
      <xdr:row>578</xdr:row>
      <xdr:rowOff>54664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2EC08F4D-7FBE-4D0E-A743-E1E896567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8213" y="99331559"/>
          <a:ext cx="2369239" cy="176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213689</xdr:colOff>
      <xdr:row>617</xdr:row>
      <xdr:rowOff>139151</xdr:rowOff>
    </xdr:from>
    <xdr:ext cx="1951432" cy="3819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5" name="CuadroTexto 64">
              <a:extLst>
                <a:ext uri="{FF2B5EF4-FFF2-40B4-BE49-F238E27FC236}">
                  <a16:creationId xmlns:a16="http://schemas.microsoft.com/office/drawing/2014/main" id="{80074F70-0739-4C0F-B193-72CAF06DD39F}"/>
                </a:ext>
              </a:extLst>
            </xdr:cNvPr>
            <xdr:cNvSpPr txBox="1"/>
          </xdr:nvSpPr>
          <xdr:spPr>
            <a:xfrm>
              <a:off x="642314" y="108724151"/>
              <a:ext cx="1951432" cy="381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s-ES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𝑓𝑙𝑒𝑥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_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0.9∙</m:t>
                            </m:r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𝑝𝑒𝑑</m:t>
                                </m:r>
                              </m:sub>
                            </m:sSub>
                          </m:e>
                        </m:d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𝑦𝑏</m:t>
                            </m:r>
                          </m:sub>
                        </m:sSub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5" name="CuadroTexto 64">
              <a:extLst>
                <a:ext uri="{FF2B5EF4-FFF2-40B4-BE49-F238E27FC236}">
                  <a16:creationId xmlns:a16="http://schemas.microsoft.com/office/drawing/2014/main" id="{80074F70-0739-4C0F-B193-72CAF06DD39F}"/>
                </a:ext>
              </a:extLst>
            </xdr:cNvPr>
            <xdr:cNvSpPr txBox="1"/>
          </xdr:nvSpPr>
          <xdr:spPr>
            <a:xfrm>
              <a:off x="642314" y="108724151"/>
              <a:ext cx="1951432" cy="381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"a" 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𝑠_𝑓𝑙𝑒𝑥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=𝑀_(𝑢_𝑝𝑒𝑑)/(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𝜙∙(0.9∙𝑑_𝑝𝑒𝑑 )∙𝑓_𝑦𝑏 )</a:t>
              </a:r>
              <a:r>
                <a:rPr lang="es-ES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642</xdr:row>
      <xdr:rowOff>173937</xdr:rowOff>
    </xdr:from>
    <xdr:ext cx="1039387" cy="5058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89EF10D2-43E2-4224-8F58-9A1DEA737CAC}"/>
                </a:ext>
              </a:extLst>
            </xdr:cNvPr>
            <xdr:cNvSpPr txBox="1"/>
          </xdr:nvSpPr>
          <xdr:spPr>
            <a:xfrm>
              <a:off x="857250" y="113826237"/>
              <a:ext cx="1039387" cy="5058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s-ES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𝑡𝑟𝑎𝑐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𝑝𝑎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𝑐𝑎𝑝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𝑦𝑏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89EF10D2-43E2-4224-8F58-9A1DEA737CAC}"/>
                </a:ext>
              </a:extLst>
            </xdr:cNvPr>
            <xdr:cNvSpPr txBox="1"/>
          </xdr:nvSpPr>
          <xdr:spPr>
            <a:xfrm>
              <a:off x="857250" y="113826237"/>
              <a:ext cx="1039387" cy="5058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"a" 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𝑠_𝑡𝑟𝑎𝑐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=(𝑇_(𝑝𝑎_𝑐𝑎𝑝)/2)/(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𝜙∙𝑓_𝑦𝑏 )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8</xdr:col>
      <xdr:colOff>16566</xdr:colOff>
      <xdr:row>664</xdr:row>
      <xdr:rowOff>223631</xdr:rowOff>
    </xdr:from>
    <xdr:to>
      <xdr:col>11</xdr:col>
      <xdr:colOff>74545</xdr:colOff>
      <xdr:row>670</xdr:row>
      <xdr:rowOff>34623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45A5EFC6-7A93-4D27-94F2-81325A278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1391" y="118257431"/>
          <a:ext cx="1439104" cy="992092"/>
        </a:xfrm>
        <a:prstGeom prst="rect">
          <a:avLst/>
        </a:prstGeom>
      </xdr:spPr>
    </xdr:pic>
    <xdr:clientData/>
  </xdr:twoCellAnchor>
  <xdr:oneCellAnchor>
    <xdr:from>
      <xdr:col>2</xdr:col>
      <xdr:colOff>6627</xdr:colOff>
      <xdr:row>667</xdr:row>
      <xdr:rowOff>110158</xdr:rowOff>
    </xdr:from>
    <xdr:ext cx="1838452" cy="3550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CuadroTexto 67">
              <a:extLst>
                <a:ext uri="{FF2B5EF4-FFF2-40B4-BE49-F238E27FC236}">
                  <a16:creationId xmlns:a16="http://schemas.microsoft.com/office/drawing/2014/main" id="{DCF2236A-E924-4986-B5BD-D765D815AFA4}"/>
                </a:ext>
              </a:extLst>
            </xdr:cNvPr>
            <xdr:cNvSpPr txBox="1"/>
          </xdr:nvSpPr>
          <xdr:spPr>
            <a:xfrm>
              <a:off x="863877" y="118753558"/>
              <a:ext cx="1838452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=1.6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𝑙𝑖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𝑞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𝑟𝑒𝑙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𝑙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</m:sub>
                            </m:sSub>
                          </m:e>
                        </m:d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8" name="CuadroTexto 67">
              <a:extLst>
                <a:ext uri="{FF2B5EF4-FFF2-40B4-BE49-F238E27FC236}">
                  <a16:creationId xmlns:a16="http://schemas.microsoft.com/office/drawing/2014/main" id="{DCF2236A-E924-4986-B5BD-D765D815AFA4}"/>
                </a:ext>
              </a:extLst>
            </xdr:cNvPr>
            <xdr:cNvSpPr txBox="1"/>
          </xdr:nvSpPr>
          <xdr:spPr>
            <a:xfrm>
              <a:off x="863877" y="118753558"/>
              <a:ext cx="1838452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𝑇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𝑢=1.6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∙((𝑃_(𝑙𝑖𝑞_𝑖 )+𝑃_(𝑟𝑒𝑙𝑙_𝑖 ) )∙𝐷)/2=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8</xdr:col>
      <xdr:colOff>364436</xdr:colOff>
      <xdr:row>691</xdr:row>
      <xdr:rowOff>99391</xdr:rowOff>
    </xdr:from>
    <xdr:to>
      <xdr:col>12</xdr:col>
      <xdr:colOff>553815</xdr:colOff>
      <xdr:row>700</xdr:row>
      <xdr:rowOff>57315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AE0B2436-0301-4CFC-A6A0-DB4DEC7A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9261" y="123505291"/>
          <a:ext cx="2044849" cy="1826729"/>
        </a:xfrm>
        <a:prstGeom prst="rect">
          <a:avLst/>
        </a:prstGeom>
      </xdr:spPr>
    </xdr:pic>
    <xdr:clientData/>
  </xdr:twoCellAnchor>
  <xdr:oneCellAnchor>
    <xdr:from>
      <xdr:col>2</xdr:col>
      <xdr:colOff>52181</xdr:colOff>
      <xdr:row>700</xdr:row>
      <xdr:rowOff>77028</xdr:rowOff>
    </xdr:from>
    <xdr:ext cx="1317477" cy="3674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CuadroTexto 69">
              <a:extLst>
                <a:ext uri="{FF2B5EF4-FFF2-40B4-BE49-F238E27FC236}">
                  <a16:creationId xmlns:a16="http://schemas.microsoft.com/office/drawing/2014/main" id="{6AE29742-E309-4E4C-B74A-ADCDF10BB43F}"/>
                </a:ext>
              </a:extLst>
            </xdr:cNvPr>
            <xdr:cNvSpPr txBox="1"/>
          </xdr:nvSpPr>
          <xdr:spPr>
            <a:xfrm>
              <a:off x="909431" y="125359353"/>
              <a:ext cx="1317477" cy="3674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ad>
                          <m:radPr>
                            <m:degHide m:val="on"/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e>
                        </m:rad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6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𝑝𝑒𝑑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𝑠𝑖𝑠</m:t>
                        </m:r>
                      </m:sub>
                    </m:sSub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0" name="CuadroTexto 69">
              <a:extLst>
                <a:ext uri="{FF2B5EF4-FFF2-40B4-BE49-F238E27FC236}">
                  <a16:creationId xmlns:a16="http://schemas.microsoft.com/office/drawing/2014/main" id="{6AE29742-E309-4E4C-B74A-ADCDF10BB43F}"/>
                </a:ext>
              </a:extLst>
            </xdr:cNvPr>
            <xdr:cNvSpPr txBox="1"/>
          </xdr:nvSpPr>
          <xdr:spPr>
            <a:xfrm>
              <a:off x="909431" y="125359353"/>
              <a:ext cx="1317477" cy="3674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𝑐=√(〖𝑓′〗_𝑐 )/6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∙𝐵_𝑝𝑒𝑑∙𝐿_𝑠𝑖𝑠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52181</xdr:colOff>
      <xdr:row>706</xdr:row>
      <xdr:rowOff>118441</xdr:rowOff>
    </xdr:from>
    <xdr:ext cx="1251240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CuadroTexto 70">
              <a:extLst>
                <a:ext uri="{FF2B5EF4-FFF2-40B4-BE49-F238E27FC236}">
                  <a16:creationId xmlns:a16="http://schemas.microsoft.com/office/drawing/2014/main" id="{F65BEEF2-A964-422F-BBB0-1585434CC8A0}"/>
                </a:ext>
              </a:extLst>
            </xdr:cNvPr>
            <xdr:cNvSpPr txBox="1"/>
          </xdr:nvSpPr>
          <xdr:spPr>
            <a:xfrm>
              <a:off x="909431" y="126696166"/>
              <a:ext cx="125124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sub>
                            </m:s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𝑦𝑏</m:t>
                                </m:r>
                              </m:sub>
                            </m:s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𝑠𝑖𝑠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h</m:t>
                                </m:r>
                              </m:sub>
                            </m:sSub>
                          </m:den>
                        </m:f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1" name="CuadroTexto 70">
              <a:extLst>
                <a:ext uri="{FF2B5EF4-FFF2-40B4-BE49-F238E27FC236}">
                  <a16:creationId xmlns:a16="http://schemas.microsoft.com/office/drawing/2014/main" id="{F65BEEF2-A964-422F-BBB0-1585434CC8A0}"/>
                </a:ext>
              </a:extLst>
            </xdr:cNvPr>
            <xdr:cNvSpPr txBox="1"/>
          </xdr:nvSpPr>
          <xdr:spPr>
            <a:xfrm>
              <a:off x="909431" y="126696166"/>
              <a:ext cx="125124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𝑠=((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𝐴_𝑣∙𝑓_𝑦𝑏∙𝐿_𝑠𝑖𝑠)/</a:t>
              </a:r>
              <a:r>
                <a:rPr lang="es-ES" sz="1100" b="0" i="0">
                  <a:latin typeface="Cambria Math" panose="02040503050406030204" pitchFamily="18" charset="0"/>
                </a:rPr>
                <a:t>𝑠_ℎ 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5</xdr:col>
      <xdr:colOff>217833</xdr:colOff>
      <xdr:row>710</xdr:row>
      <xdr:rowOff>184703</xdr:rowOff>
    </xdr:from>
    <xdr:ext cx="18601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CuadroTexto 71">
              <a:extLst>
                <a:ext uri="{FF2B5EF4-FFF2-40B4-BE49-F238E27FC236}">
                  <a16:creationId xmlns:a16="http://schemas.microsoft.com/office/drawing/2014/main" id="{E062582F-0DC6-4B83-8BA7-5462523D42C7}"/>
                </a:ext>
              </a:extLst>
            </xdr:cNvPr>
            <xdr:cNvSpPr txBox="1"/>
          </xdr:nvSpPr>
          <xdr:spPr>
            <a:xfrm>
              <a:off x="2808633" y="127562528"/>
              <a:ext cx="186018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begChr m:val="["/>
                        <m:endChr m:val="]"/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+(1−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𝐹𝑈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𝑡𝑎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2" name="CuadroTexto 71">
              <a:extLst>
                <a:ext uri="{FF2B5EF4-FFF2-40B4-BE49-F238E27FC236}">
                  <a16:creationId xmlns:a16="http://schemas.microsoft.com/office/drawing/2014/main" id="{E062582F-0DC6-4B83-8BA7-5462523D42C7}"/>
                </a:ext>
              </a:extLst>
            </xdr:cNvPr>
            <xdr:cNvSpPr txBox="1"/>
          </xdr:nvSpPr>
          <xdr:spPr>
            <a:xfrm>
              <a:off x="2808633" y="127562528"/>
              <a:ext cx="186018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𝑢&lt;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𝜙_</a:t>
              </a:r>
              <a:r>
                <a:rPr lang="es-ES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∙[𝑉_𝑐+(1−〖𝐹𝑈〗_𝑡𝑎)∙𝑉_𝑠 ]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0</xdr:col>
      <xdr:colOff>372718</xdr:colOff>
      <xdr:row>718</xdr:row>
      <xdr:rowOff>116312</xdr:rowOff>
    </xdr:from>
    <xdr:to>
      <xdr:col>5</xdr:col>
      <xdr:colOff>555228</xdr:colOff>
      <xdr:row>729</xdr:row>
      <xdr:rowOff>60545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4876DA17-13F1-4116-9B28-B6694BA6B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718" y="129018137"/>
          <a:ext cx="2773310" cy="2045448"/>
        </a:xfrm>
        <a:prstGeom prst="rect">
          <a:avLst/>
        </a:prstGeom>
      </xdr:spPr>
    </xdr:pic>
    <xdr:clientData/>
  </xdr:twoCellAnchor>
  <xdr:twoCellAnchor editAs="oneCell">
    <xdr:from>
      <xdr:col>6</xdr:col>
      <xdr:colOff>157370</xdr:colOff>
      <xdr:row>722</xdr:row>
      <xdr:rowOff>25947</xdr:rowOff>
    </xdr:from>
    <xdr:to>
      <xdr:col>10</xdr:col>
      <xdr:colOff>16565</xdr:colOff>
      <xdr:row>727</xdr:row>
      <xdr:rowOff>38740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CE847059-5E4C-45BA-8E06-4223F9F3D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6345" y="129689772"/>
          <a:ext cx="1897545" cy="965293"/>
        </a:xfrm>
        <a:prstGeom prst="rect">
          <a:avLst/>
        </a:prstGeom>
      </xdr:spPr>
    </xdr:pic>
    <xdr:clientData/>
  </xdr:twoCellAnchor>
  <xdr:oneCellAnchor>
    <xdr:from>
      <xdr:col>1</xdr:col>
      <xdr:colOff>27332</xdr:colOff>
      <xdr:row>738</xdr:row>
      <xdr:rowOff>85310</xdr:rowOff>
    </xdr:from>
    <xdr:ext cx="1263616" cy="3428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CuadroTexto 74">
              <a:extLst>
                <a:ext uri="{FF2B5EF4-FFF2-40B4-BE49-F238E27FC236}">
                  <a16:creationId xmlns:a16="http://schemas.microsoft.com/office/drawing/2014/main" id="{D237E998-6A9D-4AF6-BA53-3E6901264F81}"/>
                </a:ext>
              </a:extLst>
            </xdr:cNvPr>
            <xdr:cNvSpPr txBox="1"/>
          </xdr:nvSpPr>
          <xdr:spPr>
            <a:xfrm>
              <a:off x="455957" y="132873335"/>
              <a:ext cx="1263616" cy="342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𝑑𝑖𝑠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𝑧𝑎𝑝</m:t>
                            </m:r>
                          </m:sub>
                          <m:sup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5" name="CuadroTexto 74">
              <a:extLst>
                <a:ext uri="{FF2B5EF4-FFF2-40B4-BE49-F238E27FC236}">
                  <a16:creationId xmlns:a16="http://schemas.microsoft.com/office/drawing/2014/main" id="{D237E998-6A9D-4AF6-BA53-3E6901264F81}"/>
                </a:ext>
              </a:extLst>
            </xdr:cNvPr>
            <xdr:cNvSpPr txBox="1"/>
          </xdr:nvSpPr>
          <xdr:spPr>
            <a:xfrm>
              <a:off x="455957" y="132873335"/>
              <a:ext cx="1263616" cy="342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𝑧𝑎𝑝=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ES" sz="1100" b="0" i="0">
                  <a:latin typeface="Cambria Math" panose="02040503050406030204" pitchFamily="18" charset="0"/>
                </a:rPr>
                <a:t>𝑑𝑖𝑠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∙(𝐿_𝑧𝑎𝑝^2)/2=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0</xdr:col>
      <xdr:colOff>77029</xdr:colOff>
      <xdr:row>748</xdr:row>
      <xdr:rowOff>118445</xdr:rowOff>
    </xdr:from>
    <xdr:ext cx="2076450" cy="3819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CuadroTexto 75">
              <a:extLst>
                <a:ext uri="{FF2B5EF4-FFF2-40B4-BE49-F238E27FC236}">
                  <a16:creationId xmlns:a16="http://schemas.microsoft.com/office/drawing/2014/main" id="{225D53D6-1D52-4ACD-9466-4E005F7D4A57}"/>
                </a:ext>
              </a:extLst>
            </xdr:cNvPr>
            <xdr:cNvSpPr txBox="1"/>
          </xdr:nvSpPr>
          <xdr:spPr>
            <a:xfrm>
              <a:off x="77029" y="134963870"/>
              <a:ext cx="2076450" cy="381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_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𝑧𝑎𝑝</m:t>
                            </m:r>
                          </m:sub>
                        </m:sSub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0.9∙</m:t>
                            </m:r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𝑧𝑎𝑝</m:t>
                                </m:r>
                              </m:sub>
                            </m:sSub>
                          </m:e>
                        </m:d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𝑦𝑏</m:t>
                            </m:r>
                          </m:sub>
                        </m:sSub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6" name="CuadroTexto 75">
              <a:extLst>
                <a:ext uri="{FF2B5EF4-FFF2-40B4-BE49-F238E27FC236}">
                  <a16:creationId xmlns:a16="http://schemas.microsoft.com/office/drawing/2014/main" id="{225D53D6-1D52-4ACD-9466-4E005F7D4A57}"/>
                </a:ext>
              </a:extLst>
            </xdr:cNvPr>
            <xdr:cNvSpPr txBox="1"/>
          </xdr:nvSpPr>
          <xdr:spPr>
            <a:xfrm>
              <a:off x="77029" y="134963870"/>
              <a:ext cx="2076450" cy="381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𝑠_𝑧𝑎𝑝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=𝑀_(𝑢_𝑧𝑎𝑝)/(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𝜙∙(0.9∙𝑑_𝑧𝑎𝑝 )∙𝑓_𝑦𝑏 )</a:t>
              </a:r>
              <a:r>
                <a:rPr lang="es-ES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8282</xdr:colOff>
      <xdr:row>755</xdr:row>
      <xdr:rowOff>82827</xdr:rowOff>
    </xdr:from>
    <xdr:ext cx="1312026" cy="3674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CuadroTexto 76">
              <a:extLst>
                <a:ext uri="{FF2B5EF4-FFF2-40B4-BE49-F238E27FC236}">
                  <a16:creationId xmlns:a16="http://schemas.microsoft.com/office/drawing/2014/main" id="{56068A3A-26B5-4A66-B95E-ED77D99949A2}"/>
                </a:ext>
              </a:extLst>
            </xdr:cNvPr>
            <xdr:cNvSpPr txBox="1"/>
          </xdr:nvSpPr>
          <xdr:spPr>
            <a:xfrm>
              <a:off x="436907" y="136366527"/>
              <a:ext cx="1312026" cy="3674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ad>
                          <m:radPr>
                            <m:degHide m:val="on"/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e>
                        </m:rad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6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∙1∙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7" name="CuadroTexto 76">
              <a:extLst>
                <a:ext uri="{FF2B5EF4-FFF2-40B4-BE49-F238E27FC236}">
                  <a16:creationId xmlns:a16="http://schemas.microsoft.com/office/drawing/2014/main" id="{56068A3A-26B5-4A66-B95E-ED77D99949A2}"/>
                </a:ext>
              </a:extLst>
            </xdr:cNvPr>
            <xdr:cNvSpPr txBox="1"/>
          </xdr:nvSpPr>
          <xdr:spPr>
            <a:xfrm>
              <a:off x="436907" y="136366527"/>
              <a:ext cx="1312026" cy="3674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𝑐=√(〖𝑓′〗_𝑐 )/6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∙1∙𝑑_𝑧𝑎𝑝=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4</xdr:col>
      <xdr:colOff>217833</xdr:colOff>
      <xdr:row>758</xdr:row>
      <xdr:rowOff>184703</xdr:rowOff>
    </xdr:from>
    <xdr:ext cx="944874" cy="1826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CuadroTexto 77">
              <a:extLst>
                <a:ext uri="{FF2B5EF4-FFF2-40B4-BE49-F238E27FC236}">
                  <a16:creationId xmlns:a16="http://schemas.microsoft.com/office/drawing/2014/main" id="{B4D28751-45DD-47ED-B6AD-7F7A81BB122B}"/>
                </a:ext>
              </a:extLst>
            </xdr:cNvPr>
            <xdr:cNvSpPr txBox="1"/>
          </xdr:nvSpPr>
          <xdr:spPr>
            <a:xfrm>
              <a:off x="1999008" y="137039903"/>
              <a:ext cx="944874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𝑢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sub>
                    </m:sSub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8" name="CuadroTexto 77">
              <a:extLst>
                <a:ext uri="{FF2B5EF4-FFF2-40B4-BE49-F238E27FC236}">
                  <a16:creationId xmlns:a16="http://schemas.microsoft.com/office/drawing/2014/main" id="{B4D28751-45DD-47ED-B6AD-7F7A81BB122B}"/>
                </a:ext>
              </a:extLst>
            </xdr:cNvPr>
            <xdr:cNvSpPr txBox="1"/>
          </xdr:nvSpPr>
          <xdr:spPr>
            <a:xfrm>
              <a:off x="1999008" y="137039903"/>
              <a:ext cx="944874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𝑢_𝑧𝑎𝑝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&lt;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𝜙_</a:t>
              </a:r>
              <a:r>
                <a:rPr lang="es-ES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𝑉_𝑐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</xdr:col>
      <xdr:colOff>8282</xdr:colOff>
      <xdr:row>768</xdr:row>
      <xdr:rowOff>24848</xdr:rowOff>
    </xdr:from>
    <xdr:to>
      <xdr:col>8</xdr:col>
      <xdr:colOff>398890</xdr:colOff>
      <xdr:row>782</xdr:row>
      <xdr:rowOff>72443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3424DF18-1809-42DF-BFE0-BE532666A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106" y="151124966"/>
          <a:ext cx="4283083" cy="2714595"/>
        </a:xfrm>
        <a:prstGeom prst="rect">
          <a:avLst/>
        </a:prstGeom>
      </xdr:spPr>
    </xdr:pic>
    <xdr:clientData/>
  </xdr:twoCellAnchor>
  <xdr:oneCellAnchor>
    <xdr:from>
      <xdr:col>1</xdr:col>
      <xdr:colOff>10767</xdr:colOff>
      <xdr:row>813</xdr:row>
      <xdr:rowOff>139148</xdr:rowOff>
    </xdr:from>
    <xdr:ext cx="1612108" cy="28764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CuadroTexto 79">
              <a:extLst>
                <a:ext uri="{FF2B5EF4-FFF2-40B4-BE49-F238E27FC236}">
                  <a16:creationId xmlns:a16="http://schemas.microsoft.com/office/drawing/2014/main" id="{C1B54957-09D3-47F8-B9D1-8878B759E6FA}"/>
                </a:ext>
              </a:extLst>
            </xdr:cNvPr>
            <xdr:cNvSpPr txBox="1"/>
          </xdr:nvSpPr>
          <xdr:spPr>
            <a:xfrm>
              <a:off x="439392" y="148243373"/>
              <a:ext cx="1612108" cy="2876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𝑏𝑟𝑔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𝑝𝑙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𝑝𝑎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𝑝𝑎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80" name="CuadroTexto 79">
              <a:extLst>
                <a:ext uri="{FF2B5EF4-FFF2-40B4-BE49-F238E27FC236}">
                  <a16:creationId xmlns:a16="http://schemas.microsoft.com/office/drawing/2014/main" id="{C1B54957-09D3-47F8-B9D1-8878B759E6FA}"/>
                </a:ext>
              </a:extLst>
            </xdr:cNvPr>
            <xdr:cNvSpPr txBox="1"/>
          </xdr:nvSpPr>
          <xdr:spPr>
            <a:xfrm>
              <a:off x="439392" y="148243373"/>
              <a:ext cx="1612108" cy="2876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𝑏𝑟𝑔=𝐴_(𝑝𝑙_𝑝𝑎)−(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𝜋/</a:t>
              </a:r>
              <a:r>
                <a:rPr lang="es-MX" sz="1100" b="0" i="0">
                  <a:latin typeface="Cambria Math" panose="02040503050406030204" pitchFamily="18" charset="0"/>
                </a:rPr>
                <a:t>4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∙𝑑_𝑝𝑎^2 )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85310</xdr:colOff>
      <xdr:row>817</xdr:row>
      <xdr:rowOff>72889</xdr:rowOff>
    </xdr:from>
    <xdr:ext cx="2645789" cy="5757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CuadroTexto 80">
              <a:extLst>
                <a:ext uri="{FF2B5EF4-FFF2-40B4-BE49-F238E27FC236}">
                  <a16:creationId xmlns:a16="http://schemas.microsoft.com/office/drawing/2014/main" id="{80B92D4D-A295-400F-A0CD-956AE4E6602B}"/>
                </a:ext>
              </a:extLst>
            </xdr:cNvPr>
            <xdr:cNvSpPr txBox="1"/>
          </xdr:nvSpPr>
          <xdr:spPr>
            <a:xfrm>
              <a:off x="513935" y="149005789"/>
              <a:ext cx="2645789" cy="575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𝑠𝑏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</m:t>
                        </m:r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𝑠𝑏</m:t>
                        </m:r>
                      </m:sub>
                    </m:sSub>
                    <m:d>
                      <m:d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13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  <m:rad>
                          <m:radPr>
                            <m:degHide m:val="on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𝑏𝑟𝑔</m:t>
                                </m:r>
                              </m:sub>
                            </m:sSub>
                          </m:e>
                        </m:rad>
                        <m:rad>
                          <m:radPr>
                            <m:degHide m:val="on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e>
                        </m:rad>
                      </m:e>
                    </m:d>
                    <m:r>
                      <a:rPr lang="es-CL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ctrlP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CL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1+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𝑝𝑒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𝑝</m:t>
                                    </m:r>
                                  </m:sub>
                                </m:sSub>
                              </m:den>
                            </m:f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81" name="CuadroTexto 80">
              <a:extLst>
                <a:ext uri="{FF2B5EF4-FFF2-40B4-BE49-F238E27FC236}">
                  <a16:creationId xmlns:a16="http://schemas.microsoft.com/office/drawing/2014/main" id="{80B92D4D-A295-400F-A0CD-956AE4E6602B}"/>
                </a:ext>
              </a:extLst>
            </xdr:cNvPr>
            <xdr:cNvSpPr txBox="1"/>
          </xdr:nvSpPr>
          <xdr:spPr>
            <a:xfrm>
              <a:off x="513935" y="149005789"/>
              <a:ext cx="2645789" cy="575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latin typeface="Cambria Math" panose="02040503050406030204" pitchFamily="18" charset="0"/>
                </a:rPr>
                <a:t>〖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𝑠𝑏=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𝜙〗_</a:t>
              </a:r>
              <a:r>
                <a:rPr lang="es-MX" sz="1100" b="0" i="0">
                  <a:latin typeface="Cambria Math" panose="02040503050406030204" pitchFamily="18" charset="0"/>
                </a:rPr>
                <a:t>𝑠𝑏</a:t>
              </a:r>
              <a:r>
                <a:rPr lang="es-CL" sz="1100" b="0" i="0">
                  <a:latin typeface="Cambria Math" panose="02040503050406030204" pitchFamily="18" charset="0"/>
                </a:rPr>
                <a:t> </a:t>
              </a:r>
              <a:r>
                <a:rPr lang="es-CL" sz="1100" i="0"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</a:rPr>
                <a:t>13𝐶_𝑝 √(𝐴_𝑏𝑟𝑔 ) √(〖𝑓′〗_𝑐 ))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1+𝐶_𝑝𝑒/𝐶_𝑝 </a:t>
              </a:r>
              <a:r>
                <a:rPr lang="es-CL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4)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11</xdr:col>
      <xdr:colOff>438980</xdr:colOff>
      <xdr:row>23</xdr:row>
      <xdr:rowOff>180016</xdr:rowOff>
    </xdr:from>
    <xdr:to>
      <xdr:col>16</xdr:col>
      <xdr:colOff>434670</xdr:colOff>
      <xdr:row>34</xdr:row>
      <xdr:rowOff>16565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D3467A95-4B2C-4E30-A6E4-F9F3A1E278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5697" y="4660907"/>
          <a:ext cx="3060524" cy="20562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48</xdr:row>
      <xdr:rowOff>19050</xdr:rowOff>
    </xdr:from>
    <xdr:to>
      <xdr:col>3</xdr:col>
      <xdr:colOff>209423</xdr:colOff>
      <xdr:row>50</xdr:row>
      <xdr:rowOff>148606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0" y="9734550"/>
          <a:ext cx="1019048" cy="533333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51</xdr:row>
      <xdr:rowOff>0</xdr:rowOff>
    </xdr:from>
    <xdr:to>
      <xdr:col>2</xdr:col>
      <xdr:colOff>390426</xdr:colOff>
      <xdr:row>52</xdr:row>
      <xdr:rowOff>46352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" y="10344150"/>
          <a:ext cx="790476" cy="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3</xdr:col>
      <xdr:colOff>449583</xdr:colOff>
      <xdr:row>58</xdr:row>
      <xdr:rowOff>9500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8625" y="11544300"/>
          <a:ext cx="1304762" cy="20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63</xdr:row>
      <xdr:rowOff>123825</xdr:rowOff>
    </xdr:from>
    <xdr:to>
      <xdr:col>4</xdr:col>
      <xdr:colOff>505008</xdr:colOff>
      <xdr:row>65</xdr:row>
      <xdr:rowOff>121292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" y="12268200"/>
          <a:ext cx="1857143" cy="3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68</xdr:row>
      <xdr:rowOff>38100</xdr:rowOff>
    </xdr:from>
    <xdr:to>
      <xdr:col>3</xdr:col>
      <xdr:colOff>428464</xdr:colOff>
      <xdr:row>70</xdr:row>
      <xdr:rowOff>111758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" y="13782675"/>
          <a:ext cx="1285714" cy="4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77</xdr:row>
      <xdr:rowOff>76200</xdr:rowOff>
    </xdr:from>
    <xdr:to>
      <xdr:col>3</xdr:col>
      <xdr:colOff>237988</xdr:colOff>
      <xdr:row>79</xdr:row>
      <xdr:rowOff>130806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8625" y="15621000"/>
          <a:ext cx="1095238" cy="4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86</xdr:row>
      <xdr:rowOff>19050</xdr:rowOff>
    </xdr:from>
    <xdr:to>
      <xdr:col>4</xdr:col>
      <xdr:colOff>38341</xdr:colOff>
      <xdr:row>86</xdr:row>
      <xdr:rowOff>228574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8625" y="17402175"/>
          <a:ext cx="1390476" cy="209524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116</xdr:row>
      <xdr:rowOff>76200</xdr:rowOff>
    </xdr:from>
    <xdr:to>
      <xdr:col>5</xdr:col>
      <xdr:colOff>554605</xdr:colOff>
      <xdr:row>118</xdr:row>
      <xdr:rowOff>140334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4825" y="23498175"/>
          <a:ext cx="2638095" cy="4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130</xdr:row>
      <xdr:rowOff>180975</xdr:rowOff>
    </xdr:from>
    <xdr:to>
      <xdr:col>4</xdr:col>
      <xdr:colOff>85960</xdr:colOff>
      <xdr:row>133</xdr:row>
      <xdr:rowOff>158129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28625" y="26441400"/>
          <a:ext cx="1438095" cy="5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134</xdr:row>
      <xdr:rowOff>76200</xdr:rowOff>
    </xdr:from>
    <xdr:to>
      <xdr:col>3</xdr:col>
      <xdr:colOff>247517</xdr:colOff>
      <xdr:row>136</xdr:row>
      <xdr:rowOff>130810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66725" y="27136725"/>
          <a:ext cx="1066667" cy="4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139</xdr:row>
      <xdr:rowOff>76200</xdr:rowOff>
    </xdr:from>
    <xdr:to>
      <xdr:col>4</xdr:col>
      <xdr:colOff>457395</xdr:colOff>
      <xdr:row>141</xdr:row>
      <xdr:rowOff>140335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76250" y="28136850"/>
          <a:ext cx="1761905" cy="4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144</xdr:row>
      <xdr:rowOff>142875</xdr:rowOff>
    </xdr:from>
    <xdr:to>
      <xdr:col>5</xdr:col>
      <xdr:colOff>621262</xdr:colOff>
      <xdr:row>150</xdr:row>
      <xdr:rowOff>173373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28625" y="29203650"/>
          <a:ext cx="2780952" cy="11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151</xdr:row>
      <xdr:rowOff>114300</xdr:rowOff>
    </xdr:from>
    <xdr:to>
      <xdr:col>4</xdr:col>
      <xdr:colOff>647865</xdr:colOff>
      <xdr:row>153</xdr:row>
      <xdr:rowOff>140339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28625" y="30575250"/>
          <a:ext cx="2000000" cy="409524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157</xdr:row>
      <xdr:rowOff>57150</xdr:rowOff>
    </xdr:from>
    <xdr:to>
      <xdr:col>4</xdr:col>
      <xdr:colOff>457390</xdr:colOff>
      <xdr:row>158</xdr:row>
      <xdr:rowOff>84456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38150" y="31718250"/>
          <a:ext cx="1800000" cy="2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159</xdr:row>
      <xdr:rowOff>47625</xdr:rowOff>
    </xdr:from>
    <xdr:to>
      <xdr:col>3</xdr:col>
      <xdr:colOff>47512</xdr:colOff>
      <xdr:row>160</xdr:row>
      <xdr:rowOff>46359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28625" y="32108775"/>
          <a:ext cx="904762" cy="1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160</xdr:row>
      <xdr:rowOff>171450</xdr:rowOff>
    </xdr:from>
    <xdr:to>
      <xdr:col>3</xdr:col>
      <xdr:colOff>180845</xdr:colOff>
      <xdr:row>162</xdr:row>
      <xdr:rowOff>111775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28625" y="32432625"/>
          <a:ext cx="1038095" cy="32381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168</xdr:row>
      <xdr:rowOff>161925</xdr:rowOff>
    </xdr:from>
    <xdr:to>
      <xdr:col>5</xdr:col>
      <xdr:colOff>459415</xdr:colOff>
      <xdr:row>172</xdr:row>
      <xdr:rowOff>185431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85825" y="34023300"/>
          <a:ext cx="2161905" cy="79047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175</xdr:row>
      <xdr:rowOff>152400</xdr:rowOff>
    </xdr:from>
    <xdr:to>
      <xdr:col>5</xdr:col>
      <xdr:colOff>285912</xdr:colOff>
      <xdr:row>179</xdr:row>
      <xdr:rowOff>156860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57250" y="35013900"/>
          <a:ext cx="2019048" cy="77142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190</xdr:row>
      <xdr:rowOff>161925</xdr:rowOff>
    </xdr:from>
    <xdr:to>
      <xdr:col>8</xdr:col>
      <xdr:colOff>41390</xdr:colOff>
      <xdr:row>192</xdr:row>
      <xdr:rowOff>111774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57250" y="38423850"/>
          <a:ext cx="3495238" cy="333333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198</xdr:row>
      <xdr:rowOff>66675</xdr:rowOff>
    </xdr:from>
    <xdr:to>
      <xdr:col>4</xdr:col>
      <xdr:colOff>181205</xdr:colOff>
      <xdr:row>200</xdr:row>
      <xdr:rowOff>102238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485775" y="39928800"/>
          <a:ext cx="1476190" cy="419048"/>
        </a:xfrm>
        <a:prstGeom prst="rect">
          <a:avLst/>
        </a:prstGeom>
      </xdr:spPr>
    </xdr:pic>
    <xdr:clientData/>
  </xdr:twoCellAnchor>
  <xdr:oneCellAnchor>
    <xdr:from>
      <xdr:col>1</xdr:col>
      <xdr:colOff>44450</xdr:colOff>
      <xdr:row>210</xdr:row>
      <xdr:rowOff>127476</xdr:rowOff>
    </xdr:from>
    <xdr:ext cx="1997726" cy="7631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73075" y="42532776"/>
              <a:ext cx="1997726" cy="7631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𝑚𝑖𝑛</m:t>
                    </m:r>
                    <m:d>
                      <m:dPr>
                        <m:begChr m:val="{"/>
                        <m:endChr m:val="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r>
                                <m:rPr>
                                  <m:brk m:alnAt="7"/>
                                </m:rP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9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9</m:t>
                              </m:r>
                              <m:sSub>
                                <m:sSubPr>
                                  <m:ctrlP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𝑡</m:t>
                                  </m:r>
                                </m:e>
                                <m:sub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𝑏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_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𝑊𝐿</m:t>
                                  </m:r>
                                </m:sub>
                              </m:sSub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∙</m:t>
                              </m:r>
                              <m:rad>
                                <m:radPr>
                                  <m:degHide m:val="on"/>
                                  <m:ctrlP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radPr>
                                <m:deg/>
                                <m:e>
                                  <m:sSub>
                                    <m:sSubPr>
                                      <m:ctrlPr>
                                        <a:rPr lang="es-MX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s-MX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𝐹</m:t>
                                      </m:r>
                                    </m:e>
                                    <m:sub>
                                      <m:r>
                                        <a:rPr lang="es-MX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𝑦</m:t>
                                      </m:r>
                                    </m:sub>
                                  </m:sSub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𝐻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𝛾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𝑓</m:t>
                                  </m:r>
                                </m:e>
                              </m:rad>
                            </m:e>
                          </m:mr>
                          <m:mr>
                            <m:e/>
                          </m:mr>
                          <m:mr>
                            <m:e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196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∙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𝐻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𝐷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CA179020-3532-43B7-B218-013325E10B4B}"/>
                </a:ext>
              </a:extLst>
            </xdr:cNvPr>
            <xdr:cNvSpPr txBox="1"/>
          </xdr:nvSpPr>
          <xdr:spPr>
            <a:xfrm>
              <a:off x="473075" y="42532776"/>
              <a:ext cx="1997726" cy="7631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s-MX" sz="1100" b="0" i="0">
                  <a:latin typeface="Cambria Math" panose="02040503050406030204" pitchFamily="18" charset="0"/>
                </a:rPr>
                <a:t>𝑤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𝐿=𝑚𝑖𝑛{■8(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99𝑡_(𝑏_𝑊𝐿)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√(𝐹_𝑦∙𝐻∙𝛾𝑓)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@@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196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𝐻∙𝐷∙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𝐺)┤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5</xdr:col>
      <xdr:colOff>119062</xdr:colOff>
      <xdr:row>217</xdr:row>
      <xdr:rowOff>142875</xdr:rowOff>
    </xdr:from>
    <xdr:ext cx="1351845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2643187" y="43948350"/>
              <a:ext cx="1351845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𝑟𝑤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</m:e>
                        </m:d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&lt;1.57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C9C963AF-5B4B-4E10-A4BE-2904E4AD51F2}"/>
                </a:ext>
              </a:extLst>
            </xdr:cNvPr>
            <xdr:cNvSpPr txBox="1"/>
          </xdr:nvSpPr>
          <xdr:spPr>
            <a:xfrm>
              <a:off x="2643187" y="43948350"/>
              <a:ext cx="1351845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𝑀_𝑟𝑤/(𝐷^2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∙(𝑤_𝑡+𝑤_𝐿 ) )&lt;1.57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95250</xdr:colOff>
      <xdr:row>219</xdr:row>
      <xdr:rowOff>152400</xdr:rowOff>
    </xdr:from>
    <xdr:ext cx="1049197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 txBox="1"/>
          </xdr:nvSpPr>
          <xdr:spPr>
            <a:xfrm>
              <a:off x="523875" y="44357925"/>
              <a:ext cx="1049197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𝑟𝑤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</m:e>
                        </m:d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30E06610-E206-4D96-82D7-A569B9569384}"/>
                </a:ext>
              </a:extLst>
            </xdr:cNvPr>
            <xdr:cNvSpPr txBox="1"/>
          </xdr:nvSpPr>
          <xdr:spPr>
            <a:xfrm>
              <a:off x="523875" y="44357925"/>
              <a:ext cx="1049197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𝑀_𝑟𝑤/(𝐷^2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∙(𝑤_𝑡+𝑤_𝐿 ) )=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</xdr:col>
      <xdr:colOff>133350</xdr:colOff>
      <xdr:row>227</xdr:row>
      <xdr:rowOff>47625</xdr:rowOff>
    </xdr:from>
    <xdr:to>
      <xdr:col>10</xdr:col>
      <xdr:colOff>429033</xdr:colOff>
      <xdr:row>245</xdr:row>
      <xdr:rowOff>74130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45853350"/>
          <a:ext cx="5128585" cy="3476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52387</xdr:colOff>
      <xdr:row>269</xdr:row>
      <xdr:rowOff>38100</xdr:rowOff>
    </xdr:from>
    <xdr:ext cx="3012748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100-00001F000000}"/>
                </a:ext>
              </a:extLst>
            </xdr:cNvPr>
            <xdr:cNvSpPr txBox="1"/>
          </xdr:nvSpPr>
          <xdr:spPr>
            <a:xfrm>
              <a:off x="481012" y="54321075"/>
              <a:ext cx="3012748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𝐻𝐴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𝐵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𝑝𝑒𝑑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𝑝𝑒𝑑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𝐵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𝑧𝑎𝑝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𝑧𝑎𝑝</m:t>
                                </m:r>
                              </m:sub>
                            </m:sSub>
                          </m:e>
                        </m:d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</m:d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7A7BB4EF-7EF2-4679-8DD6-BEAC9F0FA9E1}"/>
                </a:ext>
              </a:extLst>
            </xdr:cNvPr>
            <xdr:cNvSpPr txBox="1"/>
          </xdr:nvSpPr>
          <xdr:spPr>
            <a:xfrm>
              <a:off x="481012" y="54321075"/>
              <a:ext cx="3012748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𝑓𝑢𝑛𝑑=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𝐻𝐴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∙[(𝐵_𝑝𝑒𝑑∙𝐻_𝑝𝑒𝑑+𝐵_𝑧𝑎𝑝∙𝑡_𝑧𝑎𝑝 )(𝜋∙𝐷)]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71437</xdr:colOff>
      <xdr:row>277</xdr:row>
      <xdr:rowOff>123825</xdr:rowOff>
    </xdr:from>
    <xdr:ext cx="3908570" cy="4390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SpPr txBox="1"/>
          </xdr:nvSpPr>
          <xdr:spPr>
            <a:xfrm>
              <a:off x="928687" y="56045100"/>
              <a:ext cx="3908570" cy="439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𝑒𝑥𝑡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𝑧𝑎𝑝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𝑝𝑒𝑑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d>
                              <m:d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𝑓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𝑡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𝑧𝑎𝑝</m:t>
                                    </m:r>
                                  </m:sub>
                                </m:sSub>
                              </m:e>
                            </m:d>
                          </m:e>
                        </m:d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𝑟𝑒𝑙𝑙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𝑒𝑥𝑡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𝑚𝑒𝑑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CDA0D4BF-DA5F-41D8-890D-736111B8BCDD}"/>
                </a:ext>
              </a:extLst>
            </xdr:cNvPr>
            <xdr:cNvSpPr txBox="1"/>
          </xdr:nvSpPr>
          <xdr:spPr>
            <a:xfrm>
              <a:off x="928687" y="56045100"/>
              <a:ext cx="3908570" cy="439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𝑟𝑒𝑙𝑙_𝑒𝑥𝑡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 [[(𝐵_𝑧𝑎𝑝−𝐵_𝑝𝑒𝑑)/2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∙(𝐷_𝑓−𝑡_𝑧𝑎𝑝 )]∙(𝜋∙𝐷_(𝑟𝑒𝑙𝑙_𝑒𝑥𝑡_𝑚𝑒𝑑) )]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42862</xdr:colOff>
      <xdr:row>274</xdr:row>
      <xdr:rowOff>142875</xdr:rowOff>
    </xdr:from>
    <xdr:ext cx="2400594" cy="320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900112" y="55464075"/>
              <a:ext cx="2400594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𝑒𝑥𝑡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𝑚𝑒𝑑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𝑝𝑒𝑑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𝑧𝑎𝑝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1B7CBEF0-FC3A-451B-B768-5DF392D83DC5}"/>
                </a:ext>
              </a:extLst>
            </xdr:cNvPr>
            <xdr:cNvSpPr txBox="1"/>
          </xdr:nvSpPr>
          <xdr:spPr>
            <a:xfrm>
              <a:off x="900112" y="55464075"/>
              <a:ext cx="2400594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𝐷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𝑟𝑒𝑙𝑙_𝑒𝑥𝑡_𝑚𝑒𝑑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=〖𝐷+𝐵〗_𝑝𝑒𝑑+(𝐵_𝑧𝑎𝑝−𝐵_𝑝𝑒𝑑)/2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47625</xdr:colOff>
      <xdr:row>285</xdr:row>
      <xdr:rowOff>95250</xdr:rowOff>
    </xdr:from>
    <xdr:ext cx="3494418" cy="4390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SpPr txBox="1"/>
          </xdr:nvSpPr>
          <xdr:spPr>
            <a:xfrm>
              <a:off x="904875" y="57654825"/>
              <a:ext cx="3494418" cy="439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𝑖𝑛𝑡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𝑧𝑎𝑝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𝑝𝑒𝑑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𝑝𝑒𝑑</m:t>
                                </m:r>
                              </m:sub>
                            </m:sSub>
                          </m:e>
                        </m:d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𝑟𝑒𝑙𝑙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𝑖𝑛𝑡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𝑚𝑒𝑑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A40A675F-325F-4316-BF5A-2ECCD73996A2}"/>
                </a:ext>
              </a:extLst>
            </xdr:cNvPr>
            <xdr:cNvSpPr txBox="1"/>
          </xdr:nvSpPr>
          <xdr:spPr>
            <a:xfrm>
              <a:off x="904875" y="57654825"/>
              <a:ext cx="3494418" cy="439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𝑟𝑒𝑙𝑙_𝑖𝑛𝑡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 [[(𝐵_𝑧𝑎𝑝−𝐵_𝑝𝑒𝑑)/2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∙𝐻_𝑝𝑒𝑑 ]∙(𝜋∙𝐷_(𝑟𝑒𝑙𝑙_𝑖𝑛𝑡_𝑚𝑒𝑑) )]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282</xdr:row>
      <xdr:rowOff>142875</xdr:rowOff>
    </xdr:from>
    <xdr:ext cx="2386871" cy="320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SpPr txBox="1"/>
          </xdr:nvSpPr>
          <xdr:spPr>
            <a:xfrm>
              <a:off x="876300" y="57102375"/>
              <a:ext cx="2386871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𝑖𝑛𝑡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𝑚𝑒𝑑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𝑝𝑒𝑑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𝑧𝑎𝑝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64FA2B60-33E9-4E64-86AA-1AE54529C6F1}"/>
                </a:ext>
              </a:extLst>
            </xdr:cNvPr>
            <xdr:cNvSpPr txBox="1"/>
          </xdr:nvSpPr>
          <xdr:spPr>
            <a:xfrm>
              <a:off x="876300" y="57102375"/>
              <a:ext cx="2386871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𝐷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𝑟𝑒𝑙𝑙_𝑖𝑛𝑡_𝑚𝑒𝑑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=〖𝐷−𝐵〗_𝑝𝑒𝑑−(𝐵_𝑧𝑎𝑝−𝐵_𝑝𝑒𝑑)/2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100012</xdr:colOff>
      <xdr:row>289</xdr:row>
      <xdr:rowOff>38100</xdr:rowOff>
    </xdr:from>
    <xdr:ext cx="1698477" cy="1752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SpPr txBox="1"/>
          </xdr:nvSpPr>
          <xdr:spPr>
            <a:xfrm>
              <a:off x="528637" y="58435875"/>
              <a:ext cx="1698477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𝑒𝑥𝑡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𝑖𝑛𝑡</m:t>
                        </m:r>
                      </m:sub>
                    </m:sSub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AEB0DA7B-B96D-42D1-BD47-3538323D3EE5}"/>
                </a:ext>
              </a:extLst>
            </xdr:cNvPr>
            <xdr:cNvSpPr txBox="1"/>
          </xdr:nvSpPr>
          <xdr:spPr>
            <a:xfrm>
              <a:off x="528637" y="58435875"/>
              <a:ext cx="1698477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𝑟𝑒𝑙𝑙=𝑊_(𝑟𝑒𝑙𝑙_𝑒𝑥𝑡)+𝑊_(𝑟𝑒𝑙𝑙_𝑖𝑛𝑡)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114300</xdr:colOff>
      <xdr:row>293</xdr:row>
      <xdr:rowOff>133350</xdr:rowOff>
    </xdr:from>
    <xdr:ext cx="1745799" cy="320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SpPr txBox="1"/>
          </xdr:nvSpPr>
          <xdr:spPr>
            <a:xfrm>
              <a:off x="542925" y="59369325"/>
              <a:ext cx="1745799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𝑙𝑖𝑞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𝑧𝑎𝑝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1D33FD3F-3F77-46EC-B7C6-CBBE64C028E5}"/>
                </a:ext>
              </a:extLst>
            </xdr:cNvPr>
            <xdr:cNvSpPr txBox="1"/>
          </xdr:nvSpPr>
          <xdr:spPr>
            <a:xfrm>
              <a:off x="542925" y="59369325"/>
              <a:ext cx="1745799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𝑏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𝑙𝑖𝑞=𝐵_𝑝𝑒𝑑/2+(𝐵_𝑧𝑎𝑝−𝐵_𝑝𝑒𝑑)/2=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117443</xdr:colOff>
      <xdr:row>296</xdr:row>
      <xdr:rowOff>22701</xdr:rowOff>
    </xdr:from>
    <xdr:ext cx="2357697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00000000-0008-0000-0100-000026000000}"/>
                </a:ext>
              </a:extLst>
            </xdr:cNvPr>
            <xdr:cNvSpPr txBox="1"/>
          </xdr:nvSpPr>
          <xdr:spPr>
            <a:xfrm>
              <a:off x="546068" y="59858751"/>
              <a:ext cx="2357697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l-G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𝑙𝑖𝑞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𝑙𝑖𝑞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𝜋</m:t>
                        </m:r>
                        <m: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d>
                          <m:dPr>
                            <m:ctrlPr>
                              <a:rPr lang="el-GR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𝐷</m:t>
                            </m:r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𝑏</m:t>
                                </m:r>
                              </m:e>
                              <m:sub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𝑙𝑖𝑞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</m:t>
                        </m:r>
                      </m:sub>
                    </m:sSub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2B8C252D-77AE-4F7E-AE1E-7D9DF8DF285B}"/>
                </a:ext>
              </a:extLst>
            </xdr:cNvPr>
            <xdr:cNvSpPr txBox="1"/>
          </xdr:nvSpPr>
          <xdr:spPr>
            <a:xfrm>
              <a:off x="546068" y="59858751"/>
              <a:ext cx="2357697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l-GR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𝑙𝑖𝑞_𝑧𝑎𝑝</a:t>
              </a:r>
              <a:r>
                <a:rPr lang="el-GR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=[𝑏_𝑙𝑖𝑞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∙𝐻∙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𝜋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𝐷−𝑏_𝑙𝑖𝑞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]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∙𝛾_𝑓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423862</xdr:colOff>
      <xdr:row>314</xdr:row>
      <xdr:rowOff>23812</xdr:rowOff>
    </xdr:from>
    <xdr:ext cx="2679067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852487" y="63612712"/>
              <a:ext cx="2679067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𝑣𝑝𝑜𝑠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𝐼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𝑂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6FD02B49-FDBC-4039-AE5B-9DAE65631DAD}"/>
                </a:ext>
              </a:extLst>
            </xdr:cNvPr>
            <xdr:cNvSpPr txBox="1"/>
          </xdr:nvSpPr>
          <xdr:spPr>
            <a:xfrm>
              <a:off x="852487" y="63612712"/>
              <a:ext cx="2679067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𝑣𝑝𝑜𝑠=(1−𝐼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∙𝐶_𝑣 )</a:t>
              </a:r>
              <a:r>
                <a:rPr lang="es-MX" sz="1100" b="0" i="0">
                  <a:latin typeface="Cambria Math" panose="02040503050406030204" pitchFamily="18" charset="0"/>
                </a:rPr>
                <a:t>(𝑁_𝑂+𝑊_𝑓𝑢𝑛𝑑+𝑊_𝑟𝑒𝑙𝑙 )=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423862</xdr:colOff>
      <xdr:row>316</xdr:row>
      <xdr:rowOff>61912</xdr:rowOff>
    </xdr:from>
    <xdr:ext cx="3370859" cy="4322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852487" y="64050862"/>
              <a:ext cx="3370859" cy="432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den>
                        </m:f>
                      </m:e>
                    </m:d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−</m:t>
                                        </m:r>
                                        <m:sSub>
                                          <m:sSubPr>
                                            <m:ctrlP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𝐵</m:t>
                                            </m:r>
                                          </m:e>
                                          <m:sub>
                                            <m: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𝑝𝑒𝑑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  <m:sup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4</m:t>
                                </m:r>
                              </m:den>
                            </m:f>
                          </m:e>
                        </m:d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𝑓𝑢𝑛𝑑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F4E96926-7864-4749-8F1F-C638AA91C68D}"/>
                </a:ext>
              </a:extLst>
            </xdr:cNvPr>
            <xdr:cNvSpPr txBox="1"/>
          </xdr:nvSpPr>
          <xdr:spPr>
            <a:xfrm>
              <a:off x="852487" y="64050862"/>
              <a:ext cx="3370859" cy="432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𝑄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𝑟𝑒𝑙𝑙=(𝐴_0/2𝑔)[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∙(𝜋∙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(𝐷−𝐵_𝑝𝑒𝑑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2/4)(𝐻_𝑓𝑢𝑛𝑑−𝐷_𝑓 )]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23812</xdr:colOff>
      <xdr:row>320</xdr:row>
      <xdr:rowOff>109537</xdr:rowOff>
    </xdr:from>
    <xdr:ext cx="3574376" cy="3767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881062" y="64936687"/>
              <a:ext cx="3574376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𝑡𝑜𝑡𝑎𝑙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𝑟𝑤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𝑉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𝑓𝑢𝑛𝑑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AE5DE75D-D5B5-4163-9782-FFB59057FA0D}"/>
                </a:ext>
              </a:extLst>
            </xdr:cNvPr>
            <xdr:cNvSpPr txBox="1"/>
          </xdr:nvSpPr>
          <xdr:spPr>
            <a:xfrm>
              <a:off x="881062" y="64936687"/>
              <a:ext cx="3574376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𝑡𝑜𝑡𝑎𝑙=𝑀_𝑟𝑤+𝑉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∙𝐻_𝑓𝑢𝑛𝑑+𝑄_𝑟𝑒𝑙𝑙∙[𝐻_𝑓𝑢𝑛𝑑−(𝐻_𝑓𝑢𝑛𝑑−𝐷_𝑓)/2]=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23812</xdr:colOff>
      <xdr:row>322</xdr:row>
      <xdr:rowOff>138112</xdr:rowOff>
    </xdr:from>
    <xdr:ext cx="1040606" cy="36407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>
              <a:off x="881062" y="65365312"/>
              <a:ext cx="1040606" cy="3640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𝑣𝑝𝑜𝑠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𝑡𝑜𝑡𝑎𝑙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4BEF490-C3A9-49B8-B851-0257CD7E40D0}"/>
                </a:ext>
              </a:extLst>
            </xdr:cNvPr>
            <xdr:cNvSpPr txBox="1"/>
          </xdr:nvSpPr>
          <xdr:spPr>
            <a:xfrm>
              <a:off x="881062" y="65365312"/>
              <a:ext cx="1040606" cy="3640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𝑒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𝑣𝑝𝑜𝑠=𝑀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𝑡𝑜𝑡𝑎𝑙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𝑣𝑝𝑜𝑠</a:t>
              </a:r>
              <a:r>
                <a:rPr lang="es-CL" sz="1100" b="0" i="0">
                  <a:latin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325</xdr:row>
      <xdr:rowOff>171450</xdr:rowOff>
    </xdr:from>
    <xdr:ext cx="483786" cy="3227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857250" y="66151125"/>
              <a:ext cx="483786" cy="3227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𝑒𝑥𝑡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584879B5-986D-41B9-863E-BFD19001C36B}"/>
                </a:ext>
              </a:extLst>
            </xdr:cNvPr>
            <xdr:cNvSpPr txBox="1"/>
          </xdr:nvSpPr>
          <xdr:spPr>
            <a:xfrm>
              <a:off x="857250" y="66151125"/>
              <a:ext cx="483786" cy="3227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𝑒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𝑣𝑝𝑜𝑠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𝑒𝑥𝑡</a:t>
              </a:r>
              <a:r>
                <a:rPr lang="es-CL" sz="1100" b="0" i="0">
                  <a:latin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328</xdr:row>
      <xdr:rowOff>171450</xdr:rowOff>
    </xdr:from>
    <xdr:ext cx="398635" cy="3184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>
              <a:off x="857250" y="66751200"/>
              <a:ext cx="398635" cy="3184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𝑖𝑛𝑡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𝑒𝑥𝑡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9344359B-1C35-4364-BB6B-4606E567E736}"/>
                </a:ext>
              </a:extLst>
            </xdr:cNvPr>
            <xdr:cNvSpPr txBox="1"/>
          </xdr:nvSpPr>
          <xdr:spPr>
            <a:xfrm>
              <a:off x="857250" y="66751200"/>
              <a:ext cx="398635" cy="3184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𝑖𝑛𝑡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𝑒𝑥𝑡</a:t>
              </a:r>
              <a:r>
                <a:rPr lang="es-CL" sz="1100" b="0" i="0">
                  <a:latin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12</xdr:col>
      <xdr:colOff>476250</xdr:colOff>
      <xdr:row>333</xdr:row>
      <xdr:rowOff>9526</xdr:rowOff>
    </xdr:from>
    <xdr:to>
      <xdr:col>16</xdr:col>
      <xdr:colOff>527602</xdr:colOff>
      <xdr:row>344</xdr:row>
      <xdr:rowOff>543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0" y="67589401"/>
          <a:ext cx="2495550" cy="21821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</xdr:col>
      <xdr:colOff>80962</xdr:colOff>
      <xdr:row>335</xdr:row>
      <xdr:rowOff>14287</xdr:rowOff>
    </xdr:from>
    <xdr:ext cx="1481495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 txBox="1"/>
          </xdr:nvSpPr>
          <xdr:spPr>
            <a:xfrm>
              <a:off x="938212" y="67994212"/>
              <a:ext cx="1481495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𝑒𝑥𝑡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𝑖𝑛𝑡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970B8887-D96E-4194-ABE2-751E501E9F69}"/>
                </a:ext>
              </a:extLst>
            </xdr:cNvPr>
            <xdr:cNvSpPr txBox="1"/>
          </xdr:nvSpPr>
          <xdr:spPr>
            <a:xfrm>
              <a:off x="938212" y="67994212"/>
              <a:ext cx="1481495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𝑓𝑢𝑛𝑑=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𝜋∙(𝑟_𝑒𝑥𝑡^2−𝑟_𝑖𝑛𝑡^2 )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42862</xdr:colOff>
      <xdr:row>342</xdr:row>
      <xdr:rowOff>138112</xdr:rowOff>
    </xdr:from>
    <xdr:ext cx="767646" cy="3688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900112" y="69584887"/>
              <a:ext cx="767646" cy="368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BC966BFA-A238-4AD2-964D-58701A6F19A6}"/>
                </a:ext>
              </a:extLst>
            </xdr:cNvPr>
            <xdr:cNvSpPr txBox="1"/>
          </xdr:nvSpPr>
          <xdr:spPr>
            <a:xfrm>
              <a:off x="900112" y="69584887"/>
              <a:ext cx="767646" cy="368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MX" sz="1100" b="0" i="0">
                  <a:latin typeface="Cambria Math" panose="02040503050406030204" pitchFamily="18" charset="0"/>
                </a:rPr>
                <a:t>𝐶1=𝑁_𝑣𝑝𝑜𝑠/𝐴_𝑓𝑢𝑛𝑑 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345</xdr:row>
      <xdr:rowOff>19050</xdr:rowOff>
    </xdr:from>
    <xdr:ext cx="1134413" cy="1752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876300" y="70094475"/>
              <a:ext cx="1134413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max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⁡_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L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33BC4061-FCD1-43EA-9EA5-96661D91D5B9}"/>
                </a:ext>
              </a:extLst>
            </xdr:cNvPr>
            <xdr:cNvSpPr txBox="1"/>
          </xdr:nvSpPr>
          <xdr:spPr>
            <a:xfrm>
              <a:off x="876300" y="70094475"/>
              <a:ext cx="1134413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L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𝜎_(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max⁡_𝑐1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MX" sz="1100" b="0" i="0">
                  <a:latin typeface="Cambria Math" panose="02040503050406030204" pitchFamily="18" charset="0"/>
                </a:rPr>
                <a:t>𝐶1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𝑣2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51</xdr:col>
      <xdr:colOff>28575</xdr:colOff>
      <xdr:row>331</xdr:row>
      <xdr:rowOff>19050</xdr:rowOff>
    </xdr:from>
    <xdr:to>
      <xdr:col>69</xdr:col>
      <xdr:colOff>132370</xdr:colOff>
      <xdr:row>343</xdr:row>
      <xdr:rowOff>202606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012650" y="67198875"/>
          <a:ext cx="7847619" cy="2542857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356</xdr:row>
      <xdr:rowOff>19050</xdr:rowOff>
    </xdr:from>
    <xdr:ext cx="2012410" cy="1919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876300" y="72399525"/>
              <a:ext cx="2012410" cy="191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𝑟𝑒𝑙𝑙𝑖𝑛𝑡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𝑖𝑛𝑡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CEE42B36-E4D7-4EBF-965A-2181FBF8DB8E}"/>
                </a:ext>
              </a:extLst>
            </xdr:cNvPr>
            <xdr:cNvSpPr txBox="1"/>
          </xdr:nvSpPr>
          <xdr:spPr>
            <a:xfrm>
              <a:off x="876300" y="72399525"/>
              <a:ext cx="2012410" cy="191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𝑟𝑒𝑙𝑙𝑖𝑛𝑡=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𝑟𝑒𝑙𝑙∙𝜋∙𝑟_𝑖𝑛𝑡^2∙𝐻_𝑓𝑢𝑛𝑑=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357</xdr:row>
      <xdr:rowOff>152400</xdr:rowOff>
    </xdr:from>
    <xdr:ext cx="2409506" cy="3552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SpPr txBox="1"/>
          </xdr:nvSpPr>
          <xdr:spPr>
            <a:xfrm>
              <a:off x="876300" y="72761475"/>
              <a:ext cx="2409506" cy="3552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𝐹𝑆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ES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tan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⁡(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𝜙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𝑟𝑒𝑙𝑙𝑖𝑛𝑡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𝑡𝑜𝑡𝑎𝑙</m:t>
                            </m:r>
                          </m:sub>
                        </m:sSub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C3DBB8D6-D224-49B8-9564-5230DEA81C07}"/>
                </a:ext>
              </a:extLst>
            </xdr:cNvPr>
            <xdr:cNvSpPr txBox="1"/>
          </xdr:nvSpPr>
          <xdr:spPr>
            <a:xfrm>
              <a:off x="876300" y="72761475"/>
              <a:ext cx="2409506" cy="3552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L" sz="1100" i="0">
                  <a:latin typeface="Cambria Math" panose="02040503050406030204" pitchFamily="18" charset="0"/>
                </a:rPr>
                <a:t>〖</a:t>
              </a:r>
              <a:r>
                <a:rPr lang="es-ES" sz="1100" b="0" i="0">
                  <a:latin typeface="Cambria Math" panose="02040503050406030204" pitchFamily="18" charset="0"/>
                </a:rPr>
                <a:t>𝐹𝑆</a:t>
              </a:r>
              <a:r>
                <a:rPr lang="es-CL" sz="1100" b="0" i="0">
                  <a:latin typeface="Cambria Math" panose="02040503050406030204" pitchFamily="18" charset="0"/>
                </a:rPr>
                <a:t>〗_</a:t>
              </a:r>
              <a:r>
                <a:rPr lang="es-ES" sz="1100" b="0" i="0">
                  <a:latin typeface="Cambria Math" panose="02040503050406030204" pitchFamily="18" charset="0"/>
                </a:rPr>
                <a:t>𝑑=(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𝜇∙𝑁_𝑣𝑝𝑜𝑠+tan⁡(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𝑟𝑒𝑙𝑙)∙𝑁_𝑟𝑒𝑙𝑙𝑖𝑛𝑡)/</a:t>
              </a:r>
              <a:r>
                <a:rPr lang="es-ES" sz="1100" b="0" i="0">
                  <a:latin typeface="Cambria Math" panose="02040503050406030204" pitchFamily="18" charset="0"/>
                </a:rPr>
                <a:t>𝑄_𝑡𝑜𝑡𝑎𝑙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423862</xdr:colOff>
      <xdr:row>368</xdr:row>
      <xdr:rowOff>23812</xdr:rowOff>
    </xdr:from>
    <xdr:ext cx="2694071" cy="1951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 txBox="1"/>
          </xdr:nvSpPr>
          <xdr:spPr>
            <a:xfrm>
              <a:off x="852487" y="74871262"/>
              <a:ext cx="2694071" cy="1951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𝑛𝑒𝑔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𝐼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𝑂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BDFCD795-6542-43D5-BC6C-ADD5DF463B00}"/>
                </a:ext>
              </a:extLst>
            </xdr:cNvPr>
            <xdr:cNvSpPr txBox="1"/>
          </xdr:nvSpPr>
          <xdr:spPr>
            <a:xfrm>
              <a:off x="852487" y="74871262"/>
              <a:ext cx="2694071" cy="1951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</a:rPr>
                <a:t>𝑛𝑒𝑔</a:t>
              </a:r>
              <a:r>
                <a:rPr lang="es-MX" sz="1100" b="0" i="0">
                  <a:latin typeface="Cambria Math" panose="02040503050406030204" pitchFamily="18" charset="0"/>
                </a:rPr>
                <a:t>=(1</a:t>
              </a:r>
              <a:r>
                <a:rPr lang="es-ES" sz="1100" b="0" i="0">
                  <a:latin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</a:rPr>
                <a:t>𝐼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∙𝐶_𝑣 )</a:t>
              </a:r>
              <a:r>
                <a:rPr lang="es-MX" sz="1100" b="0" i="0">
                  <a:latin typeface="Cambria Math" panose="02040503050406030204" pitchFamily="18" charset="0"/>
                </a:rPr>
                <a:t>(𝑁_𝑂+𝑊_𝑓𝑢𝑛𝑑+𝑊_𝑟𝑒𝑙𝑙 )=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423862</xdr:colOff>
      <xdr:row>370</xdr:row>
      <xdr:rowOff>61912</xdr:rowOff>
    </xdr:from>
    <xdr:ext cx="3370859" cy="4322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 txBox="1"/>
          </xdr:nvSpPr>
          <xdr:spPr>
            <a:xfrm>
              <a:off x="852487" y="64088962"/>
              <a:ext cx="3370859" cy="432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den>
                        </m:f>
                      </m:e>
                    </m:d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−</m:t>
                                        </m:r>
                                        <m:sSub>
                                          <m:sSubPr>
                                            <m:ctrlP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𝐵</m:t>
                                            </m:r>
                                          </m:e>
                                          <m:sub>
                                            <m: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𝑝𝑒𝑑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  <m:sup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4</m:t>
                                </m:r>
                              </m:den>
                            </m:f>
                          </m:e>
                        </m:d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𝑓𝑢𝑛𝑑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3BA4B88C-99C1-4BC6-B3D8-17FECCC172D9}"/>
                </a:ext>
              </a:extLst>
            </xdr:cNvPr>
            <xdr:cNvSpPr txBox="1"/>
          </xdr:nvSpPr>
          <xdr:spPr>
            <a:xfrm>
              <a:off x="852487" y="64088962"/>
              <a:ext cx="3370859" cy="432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𝑄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𝑟𝑒𝑙𝑙=(𝐴_0/2𝑔)[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∙(𝜋∙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(𝐷−𝐵_𝑝𝑒𝑑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2/4)(𝐻_𝑓𝑢𝑛𝑑−𝐷_𝑓 )]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23812</xdr:colOff>
      <xdr:row>374</xdr:row>
      <xdr:rowOff>109537</xdr:rowOff>
    </xdr:from>
    <xdr:ext cx="3574376" cy="3767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 txBox="1"/>
          </xdr:nvSpPr>
          <xdr:spPr>
            <a:xfrm>
              <a:off x="881062" y="65012887"/>
              <a:ext cx="3574376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𝑡𝑜𝑡𝑎𝑙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𝑟𝑤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𝑉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𝑓𝑢𝑛𝑑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D21D182F-3A90-4429-B8AB-EA66D61F0A62}"/>
                </a:ext>
              </a:extLst>
            </xdr:cNvPr>
            <xdr:cNvSpPr txBox="1"/>
          </xdr:nvSpPr>
          <xdr:spPr>
            <a:xfrm>
              <a:off x="881062" y="65012887"/>
              <a:ext cx="3574376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𝑡𝑜𝑡𝑎𝑙=𝑀_𝑟𝑤+𝑉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∙𝐻_𝑓𝑢𝑛𝑑+𝑄_𝑟𝑒𝑙𝑙∙[𝐻_𝑓𝑢𝑛𝑑−(𝐻_𝑓𝑢𝑛𝑑−𝐷_𝑓)/2]=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23812</xdr:colOff>
      <xdr:row>376</xdr:row>
      <xdr:rowOff>138112</xdr:rowOff>
    </xdr:from>
    <xdr:ext cx="1055610" cy="3647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 txBox="1"/>
          </xdr:nvSpPr>
          <xdr:spPr>
            <a:xfrm>
              <a:off x="881062" y="76738162"/>
              <a:ext cx="1055610" cy="364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𝑛𝑒𝑔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𝑡𝑜𝑡𝑎𝑙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𝑛𝑒𝑔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4783125C-39A1-4FF5-825A-53442626989F}"/>
                </a:ext>
              </a:extLst>
            </xdr:cNvPr>
            <xdr:cNvSpPr txBox="1"/>
          </xdr:nvSpPr>
          <xdr:spPr>
            <a:xfrm>
              <a:off x="881062" y="76738162"/>
              <a:ext cx="1055610" cy="364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𝑒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</a:rPr>
                <a:t>𝑛𝑒𝑔</a:t>
              </a:r>
              <a:r>
                <a:rPr lang="es-MX" sz="1100" b="0" i="0">
                  <a:latin typeface="Cambria Math" panose="02040503050406030204" pitchFamily="18" charset="0"/>
                </a:rPr>
                <a:t>=𝑀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𝑡𝑜𝑡𝑎𝑙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</a:rPr>
                <a:t>𝑛𝑒𝑔</a:t>
              </a:r>
              <a:r>
                <a:rPr lang="es-MX" sz="1100" b="0" i="0">
                  <a:latin typeface="Cambria Math" panose="02040503050406030204" pitchFamily="18" charset="0"/>
                </a:rPr>
                <a:t>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379</xdr:row>
      <xdr:rowOff>171450</xdr:rowOff>
    </xdr:from>
    <xdr:ext cx="498791" cy="3234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00000000-0008-0000-0100-000035000000}"/>
                </a:ext>
              </a:extLst>
            </xdr:cNvPr>
            <xdr:cNvSpPr txBox="1"/>
          </xdr:nvSpPr>
          <xdr:spPr>
            <a:xfrm>
              <a:off x="861391" y="77075472"/>
              <a:ext cx="498791" cy="3234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𝑛𝑒𝑔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𝑒𝑥𝑡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25DA9154-D4B7-4463-B3D0-D7DCD1B9895C}"/>
                </a:ext>
              </a:extLst>
            </xdr:cNvPr>
            <xdr:cNvSpPr txBox="1"/>
          </xdr:nvSpPr>
          <xdr:spPr>
            <a:xfrm>
              <a:off x="861391" y="77075472"/>
              <a:ext cx="498791" cy="3234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𝑒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</a:rPr>
                <a:t>𝑛𝑒𝑔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𝑒𝑥𝑡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382</xdr:row>
      <xdr:rowOff>171450</xdr:rowOff>
    </xdr:from>
    <xdr:ext cx="398635" cy="3184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00000000-0008-0000-0100-000036000000}"/>
                </a:ext>
              </a:extLst>
            </xdr:cNvPr>
            <xdr:cNvSpPr txBox="1"/>
          </xdr:nvSpPr>
          <xdr:spPr>
            <a:xfrm>
              <a:off x="857250" y="66751200"/>
              <a:ext cx="398635" cy="3184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𝑖𝑛𝑡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𝑒𝑥𝑡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44902FAB-1089-4B05-88D2-8107E1127B4F}"/>
                </a:ext>
              </a:extLst>
            </xdr:cNvPr>
            <xdr:cNvSpPr txBox="1"/>
          </xdr:nvSpPr>
          <xdr:spPr>
            <a:xfrm>
              <a:off x="857250" y="66751200"/>
              <a:ext cx="398635" cy="3184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𝑖𝑛𝑡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𝑒𝑥𝑡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12</xdr:col>
      <xdr:colOff>476250</xdr:colOff>
      <xdr:row>387</xdr:row>
      <xdr:rowOff>9526</xdr:rowOff>
    </xdr:from>
    <xdr:ext cx="2495550" cy="2182182"/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0" y="67589401"/>
          <a:ext cx="2495550" cy="21821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80962</xdr:colOff>
      <xdr:row>389</xdr:row>
      <xdr:rowOff>14287</xdr:rowOff>
    </xdr:from>
    <xdr:ext cx="1481495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00000000-0008-0000-0100-000038000000}"/>
                </a:ext>
              </a:extLst>
            </xdr:cNvPr>
            <xdr:cNvSpPr txBox="1"/>
          </xdr:nvSpPr>
          <xdr:spPr>
            <a:xfrm>
              <a:off x="938212" y="67994212"/>
              <a:ext cx="1481495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𝑒𝑥𝑡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𝑖𝑛𝑡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0A3B546A-2288-49D0-81E4-E9E92AB23F1E}"/>
                </a:ext>
              </a:extLst>
            </xdr:cNvPr>
            <xdr:cNvSpPr txBox="1"/>
          </xdr:nvSpPr>
          <xdr:spPr>
            <a:xfrm>
              <a:off x="938212" y="67994212"/>
              <a:ext cx="1481495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𝑓𝑢𝑛𝑑=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𝜋∙(𝑟_𝑒𝑥𝑡^2−𝑟_𝑖𝑛𝑡^2 )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42862</xdr:colOff>
      <xdr:row>396</xdr:row>
      <xdr:rowOff>138112</xdr:rowOff>
    </xdr:from>
    <xdr:ext cx="767646" cy="3688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00000000-0008-0000-0100-000039000000}"/>
                </a:ext>
              </a:extLst>
            </xdr:cNvPr>
            <xdr:cNvSpPr txBox="1"/>
          </xdr:nvSpPr>
          <xdr:spPr>
            <a:xfrm>
              <a:off x="900112" y="69584887"/>
              <a:ext cx="767646" cy="368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B03CD874-9EDC-454F-8C24-88F6040E5BB0}"/>
                </a:ext>
              </a:extLst>
            </xdr:cNvPr>
            <xdr:cNvSpPr txBox="1"/>
          </xdr:nvSpPr>
          <xdr:spPr>
            <a:xfrm>
              <a:off x="900112" y="69584887"/>
              <a:ext cx="767646" cy="368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MX" sz="1100" b="0" i="0">
                  <a:latin typeface="Cambria Math" panose="02040503050406030204" pitchFamily="18" charset="0"/>
                </a:rPr>
                <a:t>𝐶</a:t>
              </a:r>
              <a:r>
                <a:rPr lang="es-ES" sz="1100" b="0" i="0">
                  <a:latin typeface="Cambria Math" panose="02040503050406030204" pitchFamily="18" charset="0"/>
                </a:rPr>
                <a:t>2</a:t>
              </a:r>
              <a:r>
                <a:rPr lang="es-MX" sz="1100" b="0" i="0">
                  <a:latin typeface="Cambria Math" panose="02040503050406030204" pitchFamily="18" charset="0"/>
                </a:rPr>
                <a:t>=𝑁_𝑣𝑝𝑜𝑠/𝐴_𝑓𝑢𝑛𝑑 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399</xdr:row>
      <xdr:rowOff>19050</xdr:rowOff>
    </xdr:from>
    <xdr:ext cx="1134413" cy="1752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00000000-0008-0000-0100-00003A000000}"/>
                </a:ext>
              </a:extLst>
            </xdr:cNvPr>
            <xdr:cNvSpPr txBox="1"/>
          </xdr:nvSpPr>
          <xdr:spPr>
            <a:xfrm>
              <a:off x="876300" y="70094475"/>
              <a:ext cx="1134413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max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⁡_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b>
                    </m:sSub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L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ABAC639C-A1BD-4E86-AC5A-590C89DF67CD}"/>
                </a:ext>
              </a:extLst>
            </xdr:cNvPr>
            <xdr:cNvSpPr txBox="1"/>
          </xdr:nvSpPr>
          <xdr:spPr>
            <a:xfrm>
              <a:off x="876300" y="70094475"/>
              <a:ext cx="1134413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max⁡_𝑐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MX" sz="1100" b="0" i="0">
                  <a:latin typeface="Cambria Math" panose="02040503050406030204" pitchFamily="18" charset="0"/>
                </a:rPr>
                <a:t>𝐶</a:t>
              </a:r>
              <a:r>
                <a:rPr lang="es-ES" sz="1100" b="0" i="0">
                  <a:latin typeface="Cambria Math" panose="02040503050406030204" pitchFamily="18" charset="0"/>
                </a:rPr>
                <a:t>2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𝑣2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409</xdr:row>
      <xdr:rowOff>152400</xdr:rowOff>
    </xdr:from>
    <xdr:ext cx="2424510" cy="3559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00000000-0008-0000-0100-00003C000000}"/>
                </a:ext>
              </a:extLst>
            </xdr:cNvPr>
            <xdr:cNvSpPr txBox="1"/>
          </xdr:nvSpPr>
          <xdr:spPr>
            <a:xfrm>
              <a:off x="880441" y="83276661"/>
              <a:ext cx="2424510" cy="3559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𝐹𝑆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𝑣𝑛𝑒𝑔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ES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tan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⁡(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𝜙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𝑟𝑒𝑙𝑙𝑖𝑛𝑡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𝑡𝑜𝑡𝑎𝑙</m:t>
                            </m:r>
                          </m:sub>
                        </m:sSub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E900693E-9FA3-4EC3-A050-1465615AFCFD}"/>
                </a:ext>
              </a:extLst>
            </xdr:cNvPr>
            <xdr:cNvSpPr txBox="1"/>
          </xdr:nvSpPr>
          <xdr:spPr>
            <a:xfrm>
              <a:off x="880441" y="83276661"/>
              <a:ext cx="2424510" cy="3559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L" sz="1100" i="0">
                  <a:latin typeface="Cambria Math" panose="02040503050406030204" pitchFamily="18" charset="0"/>
                </a:rPr>
                <a:t>〖</a:t>
              </a:r>
              <a:r>
                <a:rPr lang="es-ES" sz="1100" b="0" i="0">
                  <a:latin typeface="Cambria Math" panose="02040503050406030204" pitchFamily="18" charset="0"/>
                </a:rPr>
                <a:t>𝐹𝑆</a:t>
              </a:r>
              <a:r>
                <a:rPr lang="es-CL" sz="1100" b="0" i="0">
                  <a:latin typeface="Cambria Math" panose="02040503050406030204" pitchFamily="18" charset="0"/>
                </a:rPr>
                <a:t>〗_</a:t>
              </a:r>
              <a:r>
                <a:rPr lang="es-ES" sz="1100" b="0" i="0">
                  <a:latin typeface="Cambria Math" panose="02040503050406030204" pitchFamily="18" charset="0"/>
                </a:rPr>
                <a:t>𝑑=(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𝜇∙𝑁_𝑣𝑛𝑒𝑔+tan⁡(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𝑟𝑒𝑙𝑙)∙𝑁_𝑟𝑒𝑙𝑙𝑖𝑛𝑡)/</a:t>
              </a:r>
              <a:r>
                <a:rPr lang="es-ES" sz="1100" b="0" i="0">
                  <a:latin typeface="Cambria Math" panose="02040503050406030204" pitchFamily="18" charset="0"/>
                </a:rPr>
                <a:t>𝑄_𝑡𝑜𝑡𝑎𝑙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405</xdr:row>
      <xdr:rowOff>46384</xdr:rowOff>
    </xdr:from>
    <xdr:ext cx="1877502" cy="1902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SpPr txBox="1"/>
          </xdr:nvSpPr>
          <xdr:spPr>
            <a:xfrm>
              <a:off x="880441" y="84131427"/>
              <a:ext cx="1877502" cy="190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𝑑𝑖𝑠</m:t>
                        </m:r>
                      </m:sub>
                    </m:sSub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𝑀𝑎𝑥</m:t>
                    </m:r>
                    <m:d>
                      <m:dPr>
                        <m:begChr m:val="{"/>
                        <m:endChr m:val="}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C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C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E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max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_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, </m:t>
                        </m:r>
                        <m:sSub>
                          <m:sSubPr>
                            <m:ctrlPr>
                              <a:rPr lang="es-C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C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E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max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_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1989460F-8334-4EF3-A00B-467097BFB7A6}"/>
                </a:ext>
              </a:extLst>
            </xdr:cNvPr>
            <xdr:cNvSpPr txBox="1"/>
          </xdr:nvSpPr>
          <xdr:spPr>
            <a:xfrm>
              <a:off x="880441" y="84131427"/>
              <a:ext cx="1877502" cy="190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𝑑𝑖𝑠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𝑀𝑎𝑥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</a:t>
              </a:r>
              <a:r>
                <a:rPr lang="es-CL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max_𝑐1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, </a:t>
              </a:r>
              <a:r>
                <a:rPr lang="es-CL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max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𝑐1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}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292376</xdr:colOff>
      <xdr:row>425</xdr:row>
      <xdr:rowOff>23192</xdr:rowOff>
    </xdr:from>
    <xdr:ext cx="0" cy="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00000000-0008-0000-0100-00001E000000}"/>
                </a:ext>
              </a:extLst>
            </xdr:cNvPr>
            <xdr:cNvSpPr txBox="1"/>
          </xdr:nvSpPr>
          <xdr:spPr>
            <a:xfrm>
              <a:off x="1153767" y="86294844"/>
              <a:ext cx="0" cy="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endParaRPr lang="es-CL" sz="1100"/>
            </a:p>
          </xdr:txBody>
        </xdr:sp>
      </mc:Choice>
      <mc:Fallback xmlns="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085326E9-BA6B-46CD-9F2F-AB750CC20CE4}"/>
                </a:ext>
              </a:extLst>
            </xdr:cNvPr>
            <xdr:cNvSpPr txBox="1"/>
          </xdr:nvSpPr>
          <xdr:spPr>
            <a:xfrm>
              <a:off x="1153767" y="86294844"/>
              <a:ext cx="0" cy="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 xmlns:a14="http://schemas.microsoft.com/office/drawing/2010/main"/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101876</xdr:colOff>
      <xdr:row>422</xdr:row>
      <xdr:rowOff>163999</xdr:rowOff>
    </xdr:from>
    <xdr:ext cx="2346220" cy="7631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>
              <a:off x="532572" y="85839303"/>
              <a:ext cx="2346220" cy="7631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𝑝𝑎</m:t>
                        </m:r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_</m:t>
                        </m:r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𝑚𝑖𝑛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{"/>
                        <m:endChr m:val=""/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eqArrPr>
                          <m:e>
                            <m:f>
                              <m:f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𝑝𝑒𝑟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1.8</m:t>
                                </m:r>
                              </m:den>
                            </m:f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,  </m:t>
                            </m:r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𝑝𝑒𝑟</m:t>
                                </m:r>
                              </m:sub>
                            </m:s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&lt;15[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]</m:t>
                            </m:r>
                          </m:e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&amp;</m:t>
                            </m:r>
                            <m:f>
                              <m:f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𝑝𝑒𝑟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3.0</m:t>
                                </m:r>
                              </m:den>
                            </m:f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,  </m:t>
                            </m:r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𝑝𝑒𝑟</m:t>
                                </m:r>
                              </m:sub>
                            </m:s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≥15[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]</m:t>
                            </m:r>
                          </m:e>
                        </m:eqArr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7BD615EA-CD7F-49E8-9B7A-EF44D148AAA8}"/>
                </a:ext>
              </a:extLst>
            </xdr:cNvPr>
            <xdr:cNvSpPr txBox="1"/>
          </xdr:nvSpPr>
          <xdr:spPr>
            <a:xfrm>
              <a:off x="532572" y="85839303"/>
              <a:ext cx="2346220" cy="7631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𝑛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𝑝𝑎_𝑚𝑖𝑛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={█((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𝜋∙𝐷_𝑝𝑒𝑟)/</a:t>
              </a:r>
              <a:r>
                <a:rPr lang="es-ES" sz="1100" b="0" i="0">
                  <a:latin typeface="Cambria Math" panose="02040503050406030204" pitchFamily="18" charset="0"/>
                </a:rPr>
                <a:t>1.8,  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𝐷_𝑝𝑒𝑟</a:t>
              </a:r>
              <a:r>
                <a:rPr lang="es-ES" sz="1100" b="0" i="0">
                  <a:latin typeface="Cambria Math" panose="02040503050406030204" pitchFamily="18" charset="0"/>
                </a:rPr>
                <a:t>&lt;15[𝑚]@&amp;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(𝜋∙𝐷_𝑝𝑒𝑟)/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3.0</a:t>
              </a:r>
              <a:r>
                <a:rPr lang="es-ES" sz="1100" b="0" i="0">
                  <a:latin typeface="Cambria Math" panose="02040503050406030204" pitchFamily="18" charset="0"/>
                </a:rPr>
                <a:t>,  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𝐷_𝑝𝑒𝑟</a:t>
              </a:r>
              <a:r>
                <a:rPr lang="es-ES" sz="1100" b="0" i="0">
                  <a:latin typeface="Cambria Math" panose="02040503050406030204" pitchFamily="18" charset="0"/>
                </a:rPr>
                <a:t>≥15[𝑚])┤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68741</xdr:colOff>
      <xdr:row>443</xdr:row>
      <xdr:rowOff>14912</xdr:rowOff>
    </xdr:from>
    <xdr:ext cx="1502654" cy="4862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00000000-0008-0000-0100-00003B000000}"/>
                </a:ext>
              </a:extLst>
            </xdr:cNvPr>
            <xdr:cNvSpPr txBox="1"/>
          </xdr:nvSpPr>
          <xdr:spPr>
            <a:xfrm>
              <a:off x="930132" y="90195955"/>
              <a:ext cx="1502654" cy="4862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𝑝𝑎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𝑀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𝑟𝑤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𝜋</m:t>
                                </m:r>
                                <m:sSup>
                                  <m:sSup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𝐷</m:t>
                                    </m:r>
                                  </m:e>
                                  <m:sup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den>
                            </m:f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</m:e>
                        </m:d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𝑝𝑎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F59D4D8C-8D2B-45BB-9D83-8E0C54BFADB5}"/>
                </a:ext>
              </a:extLst>
            </xdr:cNvPr>
            <xdr:cNvSpPr txBox="1"/>
          </xdr:nvSpPr>
          <xdr:spPr>
            <a:xfrm>
              <a:off x="930132" y="90195955"/>
              <a:ext cx="1502654" cy="4862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𝑇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𝑝𝑎=(((4𝑀_𝑟𝑤)/(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𝜋𝐷^2 )</a:t>
              </a:r>
              <a:r>
                <a:rPr lang="es-ES" sz="1100" b="0" i="0">
                  <a:latin typeface="Cambria Math" panose="02040503050406030204" pitchFamily="18" charset="0"/>
                </a:rPr>
                <a:t>−𝑤_𝑡 )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∙𝜋𝐷)/</a:t>
              </a:r>
              <a:r>
                <a:rPr lang="es-ES" sz="1100" b="0" i="0">
                  <a:latin typeface="Cambria Math" panose="02040503050406030204" pitchFamily="18" charset="0"/>
                </a:rPr>
                <a:t>𝑛_𝑝𝑎 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412474</xdr:colOff>
      <xdr:row>456</xdr:row>
      <xdr:rowOff>72886</xdr:rowOff>
    </xdr:from>
    <xdr:ext cx="1746825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SpPr txBox="1"/>
          </xdr:nvSpPr>
          <xdr:spPr>
            <a:xfrm>
              <a:off x="843170" y="89177190"/>
              <a:ext cx="174682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4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𝑝𝑎</m:t>
                                </m:r>
                              </m:sub>
                            </m:s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0.9743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3B4C7487-DD37-42B4-8F12-0A94719079C5}"/>
                </a:ext>
              </a:extLst>
            </xdr:cNvPr>
            <xdr:cNvSpPr txBox="1"/>
          </xdr:nvSpPr>
          <xdr:spPr>
            <a:xfrm>
              <a:off x="843170" y="89177190"/>
              <a:ext cx="174682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𝑠𝑒_𝑁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𝜋/</a:t>
              </a:r>
              <a:r>
                <a:rPr lang="es-ES" sz="1100" b="0" i="0">
                  <a:latin typeface="Cambria Math" panose="02040503050406030204" pitchFamily="18" charset="0"/>
                </a:rPr>
                <a:t>4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(𝑑_𝑝𝑎−0.9743/𝑛_𝑡 )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412474</xdr:colOff>
      <xdr:row>480</xdr:row>
      <xdr:rowOff>72886</xdr:rowOff>
    </xdr:from>
    <xdr:ext cx="1746825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00000000-0008-0000-0100-00003F000000}"/>
                </a:ext>
              </a:extLst>
            </xdr:cNvPr>
            <xdr:cNvSpPr txBox="1"/>
          </xdr:nvSpPr>
          <xdr:spPr>
            <a:xfrm>
              <a:off x="843170" y="89177190"/>
              <a:ext cx="174682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4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𝑝𝑎</m:t>
                                </m:r>
                              </m:sub>
                            </m:s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0.9743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A7335B34-FF19-4F93-AD74-2C64A33BD6A1}"/>
                </a:ext>
              </a:extLst>
            </xdr:cNvPr>
            <xdr:cNvSpPr txBox="1"/>
          </xdr:nvSpPr>
          <xdr:spPr>
            <a:xfrm>
              <a:off x="843170" y="89177190"/>
              <a:ext cx="174682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𝑠𝑒_𝑉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𝜋/</a:t>
              </a:r>
              <a:r>
                <a:rPr lang="es-ES" sz="1100" b="0" i="0">
                  <a:latin typeface="Cambria Math" panose="02040503050406030204" pitchFamily="18" charset="0"/>
                </a:rPr>
                <a:t>4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(𝑑_𝑝𝑎−0.9743/𝑛_𝑡 )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</xdr:col>
      <xdr:colOff>339588</xdr:colOff>
      <xdr:row>507</xdr:row>
      <xdr:rowOff>147734</xdr:rowOff>
    </xdr:from>
    <xdr:to>
      <xdr:col>5</xdr:col>
      <xdr:colOff>546652</xdr:colOff>
      <xdr:row>516</xdr:row>
      <xdr:rowOff>54664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0284" y="99472777"/>
          <a:ext cx="2377107" cy="1770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213689</xdr:colOff>
      <xdr:row>553</xdr:row>
      <xdr:rowOff>139151</xdr:rowOff>
    </xdr:from>
    <xdr:ext cx="1951432" cy="3819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CuadroTexto 67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:cNvPr>
            <xdr:cNvSpPr txBox="1"/>
          </xdr:nvSpPr>
          <xdr:spPr>
            <a:xfrm>
              <a:off x="644385" y="108914651"/>
              <a:ext cx="1951432" cy="381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s-ES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𝑓𝑙𝑒𝑥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_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0.9∙</m:t>
                            </m:r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𝑝𝑒𝑑</m:t>
                                </m:r>
                              </m:sub>
                            </m:sSub>
                          </m:e>
                        </m:d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𝑦𝑏</m:t>
                            </m:r>
                          </m:sub>
                        </m:sSub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8" name="CuadroTexto 67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:cNvPr>
            <xdr:cNvSpPr txBox="1"/>
          </xdr:nvSpPr>
          <xdr:spPr>
            <a:xfrm>
              <a:off x="644385" y="108914651"/>
              <a:ext cx="1951432" cy="381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"a" 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𝑠_𝑓𝑙𝑒𝑥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=𝑀_(𝑢_𝑝𝑒𝑑)/(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𝜙∙(0.9∙𝑑_𝑝𝑒𝑑 )∙𝑓_𝑦𝑏 )</a:t>
              </a:r>
              <a:r>
                <a:rPr lang="es-ES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578</xdr:row>
      <xdr:rowOff>173937</xdr:rowOff>
    </xdr:from>
    <xdr:ext cx="1039387" cy="5058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9" name="CuadroTexto 68">
              <a:extLst>
                <a:ext uri="{FF2B5EF4-FFF2-40B4-BE49-F238E27FC236}">
                  <a16:creationId xmlns:a16="http://schemas.microsoft.com/office/drawing/2014/main" id="{00000000-0008-0000-0100-000045000000}"/>
                </a:ext>
              </a:extLst>
            </xdr:cNvPr>
            <xdr:cNvSpPr txBox="1"/>
          </xdr:nvSpPr>
          <xdr:spPr>
            <a:xfrm>
              <a:off x="861391" y="114084654"/>
              <a:ext cx="1039387" cy="5058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s-ES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𝑡𝑟𝑎𝑐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𝑝𝑎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𝑐𝑎𝑝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𝑦𝑏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9" name="CuadroTexto 68">
              <a:extLst>
                <a:ext uri="{FF2B5EF4-FFF2-40B4-BE49-F238E27FC236}">
                  <a16:creationId xmlns:a16="http://schemas.microsoft.com/office/drawing/2014/main" id="{719AD9FC-8E44-45B0-98FD-1D78A1E95AC3}"/>
                </a:ext>
              </a:extLst>
            </xdr:cNvPr>
            <xdr:cNvSpPr txBox="1"/>
          </xdr:nvSpPr>
          <xdr:spPr>
            <a:xfrm>
              <a:off x="861391" y="114084654"/>
              <a:ext cx="1039387" cy="5058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"a</a:t>
              </a:r>
              <a:r>
                <a:rPr lang="es-CL" sz="1100" b="0" i="0">
                  <a:latin typeface="Cambria Math" panose="02040503050406030204" pitchFamily="18" charset="0"/>
                </a:rPr>
                <a:t>" _(</a:t>
              </a:r>
              <a:r>
                <a:rPr lang="es-ES" sz="1100" b="0" i="0">
                  <a:latin typeface="Cambria Math" panose="02040503050406030204" pitchFamily="18" charset="0"/>
                </a:rPr>
                <a:t>𝑠_𝑡𝑟𝑎𝑐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=(𝑇_(𝑝𝑎_𝑐𝑎𝑝)/2)/(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𝜙∙𝑓_𝑦𝑏 )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8</xdr:col>
      <xdr:colOff>16566</xdr:colOff>
      <xdr:row>600</xdr:row>
      <xdr:rowOff>223631</xdr:rowOff>
    </xdr:from>
    <xdr:to>
      <xdr:col>11</xdr:col>
      <xdr:colOff>74545</xdr:colOff>
      <xdr:row>606</xdr:row>
      <xdr:rowOff>34623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0696" y="118491001"/>
          <a:ext cx="1441174" cy="995405"/>
        </a:xfrm>
        <a:prstGeom prst="rect">
          <a:avLst/>
        </a:prstGeom>
      </xdr:spPr>
    </xdr:pic>
    <xdr:clientData/>
  </xdr:twoCellAnchor>
  <xdr:oneCellAnchor>
    <xdr:from>
      <xdr:col>2</xdr:col>
      <xdr:colOff>6627</xdr:colOff>
      <xdr:row>603</xdr:row>
      <xdr:rowOff>110158</xdr:rowOff>
    </xdr:from>
    <xdr:ext cx="1838452" cy="3550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SpPr txBox="1"/>
          </xdr:nvSpPr>
          <xdr:spPr>
            <a:xfrm>
              <a:off x="868018" y="118990441"/>
              <a:ext cx="1838452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=1.6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𝑙𝑖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𝑞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𝑟𝑒𝑙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𝑙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</m:sub>
                            </m:sSub>
                          </m:e>
                        </m:d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F954F008-1DDF-4E7D-BE77-7141561DF144}"/>
                </a:ext>
              </a:extLst>
            </xdr:cNvPr>
            <xdr:cNvSpPr txBox="1"/>
          </xdr:nvSpPr>
          <xdr:spPr>
            <a:xfrm>
              <a:off x="868018" y="118990441"/>
              <a:ext cx="1838452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𝑇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𝑢=1.6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∙((𝑃_(𝑙𝑖𝑞_𝑖 )+𝑃_(𝑟𝑒𝑙𝑙_𝑖 ) )∙𝐷)/2=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8</xdr:col>
      <xdr:colOff>364436</xdr:colOff>
      <xdr:row>627</xdr:row>
      <xdr:rowOff>99391</xdr:rowOff>
    </xdr:from>
    <xdr:to>
      <xdr:col>12</xdr:col>
      <xdr:colOff>542385</xdr:colOff>
      <xdr:row>636</xdr:row>
      <xdr:rowOff>49695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8566" y="123758739"/>
          <a:ext cx="2049818" cy="1838739"/>
        </a:xfrm>
        <a:prstGeom prst="rect">
          <a:avLst/>
        </a:prstGeom>
      </xdr:spPr>
    </xdr:pic>
    <xdr:clientData/>
  </xdr:twoCellAnchor>
  <xdr:oneCellAnchor>
    <xdr:from>
      <xdr:col>2</xdr:col>
      <xdr:colOff>52181</xdr:colOff>
      <xdr:row>636</xdr:row>
      <xdr:rowOff>77028</xdr:rowOff>
    </xdr:from>
    <xdr:ext cx="1317477" cy="3674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CuadroTexto 63">
              <a:extLst>
                <a:ext uri="{FF2B5EF4-FFF2-40B4-BE49-F238E27FC236}">
                  <a16:creationId xmlns:a16="http://schemas.microsoft.com/office/drawing/2014/main" id="{00000000-0008-0000-0100-000040000000}"/>
                </a:ext>
              </a:extLst>
            </xdr:cNvPr>
            <xdr:cNvSpPr txBox="1"/>
          </xdr:nvSpPr>
          <xdr:spPr>
            <a:xfrm>
              <a:off x="913572" y="125583398"/>
              <a:ext cx="1317477" cy="3674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ad>
                          <m:radPr>
                            <m:degHide m:val="on"/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e>
                        </m:rad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6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𝑝𝑒𝑑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𝑠𝑖𝑠</m:t>
                        </m:r>
                      </m:sub>
                    </m:sSub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4" name="CuadroTexto 63">
              <a:extLst>
                <a:ext uri="{FF2B5EF4-FFF2-40B4-BE49-F238E27FC236}">
                  <a16:creationId xmlns:a16="http://schemas.microsoft.com/office/drawing/2014/main" id="{C09A46C1-DDD4-44F0-B2F2-B579BA899465}"/>
                </a:ext>
              </a:extLst>
            </xdr:cNvPr>
            <xdr:cNvSpPr txBox="1"/>
          </xdr:nvSpPr>
          <xdr:spPr>
            <a:xfrm>
              <a:off x="913572" y="125583398"/>
              <a:ext cx="1317477" cy="3674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𝑐=√(〖𝑓′〗_𝑐 )/6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∙𝐵_𝑝𝑒𝑑∙𝐿_𝑠𝑖𝑠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52181</xdr:colOff>
      <xdr:row>642</xdr:row>
      <xdr:rowOff>118441</xdr:rowOff>
    </xdr:from>
    <xdr:ext cx="1251240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CuadroTexto 72">
              <a:extLst>
                <a:ext uri="{FF2B5EF4-FFF2-40B4-BE49-F238E27FC236}">
                  <a16:creationId xmlns:a16="http://schemas.microsoft.com/office/drawing/2014/main" id="{00000000-0008-0000-0100-000049000000}"/>
                </a:ext>
              </a:extLst>
            </xdr:cNvPr>
            <xdr:cNvSpPr txBox="1"/>
          </xdr:nvSpPr>
          <xdr:spPr>
            <a:xfrm>
              <a:off x="913572" y="126974876"/>
              <a:ext cx="125124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sub>
                            </m:s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𝑦𝑏</m:t>
                                </m:r>
                              </m:sub>
                            </m:s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𝑠𝑖𝑠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h</m:t>
                                </m:r>
                              </m:sub>
                            </m:sSub>
                          </m:den>
                        </m:f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3" name="CuadroTexto 72">
              <a:extLst>
                <a:ext uri="{FF2B5EF4-FFF2-40B4-BE49-F238E27FC236}">
                  <a16:creationId xmlns:a16="http://schemas.microsoft.com/office/drawing/2014/main" id="{0B529A71-E8E2-487E-8BD3-5C24982BC1A1}"/>
                </a:ext>
              </a:extLst>
            </xdr:cNvPr>
            <xdr:cNvSpPr txBox="1"/>
          </xdr:nvSpPr>
          <xdr:spPr>
            <a:xfrm>
              <a:off x="913572" y="126974876"/>
              <a:ext cx="125124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𝑠=((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𝑦𝑏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𝐿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𝑠𝑖𝑠)/</a:t>
              </a:r>
              <a:r>
                <a:rPr lang="es-ES" sz="1100" b="0" i="0">
                  <a:latin typeface="Cambria Math" panose="02040503050406030204" pitchFamily="18" charset="0"/>
                </a:rPr>
                <a:t>𝑠_ℎ 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5</xdr:col>
      <xdr:colOff>217833</xdr:colOff>
      <xdr:row>646</xdr:row>
      <xdr:rowOff>184703</xdr:rowOff>
    </xdr:from>
    <xdr:ext cx="18601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CuadroTexto 73">
              <a:extLst>
                <a:ext uri="{FF2B5EF4-FFF2-40B4-BE49-F238E27FC236}">
                  <a16:creationId xmlns:a16="http://schemas.microsoft.com/office/drawing/2014/main" id="{00000000-0008-0000-0100-00004A000000}"/>
                </a:ext>
              </a:extLst>
            </xdr:cNvPr>
            <xdr:cNvSpPr txBox="1"/>
          </xdr:nvSpPr>
          <xdr:spPr>
            <a:xfrm>
              <a:off x="2818572" y="127844551"/>
              <a:ext cx="186018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begChr m:val="["/>
                        <m:endChr m:val="]"/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+(1−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𝐹𝑈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𝑡𝑎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4" name="CuadroTexto 73">
              <a:extLst>
                <a:ext uri="{FF2B5EF4-FFF2-40B4-BE49-F238E27FC236}">
                  <a16:creationId xmlns:a16="http://schemas.microsoft.com/office/drawing/2014/main" id="{C28E93BD-A782-4763-AFCD-064821833793}"/>
                </a:ext>
              </a:extLst>
            </xdr:cNvPr>
            <xdr:cNvSpPr txBox="1"/>
          </xdr:nvSpPr>
          <xdr:spPr>
            <a:xfrm>
              <a:off x="2818572" y="127844551"/>
              <a:ext cx="186018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𝑢&lt;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𝜙_</a:t>
              </a:r>
              <a:r>
                <a:rPr lang="es-ES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∙[𝑉_𝑐+(1−〖𝐹𝑈〗_𝑡𝑎)∙𝑉_𝑠 ]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0</xdr:col>
      <xdr:colOff>372718</xdr:colOff>
      <xdr:row>654</xdr:row>
      <xdr:rowOff>116312</xdr:rowOff>
    </xdr:from>
    <xdr:to>
      <xdr:col>5</xdr:col>
      <xdr:colOff>555228</xdr:colOff>
      <xdr:row>665</xdr:row>
      <xdr:rowOff>66260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718" y="129300160"/>
          <a:ext cx="2783249" cy="2045448"/>
        </a:xfrm>
        <a:prstGeom prst="rect">
          <a:avLst/>
        </a:prstGeom>
      </xdr:spPr>
    </xdr:pic>
    <xdr:clientData/>
  </xdr:twoCellAnchor>
  <xdr:twoCellAnchor editAs="oneCell">
    <xdr:from>
      <xdr:col>6</xdr:col>
      <xdr:colOff>157370</xdr:colOff>
      <xdr:row>658</xdr:row>
      <xdr:rowOff>25947</xdr:rowOff>
    </xdr:from>
    <xdr:to>
      <xdr:col>10</xdr:col>
      <xdr:colOff>16565</xdr:colOff>
      <xdr:row>663</xdr:row>
      <xdr:rowOff>38740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95870" y="129971795"/>
          <a:ext cx="1896717" cy="965293"/>
        </a:xfrm>
        <a:prstGeom prst="rect">
          <a:avLst/>
        </a:prstGeom>
      </xdr:spPr>
    </xdr:pic>
    <xdr:clientData/>
  </xdr:twoCellAnchor>
  <xdr:oneCellAnchor>
    <xdr:from>
      <xdr:col>1</xdr:col>
      <xdr:colOff>27332</xdr:colOff>
      <xdr:row>674</xdr:row>
      <xdr:rowOff>85310</xdr:rowOff>
    </xdr:from>
    <xdr:ext cx="1263616" cy="3428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CuadroTexto 79">
              <a:extLst>
                <a:ext uri="{FF2B5EF4-FFF2-40B4-BE49-F238E27FC236}">
                  <a16:creationId xmlns:a16="http://schemas.microsoft.com/office/drawing/2014/main" id="{00000000-0008-0000-0100-000050000000}"/>
                </a:ext>
              </a:extLst>
            </xdr:cNvPr>
            <xdr:cNvSpPr txBox="1"/>
          </xdr:nvSpPr>
          <xdr:spPr>
            <a:xfrm>
              <a:off x="458028" y="132996332"/>
              <a:ext cx="1263616" cy="342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𝑑𝑖𝑠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𝑧𝑎𝑝</m:t>
                            </m:r>
                          </m:sub>
                          <m:sup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80" name="CuadroTexto 79">
              <a:extLst>
                <a:ext uri="{FF2B5EF4-FFF2-40B4-BE49-F238E27FC236}">
                  <a16:creationId xmlns:a16="http://schemas.microsoft.com/office/drawing/2014/main" id="{E53E2214-EEB0-4E81-8B70-9FFF214A8FE0}"/>
                </a:ext>
              </a:extLst>
            </xdr:cNvPr>
            <xdr:cNvSpPr txBox="1"/>
          </xdr:nvSpPr>
          <xdr:spPr>
            <a:xfrm>
              <a:off x="458028" y="132996332"/>
              <a:ext cx="1263616" cy="342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𝑧𝑎𝑝=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ES" sz="1100" b="0" i="0">
                  <a:latin typeface="Cambria Math" panose="02040503050406030204" pitchFamily="18" charset="0"/>
                </a:rPr>
                <a:t>𝑑𝑖𝑠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∙(𝐿_𝑧𝑎𝑝^2)/2=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0</xdr:col>
      <xdr:colOff>77029</xdr:colOff>
      <xdr:row>684</xdr:row>
      <xdr:rowOff>118445</xdr:rowOff>
    </xdr:from>
    <xdr:ext cx="2076450" cy="3819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CuadroTexto 80">
              <a:extLst>
                <a:ext uri="{FF2B5EF4-FFF2-40B4-BE49-F238E27FC236}">
                  <a16:creationId xmlns:a16="http://schemas.microsoft.com/office/drawing/2014/main" id="{00000000-0008-0000-0100-000051000000}"/>
                </a:ext>
              </a:extLst>
            </xdr:cNvPr>
            <xdr:cNvSpPr txBox="1"/>
          </xdr:nvSpPr>
          <xdr:spPr>
            <a:xfrm>
              <a:off x="77029" y="135290619"/>
              <a:ext cx="2076450" cy="381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_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𝑧𝑎𝑝</m:t>
                            </m:r>
                          </m:sub>
                        </m:sSub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0.9∙</m:t>
                            </m:r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𝑧𝑎𝑝</m:t>
                                </m:r>
                              </m:sub>
                            </m:sSub>
                          </m:e>
                        </m:d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𝑦𝑏</m:t>
                            </m:r>
                          </m:sub>
                        </m:sSub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81" name="CuadroTexto 80">
              <a:extLst>
                <a:ext uri="{FF2B5EF4-FFF2-40B4-BE49-F238E27FC236}">
                  <a16:creationId xmlns:a16="http://schemas.microsoft.com/office/drawing/2014/main" id="{333C9152-EBBB-4470-9E46-E9E8F3AC87A6}"/>
                </a:ext>
              </a:extLst>
            </xdr:cNvPr>
            <xdr:cNvSpPr txBox="1"/>
          </xdr:nvSpPr>
          <xdr:spPr>
            <a:xfrm>
              <a:off x="77029" y="135290619"/>
              <a:ext cx="2076450" cy="381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𝑠_𝑧𝑎𝑝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=𝑀_(𝑢_𝑧𝑎𝑝)/(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𝜙∙(0.9∙𝑑_𝑧𝑎𝑝 )∙𝑓_𝑦𝑏 )</a:t>
              </a:r>
              <a:r>
                <a:rPr lang="es-ES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8282</xdr:colOff>
      <xdr:row>691</xdr:row>
      <xdr:rowOff>82827</xdr:rowOff>
    </xdr:from>
    <xdr:ext cx="1312026" cy="3674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2" name="CuadroTexto 81">
              <a:extLst>
                <a:ext uri="{FF2B5EF4-FFF2-40B4-BE49-F238E27FC236}">
                  <a16:creationId xmlns:a16="http://schemas.microsoft.com/office/drawing/2014/main" id="{00000000-0008-0000-0100-000052000000}"/>
                </a:ext>
              </a:extLst>
            </xdr:cNvPr>
            <xdr:cNvSpPr txBox="1"/>
          </xdr:nvSpPr>
          <xdr:spPr>
            <a:xfrm>
              <a:off x="438978" y="136696175"/>
              <a:ext cx="1312026" cy="3674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ad>
                          <m:radPr>
                            <m:degHide m:val="on"/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e>
                        </m:rad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6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∙1∙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82" name="CuadroTexto 81">
              <a:extLst>
                <a:ext uri="{FF2B5EF4-FFF2-40B4-BE49-F238E27FC236}">
                  <a16:creationId xmlns:a16="http://schemas.microsoft.com/office/drawing/2014/main" id="{D0159454-F54D-4C9D-B290-0AF934B65A9A}"/>
                </a:ext>
              </a:extLst>
            </xdr:cNvPr>
            <xdr:cNvSpPr txBox="1"/>
          </xdr:nvSpPr>
          <xdr:spPr>
            <a:xfrm>
              <a:off x="438978" y="136696175"/>
              <a:ext cx="1312026" cy="3674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𝑐=√(〖𝑓′〗_𝑐 )/6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∙1∙𝑑_𝑧𝑎𝑝=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4</xdr:col>
      <xdr:colOff>217833</xdr:colOff>
      <xdr:row>694</xdr:row>
      <xdr:rowOff>184703</xdr:rowOff>
    </xdr:from>
    <xdr:ext cx="944874" cy="1826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3" name="CuadroTexto 82">
              <a:extLst>
                <a:ext uri="{FF2B5EF4-FFF2-40B4-BE49-F238E27FC236}">
                  <a16:creationId xmlns:a16="http://schemas.microsoft.com/office/drawing/2014/main" id="{00000000-0008-0000-0100-000053000000}"/>
                </a:ext>
              </a:extLst>
            </xdr:cNvPr>
            <xdr:cNvSpPr txBox="1"/>
          </xdr:nvSpPr>
          <xdr:spPr>
            <a:xfrm>
              <a:off x="2006876" y="137369551"/>
              <a:ext cx="944874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𝑢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sub>
                    </m:sSub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83" name="CuadroTexto 82">
              <a:extLst>
                <a:ext uri="{FF2B5EF4-FFF2-40B4-BE49-F238E27FC236}">
                  <a16:creationId xmlns:a16="http://schemas.microsoft.com/office/drawing/2014/main" id="{540005CD-ED0B-44E2-8CD6-F99A85FA0D5E}"/>
                </a:ext>
              </a:extLst>
            </xdr:cNvPr>
            <xdr:cNvSpPr txBox="1"/>
          </xdr:nvSpPr>
          <xdr:spPr>
            <a:xfrm>
              <a:off x="2006876" y="137369551"/>
              <a:ext cx="944874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𝑢_𝑧𝑎𝑝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&lt;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𝜙_</a:t>
              </a:r>
              <a:r>
                <a:rPr lang="es-ES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𝑉_𝑐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</xdr:col>
      <xdr:colOff>8282</xdr:colOff>
      <xdr:row>704</xdr:row>
      <xdr:rowOff>24848</xdr:rowOff>
    </xdr:from>
    <xdr:to>
      <xdr:col>8</xdr:col>
      <xdr:colOff>414130</xdr:colOff>
      <xdr:row>718</xdr:row>
      <xdr:rowOff>72443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978" y="139280348"/>
          <a:ext cx="4298674" cy="2714595"/>
        </a:xfrm>
        <a:prstGeom prst="rect">
          <a:avLst/>
        </a:prstGeom>
      </xdr:spPr>
    </xdr:pic>
    <xdr:clientData/>
  </xdr:twoCellAnchor>
  <xdr:oneCellAnchor>
    <xdr:from>
      <xdr:col>1</xdr:col>
      <xdr:colOff>10767</xdr:colOff>
      <xdr:row>749</xdr:row>
      <xdr:rowOff>139148</xdr:rowOff>
    </xdr:from>
    <xdr:ext cx="1612108" cy="28764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CuadroTexto 69">
              <a:extLst>
                <a:ext uri="{FF2B5EF4-FFF2-40B4-BE49-F238E27FC236}">
                  <a16:creationId xmlns:a16="http://schemas.microsoft.com/office/drawing/2014/main" id="{00000000-0008-0000-0100-000046000000}"/>
                </a:ext>
              </a:extLst>
            </xdr:cNvPr>
            <xdr:cNvSpPr txBox="1"/>
          </xdr:nvSpPr>
          <xdr:spPr>
            <a:xfrm>
              <a:off x="441463" y="148596626"/>
              <a:ext cx="1612108" cy="2876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𝑏𝑟𝑔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𝑝𝑙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𝑝𝑎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𝑝𝑎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0" name="CuadroTexto 69">
              <a:extLst>
                <a:ext uri="{FF2B5EF4-FFF2-40B4-BE49-F238E27FC236}">
                  <a16:creationId xmlns:a16="http://schemas.microsoft.com/office/drawing/2014/main" id="{504A1864-0EEA-41C4-B1E6-DECE97CF3AC4}"/>
                </a:ext>
              </a:extLst>
            </xdr:cNvPr>
            <xdr:cNvSpPr txBox="1"/>
          </xdr:nvSpPr>
          <xdr:spPr>
            <a:xfrm>
              <a:off x="441463" y="148596626"/>
              <a:ext cx="1612108" cy="2876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𝑏𝑟𝑔=𝐴_(𝑝𝑙_𝑝𝑎)−(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𝜋/</a:t>
              </a:r>
              <a:r>
                <a:rPr lang="es-MX" sz="1100" b="0" i="0">
                  <a:latin typeface="Cambria Math" panose="02040503050406030204" pitchFamily="18" charset="0"/>
                </a:rPr>
                <a:t>4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∙𝑑_𝑝𝑎^2 )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85310</xdr:colOff>
      <xdr:row>753</xdr:row>
      <xdr:rowOff>72889</xdr:rowOff>
    </xdr:from>
    <xdr:ext cx="2645789" cy="5757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CuadroTexto 71">
              <a:extLst>
                <a:ext uri="{FF2B5EF4-FFF2-40B4-BE49-F238E27FC236}">
                  <a16:creationId xmlns:a16="http://schemas.microsoft.com/office/drawing/2014/main" id="{00000000-0008-0000-0100-000048000000}"/>
                </a:ext>
              </a:extLst>
            </xdr:cNvPr>
            <xdr:cNvSpPr txBox="1"/>
          </xdr:nvSpPr>
          <xdr:spPr>
            <a:xfrm>
              <a:off x="516006" y="149358628"/>
              <a:ext cx="2645789" cy="575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𝑠𝑏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</m:t>
                        </m:r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𝑠𝑏</m:t>
                        </m:r>
                      </m:sub>
                    </m:sSub>
                    <m:d>
                      <m:d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13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  <m:rad>
                          <m:radPr>
                            <m:degHide m:val="on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𝑏𝑟𝑔</m:t>
                                </m:r>
                              </m:sub>
                            </m:sSub>
                          </m:e>
                        </m:rad>
                        <m:rad>
                          <m:radPr>
                            <m:degHide m:val="on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e>
                        </m:rad>
                      </m:e>
                    </m:d>
                    <m:r>
                      <a:rPr lang="es-CL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ctrlP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CL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1+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𝑝𝑒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𝑝</m:t>
                                    </m:r>
                                  </m:sub>
                                </m:sSub>
                              </m:den>
                            </m:f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2" name="CuadroTexto 71">
              <a:extLst>
                <a:ext uri="{FF2B5EF4-FFF2-40B4-BE49-F238E27FC236}">
                  <a16:creationId xmlns:a16="http://schemas.microsoft.com/office/drawing/2014/main" id="{54A8D233-2A76-477D-88DE-84C8ED5F89C3}"/>
                </a:ext>
              </a:extLst>
            </xdr:cNvPr>
            <xdr:cNvSpPr txBox="1"/>
          </xdr:nvSpPr>
          <xdr:spPr>
            <a:xfrm>
              <a:off x="516006" y="149358628"/>
              <a:ext cx="2645789" cy="575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L" sz="1100" i="0">
                  <a:latin typeface="Cambria Math" panose="02040503050406030204" pitchFamily="18" charset="0"/>
                </a:rPr>
                <a:t>〖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𝑠𝑏=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𝜙〗_</a:t>
              </a:r>
              <a:r>
                <a:rPr lang="es-MX" sz="1100" b="0" i="0">
                  <a:latin typeface="Cambria Math" panose="02040503050406030204" pitchFamily="18" charset="0"/>
                </a:rPr>
                <a:t>𝑠𝑏</a:t>
              </a:r>
              <a:r>
                <a:rPr lang="es-CL" sz="1100" b="0" i="0">
                  <a:latin typeface="Cambria Math" panose="02040503050406030204" pitchFamily="18" charset="0"/>
                </a:rPr>
                <a:t> </a:t>
              </a:r>
              <a:r>
                <a:rPr lang="es-CL" sz="1100" i="0"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</a:rPr>
                <a:t>13𝐶_𝑝 √(𝐴_𝑏𝑟𝑔 ) √(〖𝑓′〗_𝑐 )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1+𝐶_𝑝𝑒/𝐶_𝑝 </a:t>
              </a:r>
              <a:r>
                <a:rPr lang="es-CL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</a:t>
              </a:r>
              <a:r>
                <a:rPr lang="es-CL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L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7591A-DCB4-4778-93B2-C634CF8799E1}">
  <sheetPr>
    <tabColor rgb="FFFFFF00"/>
  </sheetPr>
  <dimension ref="A1:BA825"/>
  <sheetViews>
    <sheetView showGridLines="0" tabSelected="1" topLeftCell="A12" zoomScale="85" zoomScaleNormal="85" zoomScaleSheetLayoutView="40" workbookViewId="0">
      <selection activeCell="K780" sqref="K780"/>
    </sheetView>
  </sheetViews>
  <sheetFormatPr baseColWidth="10" defaultColWidth="5.69921875" defaultRowHeight="14.4"/>
  <cols>
    <col min="1" max="3" width="5.69921875" style="1"/>
    <col min="4" max="4" width="6.3984375" style="1" customWidth="1"/>
    <col min="5" max="5" width="10.69921875" style="1" customWidth="1"/>
    <col min="6" max="6" width="8.296875" style="1" bestFit="1" customWidth="1"/>
    <col min="7" max="7" width="7" style="1" bestFit="1" customWidth="1"/>
    <col min="8" max="8" width="7.19921875" style="1" customWidth="1"/>
    <col min="9" max="9" width="6.8984375" style="1" customWidth="1"/>
    <col min="10" max="11" width="5.69921875" style="1" customWidth="1"/>
    <col min="12" max="12" width="6.296875" style="1" customWidth="1"/>
    <col min="13" max="13" width="8.3984375" style="1" customWidth="1"/>
    <col min="14" max="14" width="7" style="1" customWidth="1"/>
    <col min="15" max="15" width="7.796875" style="1" customWidth="1"/>
    <col min="16" max="16" width="10.69921875" style="1" customWidth="1"/>
    <col min="17" max="17" width="13" style="1" customWidth="1"/>
    <col min="18" max="19" width="8" style="1" bestFit="1" customWidth="1"/>
    <col min="20" max="20" width="7" style="1" customWidth="1"/>
    <col min="21" max="21" width="8" style="1" customWidth="1"/>
    <col min="22" max="24" width="5.69921875" style="1"/>
    <col min="25" max="25" width="7" style="1" bestFit="1" customWidth="1"/>
    <col min="26" max="26" width="8.796875" style="1" bestFit="1" customWidth="1"/>
    <col min="27" max="34" width="6.8984375" style="1" customWidth="1"/>
    <col min="35" max="35" width="5.69921875" style="1"/>
    <col min="36" max="37" width="7.19921875" style="1" customWidth="1"/>
    <col min="38" max="44" width="5.69921875" style="1"/>
    <col min="45" max="45" width="7.296875" style="1" customWidth="1"/>
    <col min="46" max="46" width="7.796875" style="1" bestFit="1" customWidth="1"/>
    <col min="47" max="47" width="5.69921875" style="1"/>
    <col min="48" max="49" width="6" style="1" bestFit="1" customWidth="1"/>
    <col min="50" max="52" width="5.69921875" style="1"/>
    <col min="53" max="53" width="6" style="1" bestFit="1" customWidth="1"/>
    <col min="54" max="16384" width="5.69921875" style="1"/>
  </cols>
  <sheetData>
    <row r="1" spans="1:18">
      <c r="A1" s="1" t="s">
        <v>0</v>
      </c>
      <c r="D1" s="11" t="s">
        <v>1</v>
      </c>
      <c r="E1" s="1" t="s">
        <v>757</v>
      </c>
      <c r="I1" s="9"/>
      <c r="J1" s="9"/>
      <c r="N1" s="1" t="s">
        <v>20</v>
      </c>
      <c r="P1" s="1" t="s">
        <v>758</v>
      </c>
    </row>
    <row r="2" spans="1:18">
      <c r="A2" s="1" t="s">
        <v>2</v>
      </c>
      <c r="D2" s="11" t="s">
        <v>1</v>
      </c>
      <c r="E2" s="1" t="s">
        <v>760</v>
      </c>
      <c r="I2" s="9"/>
      <c r="J2" s="9"/>
      <c r="N2" s="3" t="s">
        <v>3</v>
      </c>
      <c r="P2" s="4" t="s">
        <v>759</v>
      </c>
    </row>
    <row r="3" spans="1:18" ht="15" thickBot="1">
      <c r="A3" s="5" t="s">
        <v>751</v>
      </c>
      <c r="B3" s="5"/>
      <c r="C3" s="5"/>
      <c r="D3" s="56" t="s">
        <v>1</v>
      </c>
      <c r="E3" s="5" t="s">
        <v>747</v>
      </c>
      <c r="F3" s="5"/>
      <c r="G3" s="5"/>
      <c r="H3" s="5"/>
      <c r="I3" s="5"/>
      <c r="J3" s="5"/>
      <c r="K3" s="5"/>
      <c r="L3" s="5"/>
      <c r="M3" s="5"/>
      <c r="N3" s="5" t="s">
        <v>5</v>
      </c>
      <c r="O3" s="5"/>
      <c r="P3" s="6" t="s">
        <v>756</v>
      </c>
      <c r="Q3" s="5"/>
    </row>
    <row r="4" spans="1:18" ht="15" thickTop="1"/>
    <row r="5" spans="1:18">
      <c r="A5" s="58" t="s">
        <v>701</v>
      </c>
      <c r="L5" s="140" t="s">
        <v>725</v>
      </c>
      <c r="M5" s="141"/>
      <c r="N5" s="141"/>
      <c r="O5" s="141"/>
      <c r="P5" s="141"/>
      <c r="Q5" s="142"/>
    </row>
    <row r="6" spans="1:18">
      <c r="L6" s="37" t="s">
        <v>726</v>
      </c>
      <c r="O6" s="1" t="str">
        <f>IF(E283&lt;1.57,"No","Sí")</f>
        <v>Sí</v>
      </c>
      <c r="Q6" s="95"/>
      <c r="R6" s="108"/>
    </row>
    <row r="7" spans="1:18">
      <c r="B7" s="58" t="s">
        <v>752</v>
      </c>
      <c r="L7" s="133" t="s">
        <v>727</v>
      </c>
      <c r="Q7" s="95"/>
      <c r="R7" s="108"/>
    </row>
    <row r="8" spans="1:18" ht="15.6">
      <c r="B8" s="9" t="s">
        <v>83</v>
      </c>
      <c r="C8" s="10"/>
      <c r="D8" s="11" t="s">
        <v>7</v>
      </c>
      <c r="E8" s="61">
        <v>12</v>
      </c>
      <c r="F8" s="7" t="s">
        <v>84</v>
      </c>
      <c r="H8" s="1" t="s">
        <v>153</v>
      </c>
      <c r="I8" s="7"/>
      <c r="L8" s="37"/>
      <c r="M8" s="1" t="s">
        <v>461</v>
      </c>
      <c r="O8" s="63">
        <f>MIN(G410,G464)</f>
        <v>95.133666635094542</v>
      </c>
      <c r="P8" s="1" t="s">
        <v>731</v>
      </c>
      <c r="Q8" s="134">
        <f>O8/100</f>
        <v>0.95133666635094538</v>
      </c>
      <c r="R8" s="108"/>
    </row>
    <row r="9" spans="1:18" ht="15.6">
      <c r="B9" s="9" t="s">
        <v>6</v>
      </c>
      <c r="C9" s="10"/>
      <c r="D9" s="11" t="s">
        <v>7</v>
      </c>
      <c r="E9" s="61">
        <v>8.84</v>
      </c>
      <c r="F9" s="7" t="s">
        <v>84</v>
      </c>
      <c r="H9" s="1" t="s">
        <v>85</v>
      </c>
      <c r="I9" s="7"/>
      <c r="L9" s="37"/>
      <c r="M9" s="80" t="s">
        <v>728</v>
      </c>
      <c r="O9" s="1">
        <f>MAX(G462,G408)</f>
        <v>17.08916026629705</v>
      </c>
      <c r="P9" s="1" t="s">
        <v>732</v>
      </c>
      <c r="Q9" s="135">
        <f>O9/E34</f>
        <v>8.5445801331485244E-2</v>
      </c>
      <c r="R9" s="108"/>
    </row>
    <row r="10" spans="1:18">
      <c r="B10" s="9" t="s">
        <v>86</v>
      </c>
      <c r="C10" s="10"/>
      <c r="D10" s="11" t="s">
        <v>7</v>
      </c>
      <c r="E10" s="61">
        <v>0.5</v>
      </c>
      <c r="F10" s="7" t="s">
        <v>84</v>
      </c>
      <c r="H10" s="1" t="s">
        <v>87</v>
      </c>
      <c r="I10" s="7"/>
      <c r="L10" s="37"/>
      <c r="M10" s="1" t="s">
        <v>729</v>
      </c>
      <c r="O10" s="1">
        <f>MIN(H473,H421)</f>
        <v>1.4780300265425572</v>
      </c>
      <c r="Q10" s="135">
        <f>O10</f>
        <v>1.4780300265425572</v>
      </c>
      <c r="R10" s="108"/>
    </row>
    <row r="11" spans="1:18">
      <c r="B11" s="9"/>
      <c r="L11" s="133" t="s">
        <v>733</v>
      </c>
      <c r="Q11" s="95"/>
      <c r="R11" s="108"/>
    </row>
    <row r="12" spans="1:18">
      <c r="B12" s="9" t="s">
        <v>10</v>
      </c>
      <c r="C12" s="10"/>
      <c r="D12" s="11" t="s">
        <v>7</v>
      </c>
      <c r="E12" s="63">
        <v>6</v>
      </c>
      <c r="F12" s="7" t="s">
        <v>8</v>
      </c>
      <c r="H12" s="1" t="s">
        <v>90</v>
      </c>
      <c r="I12" s="7"/>
      <c r="L12" s="37"/>
      <c r="M12" s="1" t="s">
        <v>734</v>
      </c>
      <c r="O12" s="1">
        <f>H524</f>
        <v>0.36816105037902891</v>
      </c>
      <c r="Q12" s="135">
        <f>I524</f>
        <v>0.36816105037902891</v>
      </c>
      <c r="R12" s="108"/>
    </row>
    <row r="13" spans="1:18">
      <c r="B13" s="9" t="s">
        <v>91</v>
      </c>
      <c r="C13" s="10"/>
      <c r="D13" s="11" t="s">
        <v>7</v>
      </c>
      <c r="E13" s="63">
        <v>12</v>
      </c>
      <c r="F13" s="7" t="s">
        <v>8</v>
      </c>
      <c r="H13" s="1" t="s">
        <v>92</v>
      </c>
      <c r="I13" s="7"/>
      <c r="L13" s="37"/>
      <c r="M13" s="1" t="s">
        <v>735</v>
      </c>
      <c r="O13" s="1">
        <f>H548</f>
        <v>2.0700488984713115</v>
      </c>
      <c r="Q13" s="135">
        <f>I548</f>
        <v>2.0700488984713115</v>
      </c>
      <c r="R13" s="108"/>
    </row>
    <row r="14" spans="1:18">
      <c r="B14" s="9" t="s">
        <v>93</v>
      </c>
      <c r="C14" s="10"/>
      <c r="D14" s="11" t="s">
        <v>7</v>
      </c>
      <c r="E14" s="63">
        <v>6</v>
      </c>
      <c r="F14" s="7" t="s">
        <v>8</v>
      </c>
      <c r="H14" s="1" t="s">
        <v>94</v>
      </c>
      <c r="I14" s="7"/>
      <c r="L14" s="37"/>
      <c r="M14" s="1" t="s">
        <v>736</v>
      </c>
      <c r="O14" s="1">
        <f>I553</f>
        <v>2.4382099488503401</v>
      </c>
      <c r="Q14" s="135">
        <f>I553</f>
        <v>2.4382099488503401</v>
      </c>
      <c r="R14" s="108"/>
    </row>
    <row r="15" spans="1:18">
      <c r="B15" s="64" t="s">
        <v>95</v>
      </c>
      <c r="C15" s="65"/>
      <c r="D15" s="11" t="s">
        <v>7</v>
      </c>
      <c r="E15" s="63">
        <v>15</v>
      </c>
      <c r="F15" s="7" t="s">
        <v>96</v>
      </c>
      <c r="H15" s="1" t="s">
        <v>97</v>
      </c>
      <c r="I15" s="7"/>
      <c r="L15" s="133" t="s">
        <v>737</v>
      </c>
      <c r="Q15" s="95"/>
      <c r="R15" s="108"/>
    </row>
    <row r="16" spans="1:18">
      <c r="L16" s="37"/>
      <c r="M16" s="1" t="s">
        <v>738</v>
      </c>
      <c r="O16" s="1">
        <f>F682</f>
        <v>0.27207490117584032</v>
      </c>
      <c r="Q16" s="135">
        <f>H682</f>
        <v>0.27207490117584032</v>
      </c>
      <c r="R16" s="108"/>
    </row>
    <row r="17" spans="2:29">
      <c r="B17" s="58" t="s">
        <v>710</v>
      </c>
      <c r="L17" s="37"/>
      <c r="M17" s="1" t="s">
        <v>739</v>
      </c>
      <c r="O17" s="1">
        <f>I713</f>
        <v>0.26923955026779833</v>
      </c>
      <c r="Q17" s="135">
        <f>I713</f>
        <v>0.26923955026779833</v>
      </c>
      <c r="R17" s="108"/>
    </row>
    <row r="18" spans="2:29">
      <c r="B18" s="1" t="s">
        <v>307</v>
      </c>
      <c r="D18" s="68" t="s">
        <v>7</v>
      </c>
      <c r="E18" s="67">
        <v>800</v>
      </c>
      <c r="F18" s="1" t="s">
        <v>8</v>
      </c>
      <c r="H18" s="1" t="s">
        <v>312</v>
      </c>
      <c r="L18" s="37"/>
      <c r="M18" s="1" t="s">
        <v>742</v>
      </c>
      <c r="Q18" s="135">
        <f>J825</f>
        <v>0.5</v>
      </c>
      <c r="R18" s="108"/>
    </row>
    <row r="19" spans="2:29">
      <c r="B19" s="1" t="s">
        <v>308</v>
      </c>
      <c r="D19" s="68" t="s">
        <v>7</v>
      </c>
      <c r="E19" s="67">
        <v>1200</v>
      </c>
      <c r="F19" s="1" t="s">
        <v>8</v>
      </c>
      <c r="H19" s="1" t="s">
        <v>313</v>
      </c>
      <c r="L19" s="133" t="s">
        <v>740</v>
      </c>
      <c r="Q19" s="95"/>
      <c r="R19" s="108"/>
    </row>
    <row r="20" spans="2:29">
      <c r="B20" s="1" t="s">
        <v>309</v>
      </c>
      <c r="D20" s="68" t="s">
        <v>7</v>
      </c>
      <c r="E20" s="67">
        <v>1900</v>
      </c>
      <c r="F20" s="1" t="s">
        <v>8</v>
      </c>
      <c r="H20" s="1" t="s">
        <v>314</v>
      </c>
      <c r="L20" s="38"/>
      <c r="M20" s="87" t="s">
        <v>741</v>
      </c>
      <c r="N20" s="87"/>
      <c r="O20" s="87">
        <f>H761</f>
        <v>0.11330977246400672</v>
      </c>
      <c r="P20" s="87"/>
      <c r="Q20" s="136">
        <f>H761</f>
        <v>0.11330977246400672</v>
      </c>
      <c r="R20" s="108"/>
    </row>
    <row r="21" spans="2:29">
      <c r="B21" s="1" t="s">
        <v>310</v>
      </c>
      <c r="D21" s="68" t="s">
        <v>7</v>
      </c>
      <c r="E21" s="67">
        <v>600</v>
      </c>
      <c r="F21" s="1" t="s">
        <v>8</v>
      </c>
      <c r="H21" s="1" t="s">
        <v>315</v>
      </c>
    </row>
    <row r="22" spans="2:29">
      <c r="B22" s="1" t="s">
        <v>311</v>
      </c>
      <c r="D22" s="68" t="s">
        <v>7</v>
      </c>
      <c r="E22" s="67">
        <v>1325</v>
      </c>
      <c r="F22" s="1" t="s">
        <v>8</v>
      </c>
      <c r="H22" s="1" t="s">
        <v>316</v>
      </c>
    </row>
    <row r="23" spans="2:29">
      <c r="B23" s="1" t="s">
        <v>12</v>
      </c>
      <c r="D23" s="68" t="s">
        <v>7</v>
      </c>
      <c r="E23" s="63">
        <v>120</v>
      </c>
      <c r="F23" s="1" t="s">
        <v>8</v>
      </c>
      <c r="H23" s="1" t="s">
        <v>303</v>
      </c>
    </row>
    <row r="25" spans="2:29">
      <c r="B25" s="58" t="s">
        <v>702</v>
      </c>
    </row>
    <row r="26" spans="2:29">
      <c r="B26" s="58" t="s">
        <v>722</v>
      </c>
    </row>
    <row r="27" spans="2:29">
      <c r="B27" s="9" t="s">
        <v>703</v>
      </c>
      <c r="D27" s="68" t="s">
        <v>7</v>
      </c>
      <c r="E27" s="130" t="s">
        <v>22</v>
      </c>
      <c r="H27" s="1" t="s">
        <v>704</v>
      </c>
      <c r="AB27" s="63"/>
      <c r="AC27" s="63"/>
    </row>
    <row r="28" spans="2:29" ht="16.2">
      <c r="B28" s="71" t="s">
        <v>423</v>
      </c>
      <c r="C28" s="70"/>
      <c r="D28" s="68" t="s">
        <v>7</v>
      </c>
      <c r="E28" s="61">
        <v>1</v>
      </c>
      <c r="F28" s="7" t="s">
        <v>424</v>
      </c>
      <c r="G28" s="7"/>
      <c r="H28" s="7" t="s">
        <v>104</v>
      </c>
    </row>
    <row r="30" spans="2:29">
      <c r="B30" s="131" t="s">
        <v>721</v>
      </c>
      <c r="C30" s="70"/>
      <c r="D30" s="68"/>
      <c r="E30" s="61"/>
      <c r="F30" s="7"/>
      <c r="G30" s="7"/>
      <c r="H30" s="7"/>
      <c r="AB30" s="63"/>
      <c r="AC30" s="63"/>
    </row>
    <row r="31" spans="2:29" ht="16.2">
      <c r="B31" s="71" t="s">
        <v>439</v>
      </c>
      <c r="D31" s="68" t="s">
        <v>7</v>
      </c>
      <c r="E31" s="1">
        <v>1.8</v>
      </c>
      <c r="F31" s="7" t="s">
        <v>424</v>
      </c>
      <c r="G31" s="7"/>
      <c r="H31" s="7" t="s">
        <v>300</v>
      </c>
    </row>
    <row r="32" spans="2:29" ht="15.6">
      <c r="B32" s="71" t="s">
        <v>440</v>
      </c>
      <c r="D32" s="68" t="s">
        <v>7</v>
      </c>
      <c r="E32" s="67">
        <v>36</v>
      </c>
      <c r="F32" s="7" t="s">
        <v>301</v>
      </c>
      <c r="G32" s="7"/>
      <c r="H32" s="7" t="s">
        <v>302</v>
      </c>
    </row>
    <row r="33" spans="2:19">
      <c r="B33" s="77" t="s">
        <v>18</v>
      </c>
      <c r="D33" s="11" t="s">
        <v>7</v>
      </c>
      <c r="E33" s="1">
        <v>0.44</v>
      </c>
      <c r="H33" s="1" t="s">
        <v>409</v>
      </c>
    </row>
    <row r="34" spans="2:19" ht="16.2">
      <c r="B34" s="80" t="s">
        <v>462</v>
      </c>
      <c r="D34" s="11" t="s">
        <v>7</v>
      </c>
      <c r="E34" s="63">
        <v>200</v>
      </c>
      <c r="F34" s="1" t="s">
        <v>460</v>
      </c>
      <c r="H34" s="1" t="s">
        <v>380</v>
      </c>
    </row>
    <row r="36" spans="2:19">
      <c r="B36" s="58" t="s">
        <v>723</v>
      </c>
      <c r="D36" s="11"/>
      <c r="E36" s="63"/>
    </row>
    <row r="37" spans="2:19">
      <c r="B37" s="40" t="s">
        <v>112</v>
      </c>
      <c r="C37" s="68"/>
      <c r="E37" s="130" t="s">
        <v>119</v>
      </c>
      <c r="H37" s="1" t="s">
        <v>705</v>
      </c>
      <c r="S37" s="1">
        <f>+(3.1416*(5)^2)/4</f>
        <v>19.634999999999998</v>
      </c>
    </row>
    <row r="38" spans="2:19">
      <c r="S38" s="1">
        <v>6.2</v>
      </c>
    </row>
    <row r="39" spans="2:19">
      <c r="B39" s="132" t="s">
        <v>724</v>
      </c>
      <c r="C39" s="68"/>
      <c r="E39" s="130"/>
      <c r="S39" s="58">
        <f>S37*S38</f>
        <v>121.73699999999999</v>
      </c>
    </row>
    <row r="40" spans="2:19">
      <c r="B40" s="1" t="s">
        <v>27</v>
      </c>
      <c r="D40" s="68" t="s">
        <v>7</v>
      </c>
      <c r="E40" s="130" t="s">
        <v>398</v>
      </c>
      <c r="H40" s="1" t="s">
        <v>711</v>
      </c>
    </row>
    <row r="41" spans="2:19" ht="15.6">
      <c r="B41" s="1" t="s">
        <v>472</v>
      </c>
      <c r="D41" s="68" t="s">
        <v>7</v>
      </c>
      <c r="E41" s="106">
        <v>1.5</v>
      </c>
      <c r="F41" s="1" t="s">
        <v>390</v>
      </c>
      <c r="H41" s="1" t="s">
        <v>712</v>
      </c>
      <c r="N41" s="105">
        <f>H498</f>
        <v>1.5</v>
      </c>
      <c r="O41" s="108" t="str">
        <f>O498</f>
        <v/>
      </c>
    </row>
    <row r="42" spans="2:19" ht="15.6">
      <c r="B42" s="1" t="s">
        <v>473</v>
      </c>
      <c r="D42" s="68" t="s">
        <v>7</v>
      </c>
      <c r="E42" s="67">
        <v>36</v>
      </c>
      <c r="F42" s="1" t="s">
        <v>391</v>
      </c>
      <c r="H42" s="1" t="s">
        <v>407</v>
      </c>
      <c r="N42" s="105">
        <f>H499</f>
        <v>1.6835194763883152</v>
      </c>
      <c r="O42" s="108" t="str">
        <f>IF(N42&gt;=1,"","Mínimo "&amp;ROUNDUP(P487,0)&amp;" pernos")</f>
        <v/>
      </c>
    </row>
    <row r="44" spans="2:19">
      <c r="B44" s="58" t="s">
        <v>753</v>
      </c>
      <c r="D44" s="68"/>
      <c r="E44" s="67"/>
    </row>
    <row r="45" spans="2:19">
      <c r="B45" s="9" t="s">
        <v>718</v>
      </c>
      <c r="D45" s="68" t="s">
        <v>7</v>
      </c>
      <c r="E45" s="130" t="s">
        <v>521</v>
      </c>
      <c r="H45" s="1" t="s">
        <v>713</v>
      </c>
    </row>
    <row r="46" spans="2:19">
      <c r="B46" s="1" t="s">
        <v>717</v>
      </c>
      <c r="D46" s="68" t="s">
        <v>7</v>
      </c>
      <c r="E46" s="67">
        <v>18</v>
      </c>
      <c r="F46" s="11" t="s">
        <v>579</v>
      </c>
      <c r="G46" s="4">
        <v>200</v>
      </c>
      <c r="H46" s="1" t="s">
        <v>715</v>
      </c>
      <c r="N46" s="11">
        <f>MAX(F619,F652,F654,F656)/J612</f>
        <v>0.7859503362562732</v>
      </c>
    </row>
    <row r="47" spans="2:19">
      <c r="B47" s="1" t="s">
        <v>716</v>
      </c>
      <c r="D47" s="68" t="s">
        <v>7</v>
      </c>
      <c r="E47" s="67">
        <v>18</v>
      </c>
      <c r="F47" s="11" t="s">
        <v>579</v>
      </c>
      <c r="G47" s="4">
        <v>200</v>
      </c>
      <c r="H47" s="1" t="s">
        <v>587</v>
      </c>
      <c r="N47" s="11">
        <f>H680</f>
        <v>0.7859503362562732</v>
      </c>
    </row>
    <row r="48" spans="2:19">
      <c r="B48" s="1" t="s">
        <v>719</v>
      </c>
      <c r="D48" s="68" t="s">
        <v>7</v>
      </c>
      <c r="E48" s="67">
        <v>16</v>
      </c>
      <c r="F48" s="11" t="s">
        <v>579</v>
      </c>
      <c r="G48" s="4">
        <v>200</v>
      </c>
      <c r="H48" s="1" t="s">
        <v>720</v>
      </c>
      <c r="N48" s="11">
        <f>MAX(G750,G753)</f>
        <v>0.53714793293514684</v>
      </c>
    </row>
    <row r="49" spans="2:24">
      <c r="B49" s="1" t="s">
        <v>551</v>
      </c>
      <c r="D49" s="68" t="s">
        <v>7</v>
      </c>
      <c r="E49" s="67">
        <v>50</v>
      </c>
      <c r="F49" s="1" t="s">
        <v>8</v>
      </c>
      <c r="H49" s="1" t="s">
        <v>714</v>
      </c>
    </row>
    <row r="50" spans="2:24" ht="15.6">
      <c r="B50" s="1" t="s">
        <v>588</v>
      </c>
      <c r="D50" s="11" t="s">
        <v>7</v>
      </c>
      <c r="E50" s="67">
        <v>50</v>
      </c>
      <c r="F50" s="1" t="s">
        <v>8</v>
      </c>
      <c r="H50" s="1" t="s">
        <v>589</v>
      </c>
    </row>
    <row r="51" spans="2:24" ht="15.6">
      <c r="B51" s="1" t="s">
        <v>690</v>
      </c>
      <c r="D51" s="68" t="s">
        <v>7</v>
      </c>
      <c r="E51" s="67">
        <v>100</v>
      </c>
      <c r="F51" s="1" t="s">
        <v>8</v>
      </c>
      <c r="H51" s="1" t="s">
        <v>691</v>
      </c>
    </row>
    <row r="52" spans="2:24" ht="15.6">
      <c r="B52" s="1" t="s">
        <v>693</v>
      </c>
      <c r="D52" s="68" t="s">
        <v>7</v>
      </c>
      <c r="E52" s="67">
        <v>100</v>
      </c>
      <c r="F52" s="1" t="s">
        <v>8</v>
      </c>
      <c r="H52" s="1" t="s">
        <v>692</v>
      </c>
      <c r="S52" s="138" t="s">
        <v>750</v>
      </c>
      <c r="T52" s="138"/>
      <c r="U52" s="138"/>
      <c r="V52" s="138"/>
      <c r="W52" s="138"/>
      <c r="X52" s="138"/>
    </row>
    <row r="54" spans="2:24">
      <c r="B54" s="58" t="s">
        <v>706</v>
      </c>
    </row>
    <row r="55" spans="2:24">
      <c r="B55" s="1" t="s">
        <v>160</v>
      </c>
      <c r="D55" s="68" t="s">
        <v>7</v>
      </c>
      <c r="E55" s="1">
        <v>10</v>
      </c>
      <c r="F55" s="1" t="s">
        <v>16</v>
      </c>
      <c r="H55" s="1" t="s">
        <v>161</v>
      </c>
    </row>
    <row r="56" spans="2:24">
      <c r="B56" s="1" t="s">
        <v>170</v>
      </c>
      <c r="D56" s="68" t="s">
        <v>7</v>
      </c>
      <c r="E56" s="63">
        <v>100</v>
      </c>
      <c r="F56" s="7" t="s">
        <v>171</v>
      </c>
      <c r="H56" s="1" t="s">
        <v>172</v>
      </c>
    </row>
    <row r="57" spans="2:24">
      <c r="B57" s="1" t="s">
        <v>177</v>
      </c>
      <c r="D57" s="68" t="s">
        <v>7</v>
      </c>
      <c r="E57" s="1">
        <f>(17.3*20)/100</f>
        <v>3.46</v>
      </c>
      <c r="F57" s="1" t="s">
        <v>16</v>
      </c>
      <c r="H57" s="1" t="s">
        <v>707</v>
      </c>
    </row>
    <row r="58" spans="2:24">
      <c r="B58" s="1" t="s">
        <v>180</v>
      </c>
      <c r="D58" s="68" t="s">
        <v>7</v>
      </c>
      <c r="E58" s="1">
        <v>1</v>
      </c>
      <c r="F58" s="1" t="s">
        <v>16</v>
      </c>
      <c r="H58" s="1" t="s">
        <v>708</v>
      </c>
    </row>
    <row r="60" spans="2:24">
      <c r="B60" s="58" t="s">
        <v>754</v>
      </c>
      <c r="E60" s="1" t="s">
        <v>709</v>
      </c>
    </row>
    <row r="61" spans="2:24">
      <c r="B61" s="1" t="s">
        <v>743</v>
      </c>
      <c r="F61" s="1" t="s">
        <v>199</v>
      </c>
    </row>
    <row r="62" spans="2:24">
      <c r="B62" s="1" t="s">
        <v>744</v>
      </c>
      <c r="F62" s="1" t="s">
        <v>188</v>
      </c>
    </row>
    <row r="63" spans="2:24">
      <c r="B63" s="1" t="s">
        <v>184</v>
      </c>
      <c r="F63" s="4">
        <v>2</v>
      </c>
    </row>
    <row r="64" spans="2:24">
      <c r="B64" s="1" t="s">
        <v>745</v>
      </c>
      <c r="F64" s="1" t="s">
        <v>206</v>
      </c>
    </row>
    <row r="66" spans="1:9">
      <c r="F66" s="75"/>
    </row>
    <row r="67" spans="1:9">
      <c r="A67" s="57" t="s">
        <v>143</v>
      </c>
      <c r="B67" s="58"/>
      <c r="C67" s="58" t="s">
        <v>144</v>
      </c>
      <c r="D67" s="58"/>
      <c r="E67" s="58"/>
    </row>
    <row r="69" spans="1:9">
      <c r="A69" s="59" t="s">
        <v>134</v>
      </c>
      <c r="B69" s="1" t="s">
        <v>135</v>
      </c>
    </row>
    <row r="71" spans="1:9">
      <c r="B71" s="9" t="s">
        <v>83</v>
      </c>
      <c r="C71" s="10"/>
      <c r="D71" s="11" t="s">
        <v>7</v>
      </c>
      <c r="E71" s="61">
        <f>E8</f>
        <v>12</v>
      </c>
      <c r="F71" s="7" t="s">
        <v>84</v>
      </c>
      <c r="H71" s="1" t="s">
        <v>153</v>
      </c>
      <c r="I71" s="7"/>
    </row>
    <row r="72" spans="1:9">
      <c r="B72" s="9" t="s">
        <v>6</v>
      </c>
      <c r="C72" s="10"/>
      <c r="D72" s="11" t="s">
        <v>7</v>
      </c>
      <c r="E72" s="61">
        <f>E9</f>
        <v>8.84</v>
      </c>
      <c r="F72" s="7" t="s">
        <v>84</v>
      </c>
      <c r="H72" s="1" t="s">
        <v>85</v>
      </c>
      <c r="I72" s="7"/>
    </row>
    <row r="73" spans="1:9">
      <c r="B73" s="9" t="s">
        <v>86</v>
      </c>
      <c r="C73" s="10"/>
      <c r="D73" s="11" t="s">
        <v>7</v>
      </c>
      <c r="E73" s="61">
        <f>E10</f>
        <v>0.5</v>
      </c>
      <c r="F73" s="7" t="s">
        <v>84</v>
      </c>
      <c r="H73" s="1" t="s">
        <v>87</v>
      </c>
      <c r="I73" s="7"/>
    </row>
    <row r="74" spans="1:9">
      <c r="B74" s="9" t="s">
        <v>88</v>
      </c>
      <c r="C74" s="10"/>
      <c r="D74" s="11" t="s">
        <v>7</v>
      </c>
      <c r="E74" s="61">
        <f>E72+E73</f>
        <v>9.34</v>
      </c>
      <c r="F74" s="7" t="s">
        <v>84</v>
      </c>
      <c r="H74" s="1" t="s">
        <v>89</v>
      </c>
      <c r="I74" s="7"/>
    </row>
    <row r="75" spans="1:9">
      <c r="B75" s="9"/>
    </row>
    <row r="76" spans="1:9">
      <c r="B76" s="9" t="s">
        <v>10</v>
      </c>
      <c r="C76" s="10"/>
      <c r="D76" s="11" t="s">
        <v>7</v>
      </c>
      <c r="E76" s="63">
        <f>E12</f>
        <v>6</v>
      </c>
      <c r="F76" s="7" t="s">
        <v>8</v>
      </c>
      <c r="H76" s="1" t="s">
        <v>90</v>
      </c>
      <c r="I76" s="7"/>
    </row>
    <row r="77" spans="1:9">
      <c r="B77" s="9" t="s">
        <v>91</v>
      </c>
      <c r="C77" s="10"/>
      <c r="D77" s="11" t="s">
        <v>7</v>
      </c>
      <c r="E77" s="63">
        <f>E13</f>
        <v>12</v>
      </c>
      <c r="F77" s="7" t="s">
        <v>8</v>
      </c>
      <c r="H77" s="1" t="s">
        <v>92</v>
      </c>
      <c r="I77" s="7"/>
    </row>
    <row r="78" spans="1:9">
      <c r="B78" s="9" t="s">
        <v>93</v>
      </c>
      <c r="C78" s="10"/>
      <c r="D78" s="11" t="s">
        <v>7</v>
      </c>
      <c r="E78" s="63">
        <f>E14</f>
        <v>6</v>
      </c>
      <c r="F78" s="7" t="s">
        <v>8</v>
      </c>
      <c r="H78" s="1" t="s">
        <v>94</v>
      </c>
      <c r="I78" s="7"/>
    </row>
    <row r="79" spans="1:9">
      <c r="B79" s="9"/>
      <c r="C79" s="10"/>
      <c r="D79" s="11"/>
      <c r="E79" s="63"/>
      <c r="F79" s="7"/>
      <c r="I79" s="7"/>
    </row>
    <row r="80" spans="1:9">
      <c r="B80" s="64" t="s">
        <v>95</v>
      </c>
      <c r="C80" s="65"/>
      <c r="D80" s="11" t="s">
        <v>7</v>
      </c>
      <c r="E80" s="63">
        <f>E15</f>
        <v>15</v>
      </c>
      <c r="F80" s="7" t="s">
        <v>96</v>
      </c>
      <c r="H80" s="1" t="s">
        <v>97</v>
      </c>
      <c r="I80" s="7"/>
    </row>
    <row r="81" spans="1:22">
      <c r="B81" s="9" t="s">
        <v>163</v>
      </c>
      <c r="C81" s="10"/>
      <c r="D81" s="11" t="s">
        <v>7</v>
      </c>
      <c r="E81" s="1">
        <f>E71/2*1/COS(E80*PI()/180)</f>
        <v>6.2116570824604977</v>
      </c>
      <c r="F81" s="7" t="s">
        <v>84</v>
      </c>
      <c r="H81" s="1" t="s">
        <v>98</v>
      </c>
      <c r="I81" s="7"/>
    </row>
    <row r="82" spans="1:22">
      <c r="B82" s="9" t="s">
        <v>99</v>
      </c>
      <c r="C82" s="10"/>
      <c r="D82" s="11" t="s">
        <v>7</v>
      </c>
      <c r="E82" s="66">
        <f>SIN(E80*PI()/180)*(E81)</f>
        <v>1.607695154586736</v>
      </c>
      <c r="F82" s="7" t="s">
        <v>84</v>
      </c>
      <c r="H82" s="1" t="s">
        <v>100</v>
      </c>
      <c r="I82" s="7"/>
    </row>
    <row r="85" spans="1:22">
      <c r="A85" s="59" t="s">
        <v>136</v>
      </c>
      <c r="B85" s="1" t="s">
        <v>137</v>
      </c>
      <c r="L85" s="10"/>
    </row>
    <row r="87" spans="1:22">
      <c r="B87" s="39" t="s">
        <v>138</v>
      </c>
      <c r="C87" s="7" t="s">
        <v>102</v>
      </c>
      <c r="E87" s="67"/>
      <c r="K87" s="8"/>
      <c r="L87" s="59"/>
      <c r="R87" s="68"/>
      <c r="S87" s="7"/>
      <c r="T87" s="7"/>
      <c r="V87" s="69"/>
    </row>
    <row r="88" spans="1:22">
      <c r="L88" s="59"/>
      <c r="Q88" s="7"/>
      <c r="R88" s="68"/>
      <c r="S88" s="7"/>
      <c r="T88" s="7"/>
      <c r="V88" s="69"/>
    </row>
    <row r="89" spans="1:22" ht="16.2">
      <c r="A89" s="70"/>
      <c r="B89" s="71" t="s">
        <v>423</v>
      </c>
      <c r="C89" s="70"/>
      <c r="D89" s="68" t="s">
        <v>7</v>
      </c>
      <c r="E89" s="61">
        <f>E28</f>
        <v>1</v>
      </c>
      <c r="F89" s="7" t="s">
        <v>424</v>
      </c>
      <c r="G89" s="7"/>
      <c r="H89" s="7" t="s">
        <v>104</v>
      </c>
      <c r="P89" s="9"/>
      <c r="Q89" s="7"/>
      <c r="R89" s="68"/>
      <c r="S89" s="7"/>
      <c r="T89" s="7"/>
      <c r="V89" s="69"/>
    </row>
    <row r="90" spans="1:22">
      <c r="B90" s="9"/>
      <c r="Q90" s="7"/>
      <c r="R90" s="68"/>
      <c r="S90" s="7"/>
      <c r="T90" s="7"/>
      <c r="V90" s="69"/>
    </row>
    <row r="91" spans="1:22">
      <c r="B91" s="39" t="s">
        <v>139</v>
      </c>
      <c r="C91" s="40" t="s">
        <v>154</v>
      </c>
      <c r="D91" s="68"/>
      <c r="F91" s="72"/>
      <c r="G91" s="72"/>
      <c r="H91" s="7"/>
      <c r="R91" s="68"/>
      <c r="S91" s="7"/>
      <c r="T91" s="7"/>
      <c r="V91" s="69"/>
    </row>
    <row r="92" spans="1:22">
      <c r="B92" s="9"/>
      <c r="Q92" s="7"/>
      <c r="R92" s="68"/>
      <c r="S92" s="7"/>
      <c r="T92" s="7"/>
      <c r="V92" s="69"/>
    </row>
    <row r="93" spans="1:22">
      <c r="B93" s="9" t="s">
        <v>155</v>
      </c>
      <c r="F93" s="74" t="str">
        <f>E27</f>
        <v>ASTM A36</v>
      </c>
      <c r="Q93" s="7"/>
      <c r="R93" s="68"/>
      <c r="S93" s="7"/>
      <c r="T93" s="7"/>
      <c r="V93" s="69"/>
    </row>
    <row r="94" spans="1:22">
      <c r="B94" s="9"/>
      <c r="Q94" s="7"/>
      <c r="R94" s="68"/>
      <c r="S94" s="7"/>
      <c r="T94" s="7"/>
      <c r="V94" s="69"/>
    </row>
    <row r="95" spans="1:22">
      <c r="B95" s="69" t="s">
        <v>425</v>
      </c>
      <c r="C95" s="70"/>
      <c r="D95" s="68" t="s">
        <v>7</v>
      </c>
      <c r="E95" s="74">
        <f>VLOOKUP(F93,VARS!H21:K25,2,FALSE)</f>
        <v>2531.0504867047202</v>
      </c>
      <c r="F95" s="7" t="s">
        <v>15</v>
      </c>
      <c r="G95" s="7"/>
      <c r="H95" s="7" t="s">
        <v>108</v>
      </c>
      <c r="Q95" s="7"/>
      <c r="R95" s="68"/>
      <c r="S95" s="7"/>
      <c r="T95" s="7"/>
      <c r="V95" s="69"/>
    </row>
    <row r="96" spans="1:22">
      <c r="B96" s="69" t="s">
        <v>426</v>
      </c>
      <c r="C96" s="70"/>
      <c r="D96" s="68" t="s">
        <v>7</v>
      </c>
      <c r="E96" s="74">
        <f>VLOOKUP(F93,VARS!H21:K25,3,FALSE)</f>
        <v>4078.7623066104074</v>
      </c>
      <c r="F96" s="7" t="s">
        <v>15</v>
      </c>
      <c r="G96" s="7"/>
      <c r="H96" s="7" t="s">
        <v>109</v>
      </c>
      <c r="Q96" s="7"/>
      <c r="R96" s="68"/>
      <c r="S96" s="7"/>
      <c r="T96" s="7"/>
      <c r="V96" s="69"/>
    </row>
    <row r="97" spans="1:24" ht="16.2">
      <c r="B97" s="71" t="s">
        <v>427</v>
      </c>
      <c r="D97" s="68" t="s">
        <v>7</v>
      </c>
      <c r="E97" s="74">
        <f>VLOOKUP(F93,VARS!H21:K25,4,FALSE)</f>
        <v>7850</v>
      </c>
      <c r="F97" s="7" t="s">
        <v>428</v>
      </c>
      <c r="G97" s="7"/>
      <c r="H97" s="7" t="s">
        <v>105</v>
      </c>
      <c r="Q97" s="7"/>
      <c r="R97" s="68"/>
      <c r="S97" s="7"/>
      <c r="T97" s="7"/>
      <c r="V97" s="69"/>
    </row>
    <row r="98" spans="1:24">
      <c r="B98" s="1" t="s">
        <v>111</v>
      </c>
      <c r="D98" s="68" t="s">
        <v>7</v>
      </c>
      <c r="E98" s="67">
        <f>VLOOKUP(F93,VARS!H21:L25,5,FALSE)</f>
        <v>2038901.7809565801</v>
      </c>
      <c r="F98" s="7" t="s">
        <v>15</v>
      </c>
      <c r="H98" s="1" t="s">
        <v>110</v>
      </c>
      <c r="Q98" s="70"/>
      <c r="R98" s="68"/>
      <c r="S98" s="7"/>
      <c r="T98" s="7"/>
      <c r="V98" s="69"/>
    </row>
    <row r="99" spans="1:24">
      <c r="Q99" s="70"/>
      <c r="R99" s="68"/>
      <c r="S99" s="7"/>
    </row>
    <row r="100" spans="1:24">
      <c r="B100" s="39" t="s">
        <v>140</v>
      </c>
      <c r="C100" s="40" t="s">
        <v>112</v>
      </c>
      <c r="D100" s="68"/>
      <c r="F100" s="72" t="str">
        <f>E37</f>
        <v>H40</v>
      </c>
      <c r="G100" s="72"/>
      <c r="H100" s="7"/>
      <c r="L100" s="10"/>
      <c r="R100" s="70"/>
    </row>
    <row r="101" spans="1:24">
      <c r="R101" s="70"/>
    </row>
    <row r="102" spans="1:24" ht="16.2">
      <c r="A102" s="70"/>
      <c r="B102" s="71" t="s">
        <v>429</v>
      </c>
      <c r="C102" s="70"/>
      <c r="D102" s="68" t="s">
        <v>7</v>
      </c>
      <c r="E102" s="74">
        <f>VLOOKUP(F100,VARS!A63:E72,5,FALSE)</f>
        <v>2500</v>
      </c>
      <c r="F102" s="7" t="s">
        <v>428</v>
      </c>
      <c r="G102" s="7"/>
      <c r="H102" s="7" t="s">
        <v>131</v>
      </c>
    </row>
    <row r="103" spans="1:24">
      <c r="A103" s="70"/>
      <c r="B103" s="1" t="s">
        <v>121</v>
      </c>
      <c r="D103" s="68" t="s">
        <v>7</v>
      </c>
      <c r="E103" s="63">
        <f>VLOOKUP(F100,VARS!A63:D72,2,FALSE)*VARS!Q2</f>
        <v>356.7787971457696</v>
      </c>
      <c r="F103" s="7" t="s">
        <v>15</v>
      </c>
      <c r="H103" s="1" t="s">
        <v>129</v>
      </c>
    </row>
    <row r="104" spans="1:24">
      <c r="A104" s="70"/>
      <c r="B104" s="69" t="s">
        <v>123</v>
      </c>
      <c r="C104" s="70"/>
      <c r="D104" s="68" t="s">
        <v>7</v>
      </c>
      <c r="E104" s="74">
        <f>VLOOKUP(F100,VARS!A63:C72,3,FALSE)*VARS!Q2</f>
        <v>283441.1313003893</v>
      </c>
      <c r="F104" s="7" t="s">
        <v>15</v>
      </c>
      <c r="G104" s="7"/>
      <c r="H104" s="7" t="s">
        <v>130</v>
      </c>
      <c r="Q104" s="70"/>
    </row>
    <row r="105" spans="1:24">
      <c r="A105" s="70"/>
      <c r="B105" s="42" t="s">
        <v>124</v>
      </c>
      <c r="C105" s="70"/>
      <c r="D105" s="68" t="s">
        <v>7</v>
      </c>
      <c r="E105" s="72">
        <f>VLOOKUP(F100,VARS!A63:D72,4,FALSE)</f>
        <v>3.0000000000000001E-3</v>
      </c>
      <c r="F105" s="7"/>
      <c r="G105" s="7"/>
      <c r="H105" s="7" t="s">
        <v>132</v>
      </c>
      <c r="Q105" s="70"/>
      <c r="S105" s="138" t="s">
        <v>750</v>
      </c>
      <c r="T105" s="138"/>
      <c r="U105" s="138"/>
      <c r="V105" s="138"/>
      <c r="W105" s="138"/>
      <c r="X105" s="138"/>
    </row>
    <row r="106" spans="1:24">
      <c r="A106" s="70"/>
      <c r="B106" s="70"/>
      <c r="C106" s="70"/>
      <c r="D106" s="68"/>
      <c r="E106" s="74"/>
      <c r="F106" s="7"/>
      <c r="G106" s="7"/>
      <c r="H106" s="7"/>
      <c r="Q106" s="70"/>
    </row>
    <row r="107" spans="1:24">
      <c r="A107" s="70"/>
      <c r="B107" s="70"/>
      <c r="C107" s="70"/>
      <c r="D107" s="68"/>
      <c r="E107" s="74"/>
      <c r="F107" s="7"/>
      <c r="G107" s="7"/>
      <c r="H107" s="7"/>
      <c r="Q107" s="70"/>
    </row>
    <row r="108" spans="1:24">
      <c r="A108" s="57" t="s">
        <v>141</v>
      </c>
      <c r="B108" s="58" t="s">
        <v>142</v>
      </c>
      <c r="D108" s="58"/>
      <c r="E108" s="74"/>
      <c r="F108" s="7"/>
      <c r="G108" s="7"/>
      <c r="H108" s="7"/>
      <c r="Q108" s="70"/>
    </row>
    <row r="109" spans="1:24">
      <c r="E109" s="74"/>
      <c r="F109" s="7"/>
      <c r="G109" s="7"/>
      <c r="H109" s="7"/>
      <c r="Q109" s="70"/>
    </row>
    <row r="110" spans="1:24">
      <c r="A110" s="59" t="s">
        <v>101</v>
      </c>
      <c r="B110" s="1" t="s">
        <v>145</v>
      </c>
    </row>
    <row r="111" spans="1:24">
      <c r="A111" s="59"/>
    </row>
    <row r="112" spans="1:24" ht="16.2">
      <c r="A112" s="59"/>
      <c r="H112" s="1" t="s">
        <v>152</v>
      </c>
      <c r="N112" s="1" t="s">
        <v>146</v>
      </c>
      <c r="O112" s="11" t="s">
        <v>7</v>
      </c>
      <c r="P112" s="63">
        <f>PI()*(E71^2)*E72/4</f>
        <v>999.78044607841571</v>
      </c>
      <c r="Q112" s="7" t="s">
        <v>430</v>
      </c>
    </row>
    <row r="113" spans="1:17">
      <c r="A113" s="59"/>
    </row>
    <row r="114" spans="1:17">
      <c r="A114" s="59"/>
      <c r="H114" s="1" t="s">
        <v>145</v>
      </c>
      <c r="N114" s="1" t="s">
        <v>147</v>
      </c>
      <c r="O114" s="11" t="s">
        <v>7</v>
      </c>
      <c r="P114" s="63">
        <f>E89*P112</f>
        <v>999.78044607841571</v>
      </c>
      <c r="Q114" s="1" t="s">
        <v>16</v>
      </c>
    </row>
    <row r="115" spans="1:17">
      <c r="A115" s="59"/>
    </row>
    <row r="116" spans="1:17">
      <c r="A116" s="59" t="s">
        <v>103</v>
      </c>
      <c r="B116" s="1" t="s">
        <v>156</v>
      </c>
    </row>
    <row r="117" spans="1:17">
      <c r="A117" s="59"/>
    </row>
    <row r="118" spans="1:17">
      <c r="A118" s="59"/>
      <c r="B118" s="39" t="s">
        <v>138</v>
      </c>
      <c r="C118" s="7" t="s">
        <v>148</v>
      </c>
    </row>
    <row r="119" spans="1:17">
      <c r="A119" s="59"/>
    </row>
    <row r="120" spans="1:17">
      <c r="A120" s="59"/>
      <c r="H120" s="1" t="s">
        <v>151</v>
      </c>
      <c r="N120" s="1" t="s">
        <v>157</v>
      </c>
      <c r="O120" s="11" t="s">
        <v>7</v>
      </c>
      <c r="P120" s="1">
        <f>E97*PI()*E71*E74*E76/1000000</f>
        <v>16.5843670873356</v>
      </c>
      <c r="Q120" s="1" t="s">
        <v>16</v>
      </c>
    </row>
    <row r="121" spans="1:17">
      <c r="A121" s="59"/>
    </row>
    <row r="122" spans="1:17">
      <c r="A122" s="59"/>
      <c r="B122" s="1" t="s">
        <v>139</v>
      </c>
      <c r="C122" s="1" t="s">
        <v>149</v>
      </c>
    </row>
    <row r="123" spans="1:17">
      <c r="A123" s="59"/>
    </row>
    <row r="124" spans="1:17">
      <c r="A124" s="59"/>
      <c r="B124" s="1" t="s">
        <v>160</v>
      </c>
      <c r="D124" s="68" t="s">
        <v>7</v>
      </c>
      <c r="E124" s="1">
        <v>2.5</v>
      </c>
      <c r="F124" s="1" t="s">
        <v>16</v>
      </c>
      <c r="H124" s="1" t="s">
        <v>161</v>
      </c>
    </row>
    <row r="125" spans="1:17">
      <c r="A125" s="59"/>
      <c r="D125" s="68"/>
      <c r="H125" s="1" t="s">
        <v>162</v>
      </c>
    </row>
    <row r="127" spans="1:17">
      <c r="H127" s="1" t="s">
        <v>158</v>
      </c>
      <c r="N127" s="1" t="s">
        <v>159</v>
      </c>
      <c r="O127" s="11" t="s">
        <v>7</v>
      </c>
      <c r="P127" s="1">
        <f>E124+E97*PI()*(E71/2)*E81*E78/1000000</f>
        <v>8.0147966421934136</v>
      </c>
      <c r="Q127" s="1" t="s">
        <v>16</v>
      </c>
    </row>
    <row r="130" spans="1:17">
      <c r="B130" s="1" t="s">
        <v>140</v>
      </c>
      <c r="C130" s="1" t="s">
        <v>150</v>
      </c>
    </row>
    <row r="132" spans="1:17">
      <c r="H132" s="1" t="s">
        <v>164</v>
      </c>
      <c r="N132" s="1" t="s">
        <v>165</v>
      </c>
      <c r="O132" s="11" t="s">
        <v>7</v>
      </c>
      <c r="P132" s="1">
        <f>E97*PI()*(E71^2)/4*E77/1000000</f>
        <v>10.653769006853707</v>
      </c>
      <c r="Q132" s="1" t="s">
        <v>16</v>
      </c>
    </row>
    <row r="135" spans="1:17">
      <c r="A135" s="57" t="s">
        <v>166</v>
      </c>
      <c r="B135" s="58" t="s">
        <v>167</v>
      </c>
      <c r="D135" s="58"/>
      <c r="E135" s="74"/>
    </row>
    <row r="136" spans="1:17">
      <c r="E136" s="74"/>
    </row>
    <row r="137" spans="1:17">
      <c r="A137" s="59" t="s">
        <v>168</v>
      </c>
      <c r="B137" s="1" t="s">
        <v>169</v>
      </c>
    </row>
    <row r="139" spans="1:17">
      <c r="B139" s="1" t="s">
        <v>170</v>
      </c>
      <c r="D139" s="68" t="s">
        <v>7</v>
      </c>
      <c r="E139" s="63">
        <f>E56</f>
        <v>100</v>
      </c>
      <c r="F139" s="7" t="s">
        <v>171</v>
      </c>
      <c r="H139" s="1" t="s">
        <v>172</v>
      </c>
    </row>
    <row r="141" spans="1:17" ht="15.6">
      <c r="H141" s="1" t="s">
        <v>173</v>
      </c>
      <c r="N141" s="1" t="s">
        <v>431</v>
      </c>
      <c r="O141" s="11" t="s">
        <v>7</v>
      </c>
      <c r="P141" s="1">
        <f>E139*PI()*(E71^2)/4/1000</f>
        <v>11.309733552923255</v>
      </c>
      <c r="Q141" s="1" t="s">
        <v>16</v>
      </c>
    </row>
    <row r="144" spans="1:17">
      <c r="A144" s="59" t="s">
        <v>174</v>
      </c>
      <c r="C144" s="1" t="s">
        <v>176</v>
      </c>
    </row>
    <row r="146" spans="1:24">
      <c r="B146" s="1" t="s">
        <v>177</v>
      </c>
      <c r="D146" s="68" t="s">
        <v>7</v>
      </c>
      <c r="E146" s="1">
        <f>E57</f>
        <v>3.46</v>
      </c>
      <c r="F146" s="1" t="s">
        <v>16</v>
      </c>
      <c r="H146" s="1" t="s">
        <v>178</v>
      </c>
    </row>
    <row r="147" spans="1:24">
      <c r="B147" s="1" t="s">
        <v>180</v>
      </c>
      <c r="D147" s="68" t="s">
        <v>7</v>
      </c>
      <c r="E147" s="1">
        <f>E58</f>
        <v>1</v>
      </c>
      <c r="F147" s="1" t="s">
        <v>16</v>
      </c>
      <c r="H147" s="1" t="s">
        <v>179</v>
      </c>
    </row>
    <row r="149" spans="1:24" ht="15.6">
      <c r="H149" s="1" t="s">
        <v>175</v>
      </c>
      <c r="N149" s="1" t="s">
        <v>432</v>
      </c>
      <c r="O149" s="11" t="s">
        <v>7</v>
      </c>
      <c r="P149" s="1">
        <f>E147+E146</f>
        <v>4.46</v>
      </c>
      <c r="Q149" s="1" t="s">
        <v>16</v>
      </c>
      <c r="S149" s="138" t="s">
        <v>750</v>
      </c>
      <c r="T149" s="138"/>
      <c r="U149" s="138"/>
      <c r="V149" s="138"/>
      <c r="W149" s="138"/>
      <c r="X149" s="138"/>
    </row>
    <row r="152" spans="1:24">
      <c r="A152" s="57" t="s">
        <v>181</v>
      </c>
      <c r="B152" s="58" t="s">
        <v>754</v>
      </c>
      <c r="D152" s="58"/>
    </row>
    <row r="153" spans="1:24">
      <c r="B153" s="1" t="s">
        <v>183</v>
      </c>
    </row>
    <row r="155" spans="1:24">
      <c r="B155" s="1" t="s">
        <v>186</v>
      </c>
      <c r="F155" s="1" t="str">
        <f>F61</f>
        <v>III</v>
      </c>
    </row>
    <row r="157" spans="1:24">
      <c r="B157" s="1" t="s">
        <v>185</v>
      </c>
      <c r="F157" s="1" t="str">
        <f>F62</f>
        <v>C2</v>
      </c>
    </row>
    <row r="159" spans="1:24">
      <c r="B159" s="1" t="s">
        <v>187</v>
      </c>
      <c r="F159" s="4">
        <v>3</v>
      </c>
    </row>
    <row r="161" spans="1:17">
      <c r="B161" s="1" t="s">
        <v>284</v>
      </c>
      <c r="F161" s="1" t="str">
        <f>F64</f>
        <v>Acero</v>
      </c>
    </row>
    <row r="163" spans="1:17">
      <c r="A163" s="59" t="s">
        <v>189</v>
      </c>
      <c r="B163" s="1" t="s">
        <v>190</v>
      </c>
    </row>
    <row r="165" spans="1:17">
      <c r="B165" s="1" t="s">
        <v>138</v>
      </c>
      <c r="C165" s="1" t="s">
        <v>191</v>
      </c>
      <c r="N165" s="1" t="s">
        <v>192</v>
      </c>
      <c r="O165" s="11" t="s">
        <v>7</v>
      </c>
      <c r="P165" s="63">
        <f>VLOOKUP(F157,VARS!A78:B80,2,FALSE)</f>
        <v>1</v>
      </c>
    </row>
    <row r="167" spans="1:17">
      <c r="B167" s="1" t="s">
        <v>139</v>
      </c>
      <c r="C167" s="1" t="s">
        <v>212</v>
      </c>
      <c r="N167" s="1" t="s">
        <v>213</v>
      </c>
      <c r="O167" s="11" t="s">
        <v>7</v>
      </c>
      <c r="P167" s="63">
        <f>VLOOKUP(F159,VARS!A90:B92,2,FALSE)</f>
        <v>0.4</v>
      </c>
      <c r="Q167" s="1" t="s">
        <v>106</v>
      </c>
    </row>
    <row r="169" spans="1:17">
      <c r="B169" s="1" t="s">
        <v>140</v>
      </c>
      <c r="C169" s="1" t="s">
        <v>214</v>
      </c>
      <c r="N169" s="1" t="s">
        <v>215</v>
      </c>
      <c r="O169" s="11" t="s">
        <v>7</v>
      </c>
      <c r="P169" s="1">
        <f>2/3*P167</f>
        <v>0.26666666666666666</v>
      </c>
    </row>
    <row r="171" spans="1:17">
      <c r="B171" s="1" t="s">
        <v>216</v>
      </c>
      <c r="C171" s="1" t="s">
        <v>217</v>
      </c>
      <c r="N171" s="1" t="s">
        <v>19</v>
      </c>
      <c r="O171" s="11" t="s">
        <v>7</v>
      </c>
      <c r="P171" s="1">
        <f>VLOOKUP(F155,VARS!A84:C87,2,FALSE)</f>
        <v>1.8</v>
      </c>
    </row>
    <row r="172" spans="1:17">
      <c r="N172" s="1" t="s">
        <v>201</v>
      </c>
      <c r="O172" s="11" t="s">
        <v>7</v>
      </c>
      <c r="P172" s="1">
        <f>VLOOKUP(F155,VARS!A84:C87,3,FALSE)</f>
        <v>0.62</v>
      </c>
      <c r="Q172" s="1" t="s">
        <v>218</v>
      </c>
    </row>
    <row r="174" spans="1:17">
      <c r="B174" s="1" t="s">
        <v>219</v>
      </c>
      <c r="C174" s="1" t="s">
        <v>220</v>
      </c>
      <c r="N174" s="1" t="s">
        <v>208</v>
      </c>
      <c r="O174" s="11" t="s">
        <v>7</v>
      </c>
      <c r="P174" s="67">
        <f>VLOOKUP(F161,VARS!A95:C96,3,FALSE)</f>
        <v>4</v>
      </c>
    </row>
    <row r="176" spans="1:17">
      <c r="B176" s="1" t="s">
        <v>221</v>
      </c>
      <c r="C176" s="1" t="s">
        <v>222</v>
      </c>
      <c r="N176" s="77" t="s">
        <v>205</v>
      </c>
      <c r="O176" s="11" t="s">
        <v>7</v>
      </c>
      <c r="P176" s="1">
        <f>VLOOKUP(F161,VARS!A95:C96,2,FALSE)</f>
        <v>0.02</v>
      </c>
    </row>
    <row r="178" spans="2:18">
      <c r="B178" s="1" t="s">
        <v>223</v>
      </c>
      <c r="C178" s="1" t="s">
        <v>224</v>
      </c>
    </row>
    <row r="180" spans="2:18">
      <c r="I180" s="1" t="s">
        <v>225</v>
      </c>
    </row>
    <row r="181" spans="2:18">
      <c r="R181" s="77"/>
    </row>
    <row r="182" spans="2:18" ht="15.6">
      <c r="B182" s="1" t="s">
        <v>433</v>
      </c>
      <c r="D182" s="68" t="s">
        <v>7</v>
      </c>
      <c r="E182" s="1">
        <f>IF(P176=0.02,VLOOKUP(P174,VARS!A101:C102,2,FALSE),VLOOKUP(P174,VARS!A101:C102,2,FALSE))*VLOOKUP(F159,VARS!A90:C92,3,FALSE)</f>
        <v>0.32</v>
      </c>
      <c r="I182" s="1" t="s">
        <v>227</v>
      </c>
    </row>
    <row r="184" spans="2:18">
      <c r="B184" s="1" t="s">
        <v>228</v>
      </c>
      <c r="C184" s="1" t="s">
        <v>229</v>
      </c>
      <c r="H184" s="10"/>
      <c r="I184" s="10" t="s">
        <v>381</v>
      </c>
      <c r="J184" s="4">
        <f>P174</f>
        <v>4</v>
      </c>
      <c r="K184" s="78" t="s">
        <v>434</v>
      </c>
      <c r="L184" s="1">
        <f>P176</f>
        <v>0.02</v>
      </c>
      <c r="M184" s="1" t="s">
        <v>237</v>
      </c>
    </row>
    <row r="186" spans="2:18">
      <c r="B186" s="1" t="s">
        <v>230</v>
      </c>
      <c r="D186" s="68" t="s">
        <v>7</v>
      </c>
      <c r="E186" s="63">
        <v>0.2</v>
      </c>
      <c r="F186" s="1" t="s">
        <v>218</v>
      </c>
      <c r="I186" s="1" t="s">
        <v>231</v>
      </c>
    </row>
    <row r="188" spans="2:18">
      <c r="B188" s="1" t="s">
        <v>234</v>
      </c>
      <c r="D188" s="68" t="s">
        <v>7</v>
      </c>
      <c r="E188" s="1">
        <f>2.75*(P167/P174)*((P172/E186)^P171)*(0.05/P176)^0.4</f>
        <v>3.0406031858008964</v>
      </c>
      <c r="I188" s="1" t="s">
        <v>233</v>
      </c>
    </row>
    <row r="190" spans="2:18">
      <c r="B190" s="1" t="s">
        <v>232</v>
      </c>
      <c r="D190" s="68" t="s">
        <v>7</v>
      </c>
      <c r="E190" s="1">
        <f>MIN(E188,E182)</f>
        <v>0.32</v>
      </c>
      <c r="I190" s="1" t="s">
        <v>235</v>
      </c>
    </row>
    <row r="192" spans="2:18">
      <c r="B192" s="1" t="s">
        <v>228</v>
      </c>
      <c r="C192" s="1" t="s">
        <v>236</v>
      </c>
      <c r="H192" s="10"/>
      <c r="I192" s="10" t="s">
        <v>381</v>
      </c>
      <c r="J192" s="79">
        <v>1</v>
      </c>
      <c r="K192" s="80" t="s">
        <v>434</v>
      </c>
      <c r="L192" s="81">
        <v>5.0000000000000001E-3</v>
      </c>
      <c r="M192" s="1" t="s">
        <v>237</v>
      </c>
    </row>
    <row r="194" spans="1:26">
      <c r="I194" s="1" t="s">
        <v>239</v>
      </c>
      <c r="N194" s="1" t="s">
        <v>238</v>
      </c>
      <c r="O194" s="11" t="s">
        <v>7</v>
      </c>
      <c r="P194" s="1">
        <f>0.578/SQRT(TANH(3.68*E72/E71))</f>
        <v>0.58055978682643106</v>
      </c>
    </row>
    <row r="198" spans="1:26">
      <c r="D198" s="68"/>
      <c r="E198" s="63"/>
      <c r="I198" s="1" t="s">
        <v>241</v>
      </c>
      <c r="N198" s="1" t="s">
        <v>240</v>
      </c>
      <c r="O198" s="11" t="s">
        <v>7</v>
      </c>
      <c r="P198" s="1">
        <f>1.8*P194*SQRT(E71)</f>
        <v>3.6200125714130462</v>
      </c>
      <c r="Q198" s="1" t="s">
        <v>218</v>
      </c>
    </row>
    <row r="201" spans="1:26">
      <c r="B201" s="1" t="s">
        <v>242</v>
      </c>
      <c r="D201" s="68" t="s">
        <v>7</v>
      </c>
      <c r="E201" s="1">
        <f>2.75*(P167/J192)*((P172/P198)^P171)*(0.05/L192)^0.4</f>
        <v>0.11535052740344748</v>
      </c>
      <c r="I201" s="1" t="s">
        <v>243</v>
      </c>
    </row>
    <row r="203" spans="1:26">
      <c r="D203" s="68"/>
      <c r="E203" s="10" t="s">
        <v>7</v>
      </c>
      <c r="F203" s="1">
        <f>MAX(E201,0.1*P167)</f>
        <v>0.11535052740344748</v>
      </c>
      <c r="I203" s="1" t="s">
        <v>244</v>
      </c>
    </row>
    <row r="204" spans="1:26">
      <c r="S204" s="138" t="s">
        <v>750</v>
      </c>
      <c r="T204" s="138"/>
      <c r="U204" s="138"/>
      <c r="V204" s="138"/>
      <c r="W204" s="138"/>
      <c r="X204" s="138"/>
    </row>
    <row r="206" spans="1:26">
      <c r="A206" s="59" t="s">
        <v>245</v>
      </c>
      <c r="B206" s="1" t="s">
        <v>246</v>
      </c>
    </row>
    <row r="208" spans="1:26">
      <c r="X208" s="1" t="s">
        <v>249</v>
      </c>
      <c r="Y208" s="1">
        <f>TANH(0.866*Y210)/(0.866*Y210)*P114</f>
        <v>702.52721960770566</v>
      </c>
      <c r="Z208" s="1" t="s">
        <v>9</v>
      </c>
    </row>
    <row r="209" spans="1:26">
      <c r="I209" s="1" t="s">
        <v>247</v>
      </c>
      <c r="N209" s="1" t="s">
        <v>248</v>
      </c>
      <c r="O209" s="11" t="s">
        <v>7</v>
      </c>
      <c r="P209" s="63">
        <f>IF(Y210&gt;=4/3,Y208,Y209)</f>
        <v>702.52721960770566</v>
      </c>
      <c r="Q209" s="1" t="s">
        <v>16</v>
      </c>
      <c r="X209" s="1" t="s">
        <v>250</v>
      </c>
      <c r="Y209" s="1">
        <f>(1-0.218*Y210)*P114</f>
        <v>703.91781633394328</v>
      </c>
      <c r="Z209" s="1" t="s">
        <v>9</v>
      </c>
    </row>
    <row r="210" spans="1:26">
      <c r="X210" s="1" t="s">
        <v>251</v>
      </c>
      <c r="Y210" s="1">
        <f>E71/E72</f>
        <v>1.3574660633484164</v>
      </c>
    </row>
    <row r="215" spans="1:26">
      <c r="I215" s="1" t="s">
        <v>252</v>
      </c>
      <c r="N215" s="1" t="s">
        <v>253</v>
      </c>
      <c r="O215" s="11" t="s">
        <v>7</v>
      </c>
      <c r="P215" s="63">
        <f>(0.23*Y210*TANH(3.67/Y210))*P114</f>
        <v>309.36149792556478</v>
      </c>
      <c r="Q215" s="1" t="s">
        <v>16</v>
      </c>
    </row>
    <row r="218" spans="1:26">
      <c r="A218" s="59" t="s">
        <v>254</v>
      </c>
      <c r="B218" s="1" t="s">
        <v>255</v>
      </c>
    </row>
    <row r="220" spans="1:26">
      <c r="I220" s="1" t="s">
        <v>256</v>
      </c>
      <c r="N220" s="1" t="s">
        <v>259</v>
      </c>
      <c r="O220" s="11" t="s">
        <v>7</v>
      </c>
      <c r="P220" s="1">
        <f>P165*E190*(P120+P127+P132+P209)</f>
        <v>236.0896487501083</v>
      </c>
      <c r="Q220" s="1" t="s">
        <v>16</v>
      </c>
    </row>
    <row r="222" spans="1:26">
      <c r="I222" s="1" t="s">
        <v>257</v>
      </c>
      <c r="N222" s="1" t="s">
        <v>260</v>
      </c>
      <c r="O222" s="11" t="s">
        <v>7</v>
      </c>
      <c r="P222" s="1">
        <f>P165*F203*P215</f>
        <v>35.685011944034422</v>
      </c>
      <c r="Q222" s="1" t="s">
        <v>16</v>
      </c>
    </row>
    <row r="224" spans="1:26">
      <c r="I224" s="1" t="s">
        <v>258</v>
      </c>
      <c r="N224" s="1" t="s">
        <v>17</v>
      </c>
      <c r="O224" s="11" t="s">
        <v>7</v>
      </c>
      <c r="P224" s="1">
        <f>SQRT(P220^2+P222^2)</f>
        <v>238.77131805222206</v>
      </c>
      <c r="Q224" s="1" t="s">
        <v>16</v>
      </c>
    </row>
    <row r="227" spans="1:26">
      <c r="A227" s="59" t="s">
        <v>261</v>
      </c>
      <c r="B227" s="1" t="s">
        <v>262</v>
      </c>
    </row>
    <row r="228" spans="1:26">
      <c r="B228" s="1" t="s">
        <v>263</v>
      </c>
    </row>
    <row r="230" spans="1:26">
      <c r="B230" s="1" t="s">
        <v>138</v>
      </c>
      <c r="C230" s="1" t="s">
        <v>264</v>
      </c>
    </row>
    <row r="232" spans="1:26">
      <c r="N232" s="1" t="s">
        <v>265</v>
      </c>
      <c r="O232" s="11" t="s">
        <v>7</v>
      </c>
      <c r="P232" s="1">
        <f>IF(Y234&gt;4/3,Y232,Y233)</f>
        <v>3.3149999999999999</v>
      </c>
      <c r="Q232" s="1" t="s">
        <v>84</v>
      </c>
      <c r="X232" s="1" t="s">
        <v>266</v>
      </c>
      <c r="Y232" s="1">
        <f>0.375*E72</f>
        <v>3.3149999999999999</v>
      </c>
      <c r="Z232" s="1" t="s">
        <v>18</v>
      </c>
    </row>
    <row r="233" spans="1:26">
      <c r="X233" s="1" t="s">
        <v>267</v>
      </c>
      <c r="Y233" s="1">
        <f>(0.5-0.094*Y234)*E72</f>
        <v>3.2919999999999998</v>
      </c>
      <c r="Z233" s="1" t="s">
        <v>18</v>
      </c>
    </row>
    <row r="234" spans="1:26">
      <c r="X234" s="1" t="s">
        <v>251</v>
      </c>
      <c r="Y234" s="1">
        <f>E71/E72</f>
        <v>1.3574660633484164</v>
      </c>
    </row>
    <row r="237" spans="1:26">
      <c r="B237" s="1" t="s">
        <v>139</v>
      </c>
      <c r="C237" s="1" t="s">
        <v>270</v>
      </c>
    </row>
    <row r="240" spans="1:26">
      <c r="N240" s="1" t="s">
        <v>268</v>
      </c>
      <c r="O240" s="11" t="s">
        <v>7</v>
      </c>
      <c r="P240" s="1">
        <f>(1-(COSH(Z240)-1)/(Z240*SINH(Z240)))*E72</f>
        <v>5.9806859268378405</v>
      </c>
      <c r="Q240" s="1" t="s">
        <v>84</v>
      </c>
      <c r="X240" s="1" t="s">
        <v>269</v>
      </c>
      <c r="Z240" s="1">
        <f>3.67/Y234</f>
        <v>2.7035666666666667</v>
      </c>
    </row>
    <row r="244" spans="2:26">
      <c r="B244" s="1" t="s">
        <v>140</v>
      </c>
      <c r="C244" s="1" t="s">
        <v>271</v>
      </c>
    </row>
    <row r="246" spans="2:26">
      <c r="C246" s="1" t="s">
        <v>273</v>
      </c>
      <c r="N246" s="1" t="s">
        <v>274</v>
      </c>
      <c r="O246" s="11" t="s">
        <v>7</v>
      </c>
      <c r="P246" s="1">
        <f>0.5*E74</f>
        <v>4.67</v>
      </c>
      <c r="Q246" s="1" t="s">
        <v>84</v>
      </c>
    </row>
    <row r="248" spans="2:26">
      <c r="B248" s="1" t="s">
        <v>216</v>
      </c>
      <c r="C248" s="1" t="s">
        <v>272</v>
      </c>
      <c r="X248" s="82" t="s">
        <v>749</v>
      </c>
      <c r="Y248" s="82"/>
      <c r="Z248" s="82"/>
    </row>
    <row r="250" spans="2:26">
      <c r="C250" s="1" t="s">
        <v>275</v>
      </c>
      <c r="N250" s="1" t="s">
        <v>276</v>
      </c>
      <c r="O250" s="11" t="s">
        <v>7</v>
      </c>
      <c r="P250" s="1">
        <f>E74</f>
        <v>9.34</v>
      </c>
      <c r="Q250" s="1" t="s">
        <v>84</v>
      </c>
    </row>
    <row r="252" spans="2:26">
      <c r="B252" s="1" t="s">
        <v>219</v>
      </c>
      <c r="C252" s="1" t="s">
        <v>277</v>
      </c>
    </row>
    <row r="254" spans="2:26">
      <c r="N254" s="1" t="s">
        <v>278</v>
      </c>
      <c r="O254" s="11" t="s">
        <v>7</v>
      </c>
      <c r="P254" s="1">
        <f>SQRT((P165*E190*(P209*P232+P120*P246+P127*P250))^2+(P165*F203*P215*P240)^2)</f>
        <v>822.16263116678738</v>
      </c>
      <c r="Q254" s="1" t="s">
        <v>279</v>
      </c>
    </row>
    <row r="255" spans="2:26">
      <c r="S255" s="138" t="s">
        <v>750</v>
      </c>
      <c r="T255" s="138"/>
      <c r="U255" s="138"/>
      <c r="V255" s="138"/>
      <c r="W255" s="138"/>
      <c r="X255" s="138"/>
    </row>
    <row r="258" spans="1:26">
      <c r="A258" s="57" t="s">
        <v>280</v>
      </c>
      <c r="B258" s="58" t="s">
        <v>755</v>
      </c>
      <c r="D258" s="58"/>
    </row>
    <row r="260" spans="1:26">
      <c r="A260" s="59" t="s">
        <v>282</v>
      </c>
      <c r="B260" s="1" t="s">
        <v>283</v>
      </c>
    </row>
    <row r="262" spans="1:26">
      <c r="N262" s="1" t="s">
        <v>285</v>
      </c>
      <c r="O262" s="11" t="s">
        <v>7</v>
      </c>
      <c r="P262" s="1">
        <f>(P120+P127+P149)/(PI()*E71)</f>
        <v>0.77081825827854322</v>
      </c>
      <c r="Q262" s="1" t="s">
        <v>286</v>
      </c>
    </row>
    <row r="264" spans="1:26">
      <c r="A264" s="59" t="s">
        <v>287</v>
      </c>
      <c r="B264" s="1" t="s">
        <v>288</v>
      </c>
    </row>
    <row r="266" spans="1:26" ht="15.6">
      <c r="B266" s="1" t="s">
        <v>435</v>
      </c>
      <c r="D266" s="68" t="s">
        <v>7</v>
      </c>
      <c r="E266" s="62">
        <v>8</v>
      </c>
      <c r="F266" s="1" t="s">
        <v>8</v>
      </c>
      <c r="I266" s="1" t="s">
        <v>289</v>
      </c>
      <c r="X266" s="82" t="s">
        <v>748</v>
      </c>
      <c r="Y266" s="82"/>
      <c r="Z266" s="82"/>
    </row>
    <row r="267" spans="1:26" ht="15.6">
      <c r="B267" s="1" t="s">
        <v>436</v>
      </c>
      <c r="D267" s="68" t="s">
        <v>7</v>
      </c>
      <c r="E267" s="63">
        <f>E77</f>
        <v>12</v>
      </c>
      <c r="F267" s="1" t="s">
        <v>8</v>
      </c>
      <c r="I267" s="1" t="s">
        <v>92</v>
      </c>
    </row>
    <row r="268" spans="1:26" ht="15.6">
      <c r="B268" s="1" t="s">
        <v>437</v>
      </c>
      <c r="D268" s="68" t="s">
        <v>7</v>
      </c>
      <c r="E268" s="63">
        <f>MIN(E266:E267)</f>
        <v>8</v>
      </c>
      <c r="F268" s="1" t="s">
        <v>8</v>
      </c>
      <c r="I268" s="1" t="s">
        <v>438</v>
      </c>
    </row>
    <row r="269" spans="1:26">
      <c r="B269" s="1" t="s">
        <v>30</v>
      </c>
      <c r="D269" s="68" t="s">
        <v>7</v>
      </c>
      <c r="E269" s="63">
        <f>E95*0.0980665</f>
        <v>248.21126255442846</v>
      </c>
      <c r="F269" s="1" t="s">
        <v>290</v>
      </c>
      <c r="I269" s="7" t="s">
        <v>108</v>
      </c>
    </row>
    <row r="270" spans="1:26">
      <c r="B270" s="1" t="s">
        <v>83</v>
      </c>
      <c r="D270" s="68" t="s">
        <v>7</v>
      </c>
      <c r="E270" s="1">
        <f>E71</f>
        <v>12</v>
      </c>
      <c r="F270" s="1" t="s">
        <v>84</v>
      </c>
      <c r="I270" s="1" t="s">
        <v>153</v>
      </c>
    </row>
    <row r="271" spans="1:26">
      <c r="B271" s="1" t="s">
        <v>6</v>
      </c>
      <c r="D271" s="68" t="s">
        <v>7</v>
      </c>
      <c r="E271" s="1">
        <f>E72</f>
        <v>8.84</v>
      </c>
      <c r="F271" s="1" t="s">
        <v>84</v>
      </c>
      <c r="I271" s="1" t="s">
        <v>85</v>
      </c>
    </row>
    <row r="272" spans="1:26" ht="16.2">
      <c r="B272" s="71" t="s">
        <v>423</v>
      </c>
      <c r="D272" s="68" t="s">
        <v>7</v>
      </c>
      <c r="E272" s="1">
        <f>E89</f>
        <v>1</v>
      </c>
      <c r="F272" s="7" t="s">
        <v>424</v>
      </c>
      <c r="G272" s="7"/>
      <c r="I272" s="7" t="s">
        <v>104</v>
      </c>
    </row>
    <row r="275" spans="1:17">
      <c r="N275" s="1" t="s">
        <v>291</v>
      </c>
      <c r="O275" s="11" t="s">
        <v>7</v>
      </c>
      <c r="P275" s="1">
        <f>MIN(99*E268*SQRT(E269*E271*E272),196*E271*E270*E272)/9807</f>
        <v>2.1200856531049252</v>
      </c>
      <c r="Q275" s="1" t="s">
        <v>286</v>
      </c>
    </row>
    <row r="279" spans="1:17">
      <c r="A279" s="59" t="s">
        <v>292</v>
      </c>
      <c r="B279" s="1" t="s">
        <v>293</v>
      </c>
    </row>
    <row r="281" spans="1:17">
      <c r="B281" s="1" t="s">
        <v>294</v>
      </c>
    </row>
    <row r="283" spans="1:17">
      <c r="E283" s="1">
        <f>P254/((E270^2)*(P262+P275))</f>
        <v>1.9749749183824334</v>
      </c>
      <c r="N283" s="77" t="s">
        <v>295</v>
      </c>
      <c r="O283" s="11">
        <f>E283</f>
        <v>1.9749749183824334</v>
      </c>
      <c r="P283" s="1" t="str">
        <f>IF(E283&lt;1.57,"No requiere anclaje","Tanque requiere anclaje")</f>
        <v>Tanque requiere anclaje</v>
      </c>
    </row>
    <row r="287" spans="1:17">
      <c r="A287" s="57" t="s">
        <v>296</v>
      </c>
      <c r="B287" s="58" t="s">
        <v>297</v>
      </c>
      <c r="D287" s="58"/>
    </row>
    <row r="289" spans="1:2">
      <c r="A289" s="59" t="s">
        <v>298</v>
      </c>
      <c r="B289" s="1" t="s">
        <v>299</v>
      </c>
    </row>
    <row r="308" spans="2:24">
      <c r="S308" s="138" t="s">
        <v>750</v>
      </c>
      <c r="T308" s="138"/>
      <c r="U308" s="138"/>
      <c r="V308" s="138"/>
      <c r="W308" s="138"/>
      <c r="X308" s="138"/>
    </row>
    <row r="309" spans="2:24" ht="16.2">
      <c r="B309" s="71" t="s">
        <v>439</v>
      </c>
      <c r="D309" s="68" t="s">
        <v>7</v>
      </c>
      <c r="E309" s="1">
        <f>E31</f>
        <v>1.8</v>
      </c>
      <c r="F309" s="7" t="s">
        <v>424</v>
      </c>
      <c r="G309" s="7"/>
      <c r="I309" s="7" t="s">
        <v>300</v>
      </c>
    </row>
    <row r="310" spans="2:24" ht="15.6">
      <c r="B310" s="71" t="s">
        <v>440</v>
      </c>
      <c r="D310" s="68" t="s">
        <v>7</v>
      </c>
      <c r="E310" s="67">
        <f>E32</f>
        <v>36</v>
      </c>
      <c r="F310" s="7" t="s">
        <v>301</v>
      </c>
      <c r="G310" s="7"/>
      <c r="I310" s="7" t="s">
        <v>302</v>
      </c>
    </row>
    <row r="311" spans="2:24">
      <c r="B311" s="1" t="s">
        <v>12</v>
      </c>
      <c r="D311" s="68" t="s">
        <v>7</v>
      </c>
      <c r="E311" s="63">
        <f>E23</f>
        <v>120</v>
      </c>
      <c r="F311" s="1" t="s">
        <v>8</v>
      </c>
      <c r="I311" s="1" t="s">
        <v>303</v>
      </c>
    </row>
    <row r="312" spans="2:24">
      <c r="B312" s="1" t="s">
        <v>83</v>
      </c>
      <c r="D312" s="68" t="s">
        <v>7</v>
      </c>
      <c r="E312" s="1">
        <f>E71</f>
        <v>12</v>
      </c>
      <c r="F312" s="1" t="s">
        <v>84</v>
      </c>
      <c r="I312" s="1" t="s">
        <v>306</v>
      </c>
    </row>
    <row r="313" spans="2:24">
      <c r="B313" s="1" t="s">
        <v>10</v>
      </c>
      <c r="D313" s="68" t="s">
        <v>7</v>
      </c>
      <c r="E313" s="1">
        <f>E76</f>
        <v>6</v>
      </c>
      <c r="F313" s="1" t="s">
        <v>8</v>
      </c>
      <c r="I313" s="1" t="s">
        <v>90</v>
      </c>
    </row>
    <row r="314" spans="2:24">
      <c r="B314" s="1" t="s">
        <v>304</v>
      </c>
      <c r="D314" s="68" t="s">
        <v>7</v>
      </c>
      <c r="E314" s="1">
        <f>E312+(2*E313+2*E311)/1000</f>
        <v>12.252000000000001</v>
      </c>
      <c r="F314" s="1" t="s">
        <v>84</v>
      </c>
      <c r="I314" s="1" t="s">
        <v>305</v>
      </c>
    </row>
    <row r="316" spans="2:24">
      <c r="B316" s="1" t="s">
        <v>307</v>
      </c>
      <c r="D316" s="68" t="s">
        <v>7</v>
      </c>
      <c r="E316" s="67">
        <f>E18</f>
        <v>800</v>
      </c>
      <c r="F316" s="1" t="s">
        <v>8</v>
      </c>
      <c r="I316" s="1" t="s">
        <v>312</v>
      </c>
    </row>
    <row r="317" spans="2:24">
      <c r="B317" s="1" t="s">
        <v>308</v>
      </c>
      <c r="D317" s="68" t="s">
        <v>7</v>
      </c>
      <c r="E317" s="67">
        <f>E19</f>
        <v>1200</v>
      </c>
      <c r="F317" s="1" t="s">
        <v>8</v>
      </c>
      <c r="I317" s="1" t="s">
        <v>313</v>
      </c>
    </row>
    <row r="318" spans="2:24">
      <c r="B318" s="1" t="s">
        <v>309</v>
      </c>
      <c r="D318" s="68" t="s">
        <v>7</v>
      </c>
      <c r="E318" s="67">
        <f>E20</f>
        <v>1900</v>
      </c>
      <c r="F318" s="1" t="s">
        <v>8</v>
      </c>
      <c r="I318" s="1" t="s">
        <v>314</v>
      </c>
    </row>
    <row r="319" spans="2:24">
      <c r="B319" s="1" t="s">
        <v>310</v>
      </c>
      <c r="D319" s="68" t="s">
        <v>7</v>
      </c>
      <c r="E319" s="67">
        <f>E21</f>
        <v>600</v>
      </c>
      <c r="F319" s="1" t="s">
        <v>8</v>
      </c>
      <c r="I319" s="1" t="s">
        <v>315</v>
      </c>
    </row>
    <row r="320" spans="2:24">
      <c r="B320" s="1" t="s">
        <v>311</v>
      </c>
      <c r="D320" s="68" t="s">
        <v>7</v>
      </c>
      <c r="E320" s="67">
        <f>E22</f>
        <v>1325</v>
      </c>
      <c r="F320" s="1" t="s">
        <v>8</v>
      </c>
      <c r="I320" s="1" t="s">
        <v>316</v>
      </c>
    </row>
    <row r="322" spans="1:17">
      <c r="B322" s="1" t="s">
        <v>317</v>
      </c>
      <c r="D322" s="68" t="s">
        <v>7</v>
      </c>
      <c r="E322" s="1">
        <f>(E317+E319)/1000</f>
        <v>1.8</v>
      </c>
      <c r="F322" s="1" t="s">
        <v>84</v>
      </c>
      <c r="I322" s="1" t="s">
        <v>320</v>
      </c>
    </row>
    <row r="323" spans="1:17">
      <c r="B323" s="1" t="s">
        <v>318</v>
      </c>
      <c r="D323" s="68" t="s">
        <v>7</v>
      </c>
      <c r="E323" s="1">
        <f>(E312+E318/1000)/2</f>
        <v>6.95</v>
      </c>
      <c r="F323" s="1" t="s">
        <v>84</v>
      </c>
      <c r="I323" s="1" t="s">
        <v>321</v>
      </c>
    </row>
    <row r="324" spans="1:17">
      <c r="B324" s="1" t="s">
        <v>319</v>
      </c>
      <c r="D324" s="68" t="s">
        <v>7</v>
      </c>
      <c r="E324" s="1">
        <f>(E312-E318/1000)/2</f>
        <v>5.05</v>
      </c>
      <c r="F324" s="1" t="s">
        <v>84</v>
      </c>
      <c r="I324" s="1" t="s">
        <v>322</v>
      </c>
    </row>
    <row r="327" spans="1:17">
      <c r="A327" s="59" t="s">
        <v>323</v>
      </c>
      <c r="B327" s="1" t="s">
        <v>324</v>
      </c>
    </row>
    <row r="328" spans="1:17">
      <c r="B328" s="1" t="s">
        <v>325</v>
      </c>
    </row>
    <row r="330" spans="1:17">
      <c r="B330" s="1" t="s">
        <v>138</v>
      </c>
      <c r="C330" s="1" t="s">
        <v>326</v>
      </c>
    </row>
    <row r="332" spans="1:17" ht="15.6">
      <c r="N332" s="1" t="s">
        <v>441</v>
      </c>
      <c r="O332" s="11" t="s">
        <v>7</v>
      </c>
      <c r="P332" s="1">
        <f>E102*(E316*E317+E318*E319)*(PI()*E312)/(1000000000)</f>
        <v>197.92033717615695</v>
      </c>
      <c r="Q332" s="1" t="s">
        <v>16</v>
      </c>
    </row>
    <row r="335" spans="1:17">
      <c r="B335" s="1" t="s">
        <v>139</v>
      </c>
      <c r="C335" s="1" t="s">
        <v>327</v>
      </c>
    </row>
    <row r="336" spans="1:17">
      <c r="C336" s="1" t="s">
        <v>329</v>
      </c>
      <c r="D336" s="1" t="s">
        <v>331</v>
      </c>
    </row>
    <row r="338" spans="3:17">
      <c r="G338" s="11"/>
      <c r="H338" s="11" t="s">
        <v>7</v>
      </c>
      <c r="I338" s="1">
        <f>E71+E316/1000+(E318-E316)/2000</f>
        <v>13.350000000000001</v>
      </c>
      <c r="J338" s="1" t="s">
        <v>84</v>
      </c>
      <c r="K338" s="1" t="s">
        <v>328</v>
      </c>
    </row>
    <row r="341" spans="3:17" ht="15.6">
      <c r="N341" s="1" t="s">
        <v>442</v>
      </c>
      <c r="O341" s="11" t="s">
        <v>7</v>
      </c>
      <c r="P341" s="1">
        <f>E309*(((E318-E316)/2*(E320-E319))*PI()*I338)/1000000</f>
        <v>30.102622996972894</v>
      </c>
      <c r="Q341" s="1" t="s">
        <v>16</v>
      </c>
    </row>
    <row r="344" spans="3:17">
      <c r="C344" s="1" t="s">
        <v>330</v>
      </c>
      <c r="D344" s="1" t="s">
        <v>332</v>
      </c>
    </row>
    <row r="346" spans="3:17">
      <c r="H346" s="11" t="s">
        <v>7</v>
      </c>
      <c r="I346" s="1">
        <f>E71-E316/1000-(E318-E316)/2000</f>
        <v>10.649999999999999</v>
      </c>
      <c r="J346" s="1" t="s">
        <v>84</v>
      </c>
      <c r="K346" s="1" t="s">
        <v>328</v>
      </c>
    </row>
    <row r="349" spans="3:17" ht="15.6">
      <c r="N349" s="1" t="s">
        <v>443</v>
      </c>
      <c r="O349" s="11" t="s">
        <v>7</v>
      </c>
      <c r="P349" s="1">
        <f>E309*(((E318-E316)/2*(E317))*PI()*I346)/1000000</f>
        <v>39.748058571748771</v>
      </c>
      <c r="Q349" s="1" t="s">
        <v>16</v>
      </c>
    </row>
    <row r="352" spans="3:17" ht="15.6">
      <c r="N352" s="1" t="s">
        <v>444</v>
      </c>
      <c r="O352" s="11" t="s">
        <v>7</v>
      </c>
      <c r="P352" s="1">
        <f>P349+P341</f>
        <v>69.850681568721669</v>
      </c>
      <c r="Q352" s="1" t="s">
        <v>16</v>
      </c>
    </row>
    <row r="355" spans="2:24">
      <c r="B355" s="1" t="s">
        <v>140</v>
      </c>
      <c r="C355" s="1" t="s">
        <v>333</v>
      </c>
    </row>
    <row r="357" spans="2:24">
      <c r="I357" s="1">
        <f>(E316/2+(E318-E316)/2)/1000</f>
        <v>0.95</v>
      </c>
      <c r="J357" s="1" t="s">
        <v>84</v>
      </c>
      <c r="K357" s="1" t="s">
        <v>334</v>
      </c>
    </row>
    <row r="359" spans="2:24" ht="15.6">
      <c r="N359" s="1" t="s">
        <v>445</v>
      </c>
      <c r="O359" s="11" t="s">
        <v>7</v>
      </c>
      <c r="P359" s="1">
        <f>(I357*E72*PI()*(E71-I357))*E89</f>
        <v>291.53320090856027</v>
      </c>
      <c r="Q359" s="1" t="s">
        <v>16</v>
      </c>
    </row>
    <row r="362" spans="2:24" ht="15.6">
      <c r="B362" s="1" t="s">
        <v>216</v>
      </c>
      <c r="C362" s="1" t="s">
        <v>335</v>
      </c>
      <c r="N362" s="1" t="s">
        <v>446</v>
      </c>
      <c r="O362" s="11" t="s">
        <v>7</v>
      </c>
      <c r="P362" s="1">
        <f>P120+P127</f>
        <v>24.599163729529014</v>
      </c>
      <c r="Q362" s="1" t="s">
        <v>16</v>
      </c>
    </row>
    <row r="364" spans="2:24">
      <c r="B364" s="1" t="s">
        <v>219</v>
      </c>
      <c r="C364" s="1" t="s">
        <v>336</v>
      </c>
    </row>
    <row r="366" spans="2:24" ht="15.6">
      <c r="B366" s="1" t="s">
        <v>447</v>
      </c>
      <c r="N366" s="1" t="s">
        <v>448</v>
      </c>
      <c r="O366" s="11" t="s">
        <v>7</v>
      </c>
      <c r="P366" s="1">
        <f>P332+P352+P359+P362+E124</f>
        <v>586.40338338296783</v>
      </c>
      <c r="Q366" s="1" t="s">
        <v>16</v>
      </c>
      <c r="S366" s="138" t="s">
        <v>750</v>
      </c>
      <c r="T366" s="138"/>
      <c r="U366" s="138"/>
      <c r="V366" s="138"/>
      <c r="W366" s="138"/>
      <c r="X366" s="138"/>
    </row>
    <row r="369" spans="1:17">
      <c r="A369" s="59" t="s">
        <v>337</v>
      </c>
      <c r="B369" s="1" t="s">
        <v>338</v>
      </c>
    </row>
    <row r="371" spans="1:17">
      <c r="B371" s="1" t="s">
        <v>138</v>
      </c>
      <c r="C371" s="1" t="s">
        <v>339</v>
      </c>
    </row>
    <row r="373" spans="1:17">
      <c r="C373" s="1" t="s">
        <v>340</v>
      </c>
      <c r="D373" s="1" t="s">
        <v>341</v>
      </c>
    </row>
    <row r="375" spans="1:17" ht="15.6">
      <c r="C375" s="1" t="s">
        <v>449</v>
      </c>
      <c r="I375" s="1" t="s">
        <v>342</v>
      </c>
      <c r="N375" s="1" t="s">
        <v>450</v>
      </c>
      <c r="O375" s="11" t="s">
        <v>7</v>
      </c>
      <c r="P375" s="63">
        <f>P359+P362+E124</f>
        <v>318.63236463808931</v>
      </c>
      <c r="Q375" s="1" t="s">
        <v>16</v>
      </c>
    </row>
    <row r="376" spans="1:17">
      <c r="P376" s="63"/>
    </row>
    <row r="377" spans="1:17" ht="15.6">
      <c r="N377" s="1" t="s">
        <v>451</v>
      </c>
      <c r="O377" s="11" t="s">
        <v>7</v>
      </c>
      <c r="P377" s="63">
        <f>(1-P165*P169)*(P375+P332+P352)</f>
        <v>430.02914781417655</v>
      </c>
      <c r="Q377" s="1" t="s">
        <v>16</v>
      </c>
    </row>
    <row r="380" spans="1:17" ht="15.6">
      <c r="I380" s="10"/>
      <c r="N380" s="1" t="s">
        <v>452</v>
      </c>
      <c r="O380" s="11" t="s">
        <v>7</v>
      </c>
      <c r="P380" s="63">
        <f>(P167/2)*(E309*(PI()/4)*((E312-E316/1000)^2))*(E322-E320/1000)</f>
        <v>16.846979100434485</v>
      </c>
      <c r="Q380" s="1" t="s">
        <v>16</v>
      </c>
    </row>
    <row r="382" spans="1:17" ht="15.6">
      <c r="C382" s="1" t="s">
        <v>453</v>
      </c>
      <c r="N382" s="1" t="s">
        <v>454</v>
      </c>
      <c r="O382" s="11" t="s">
        <v>7</v>
      </c>
      <c r="P382" s="63">
        <f>P380+P224</f>
        <v>255.61829715265654</v>
      </c>
      <c r="Q382" s="1" t="s">
        <v>16</v>
      </c>
    </row>
    <row r="384" spans="1:17" ht="15.6">
      <c r="N384" s="1" t="s">
        <v>455</v>
      </c>
      <c r="O384" s="11" t="s">
        <v>7</v>
      </c>
      <c r="P384" s="63">
        <f>P254+P224*E322+P380*(E322-(E322-E320/1000)/2)</f>
        <v>1278.2744085052161</v>
      </c>
      <c r="Q384" s="1" t="s">
        <v>279</v>
      </c>
    </row>
    <row r="385" spans="3:53">
      <c r="AA385" s="84">
        <v>0</v>
      </c>
      <c r="AB385" s="85">
        <f>AB389</f>
        <v>0.5</v>
      </c>
      <c r="AC385" s="85">
        <f t="shared" ref="AC385:AG385" si="0">AC389</f>
        <v>0.6</v>
      </c>
      <c r="AD385" s="85">
        <f t="shared" si="0"/>
        <v>0.7</v>
      </c>
      <c r="AE385" s="85">
        <f t="shared" si="0"/>
        <v>0.8</v>
      </c>
      <c r="AF385" s="85">
        <f t="shared" si="0"/>
        <v>0.9</v>
      </c>
      <c r="AG385" s="86">
        <f t="shared" si="0"/>
        <v>1</v>
      </c>
    </row>
    <row r="386" spans="3:53" ht="15.6">
      <c r="N386" s="1" t="s">
        <v>456</v>
      </c>
      <c r="O386" s="11" t="s">
        <v>7</v>
      </c>
      <c r="P386" s="1">
        <f>P384/P377</f>
        <v>2.9725296878191658</v>
      </c>
      <c r="Q386" s="1" t="s">
        <v>84</v>
      </c>
      <c r="AA386" s="38">
        <f>AB389</f>
        <v>0.5</v>
      </c>
      <c r="AB386" s="87">
        <f t="shared" ref="AB386:AF386" si="1">AC389</f>
        <v>0.6</v>
      </c>
      <c r="AC386" s="87">
        <f t="shared" si="1"/>
        <v>0.7</v>
      </c>
      <c r="AD386" s="87">
        <f t="shared" si="1"/>
        <v>0.8</v>
      </c>
      <c r="AE386" s="87">
        <f t="shared" si="1"/>
        <v>0.9</v>
      </c>
      <c r="AF386" s="87">
        <f t="shared" si="1"/>
        <v>1</v>
      </c>
      <c r="AG386" s="88">
        <v>1</v>
      </c>
      <c r="AM386" s="84">
        <f>VLOOKUP(Z389,Z390:Z405,1,TRUE)</f>
        <v>0.4</v>
      </c>
      <c r="AN386" s="85">
        <f>VLOOKUP(AM386,AM390:AN406,2,FALSE)</f>
        <v>0.45</v>
      </c>
      <c r="AO386" s="85"/>
      <c r="AP386" s="89" t="s">
        <v>345</v>
      </c>
    </row>
    <row r="387" spans="3:53">
      <c r="Z387" s="11" t="s">
        <v>345</v>
      </c>
      <c r="AM387" s="38">
        <f>VLOOKUP(AM386,Z390:AH406,9,FALSE)</f>
        <v>1.9486330935251797</v>
      </c>
      <c r="AN387" s="87">
        <f>VLOOKUP(AN386,Z390:AH406,9,FALSE)</f>
        <v>1.833956834532374</v>
      </c>
      <c r="AO387" s="87"/>
      <c r="AP387" s="90">
        <f>(AN387-AM387)/(AN386-AM386)*(Z389-AM386)+AM387</f>
        <v>1.8850975990096268</v>
      </c>
    </row>
    <row r="388" spans="3:53">
      <c r="Z388" s="91" t="s">
        <v>346</v>
      </c>
      <c r="AA388" s="84"/>
      <c r="AB388" s="85"/>
      <c r="AC388" s="85"/>
      <c r="AD388" s="85" t="s">
        <v>349</v>
      </c>
      <c r="AE388" s="85"/>
      <c r="AF388" s="85"/>
      <c r="AG388" s="86"/>
      <c r="AH388" s="91" t="s">
        <v>348</v>
      </c>
      <c r="AJ388" s="84" t="s">
        <v>350</v>
      </c>
      <c r="AK388" s="86" t="s">
        <v>351</v>
      </c>
      <c r="AR388" s="1" t="s">
        <v>358</v>
      </c>
    </row>
    <row r="389" spans="3:53">
      <c r="D389" s="1">
        <f>P386/E323</f>
        <v>0.42770211335527564</v>
      </c>
      <c r="F389" s="1" t="s">
        <v>457</v>
      </c>
      <c r="Z389" s="92">
        <f>D389</f>
        <v>0.42770211335527564</v>
      </c>
      <c r="AA389" s="38">
        <v>0</v>
      </c>
      <c r="AB389" s="87">
        <v>0.5</v>
      </c>
      <c r="AC389" s="87">
        <v>0.6</v>
      </c>
      <c r="AD389" s="87">
        <v>0.7</v>
      </c>
      <c r="AE389" s="87">
        <v>0.8</v>
      </c>
      <c r="AF389" s="87">
        <v>0.9</v>
      </c>
      <c r="AG389" s="88">
        <v>1</v>
      </c>
      <c r="AH389" s="92">
        <f>D392</f>
        <v>0.72661870503597115</v>
      </c>
      <c r="AJ389" s="38">
        <f>HLOOKUP(AH389,AA389:AG389,1,TRUE)</f>
        <v>0.7</v>
      </c>
      <c r="AK389" s="88">
        <f>LOOKUP(AJ389,AA385:AG385,AA386:AG386)</f>
        <v>0.8</v>
      </c>
      <c r="AR389" s="1" t="s">
        <v>359</v>
      </c>
      <c r="AT389" s="1">
        <f>PI()*(BA389^2-BA390^2)</f>
        <v>71.62831250184729</v>
      </c>
      <c r="AZ389" s="1" t="s">
        <v>318</v>
      </c>
      <c r="BA389" s="1">
        <f>E323</f>
        <v>6.95</v>
      </c>
    </row>
    <row r="390" spans="3:53">
      <c r="Z390" s="93">
        <v>0</v>
      </c>
      <c r="AA390" s="84">
        <v>2</v>
      </c>
      <c r="AB390" s="85">
        <v>2</v>
      </c>
      <c r="AC390" s="85">
        <v>2</v>
      </c>
      <c r="AD390" s="85">
        <v>2</v>
      </c>
      <c r="AE390" s="85">
        <v>2</v>
      </c>
      <c r="AF390" s="85">
        <v>2</v>
      </c>
      <c r="AG390" s="85">
        <v>2</v>
      </c>
      <c r="AH390" s="94">
        <f t="shared" ref="AH390:AH406" si="2">(AK390-AJ390)/($AK$389-$AJ$389)*($AH$389-$AJ$389)+AJ390</f>
        <v>2</v>
      </c>
      <c r="AJ390" s="37">
        <f t="shared" ref="AJ390:AJ406" si="3">LOOKUP($AJ$389,$AA$389:$AG$389,AA390:AG390)</f>
        <v>2</v>
      </c>
      <c r="AK390" s="95">
        <f t="shared" ref="AK390:AK406" si="4">LOOKUP($AK$389,$AA$389:$AG$389,AA390:AG390)</f>
        <v>2</v>
      </c>
      <c r="AM390" s="84">
        <f>Z390</f>
        <v>0</v>
      </c>
      <c r="AN390" s="86">
        <f>Z391</f>
        <v>0.25</v>
      </c>
      <c r="AR390" s="1" t="s">
        <v>360</v>
      </c>
      <c r="AT390" s="1">
        <f>2*BA389-BA391</f>
        <v>0.79857168688309343</v>
      </c>
      <c r="AZ390" s="1" t="s">
        <v>319</v>
      </c>
      <c r="BA390" s="1">
        <f>E324</f>
        <v>5.05</v>
      </c>
    </row>
    <row r="391" spans="3:53">
      <c r="Z391" s="93">
        <v>0.25</v>
      </c>
      <c r="AA391" s="1">
        <v>2</v>
      </c>
      <c r="AB391" s="1">
        <v>2</v>
      </c>
      <c r="AC391" s="1">
        <v>2</v>
      </c>
      <c r="AD391" s="1">
        <v>2</v>
      </c>
      <c r="AE391" s="1">
        <v>2</v>
      </c>
      <c r="AF391" s="1">
        <v>2</v>
      </c>
      <c r="AG391" s="1">
        <v>2</v>
      </c>
      <c r="AH391" s="93">
        <f t="shared" si="2"/>
        <v>2</v>
      </c>
      <c r="AJ391" s="37">
        <f t="shared" si="3"/>
        <v>2</v>
      </c>
      <c r="AK391" s="95">
        <f t="shared" si="4"/>
        <v>2</v>
      </c>
      <c r="AM391" s="37">
        <f t="shared" ref="AM391:AM406" si="5">Z391</f>
        <v>0.25</v>
      </c>
      <c r="AN391" s="95">
        <f t="shared" ref="AN391:AN405" si="6">Z392</f>
        <v>0.3</v>
      </c>
      <c r="AR391" s="1" t="s">
        <v>361</v>
      </c>
      <c r="AT391" s="1">
        <f>2*ACOS((BA389-AT390)/BA389)</f>
        <v>0.96818530011367887</v>
      </c>
      <c r="AZ391" s="1" t="s">
        <v>370</v>
      </c>
      <c r="BA391" s="1">
        <f>G402</f>
        <v>13.101428313116907</v>
      </c>
    </row>
    <row r="392" spans="3:53">
      <c r="D392" s="1">
        <f>E324/E323</f>
        <v>0.72661870503597115</v>
      </c>
      <c r="F392" s="1" t="s">
        <v>457</v>
      </c>
      <c r="Z392" s="93">
        <v>0.3</v>
      </c>
      <c r="AA392" s="37">
        <v>1.82</v>
      </c>
      <c r="AB392" s="1">
        <v>2</v>
      </c>
      <c r="AC392" s="1">
        <v>2</v>
      </c>
      <c r="AD392" s="1">
        <v>2</v>
      </c>
      <c r="AE392" s="1">
        <v>2</v>
      </c>
      <c r="AF392" s="1">
        <v>2</v>
      </c>
      <c r="AG392" s="1">
        <v>2</v>
      </c>
      <c r="AH392" s="93">
        <f t="shared" si="2"/>
        <v>2</v>
      </c>
      <c r="AJ392" s="37">
        <f t="shared" si="3"/>
        <v>2</v>
      </c>
      <c r="AK392" s="95">
        <f t="shared" si="4"/>
        <v>2</v>
      </c>
      <c r="AM392" s="37">
        <f t="shared" si="5"/>
        <v>0.3</v>
      </c>
      <c r="AN392" s="95">
        <f t="shared" si="6"/>
        <v>0.35</v>
      </c>
      <c r="AR392" s="1" t="s">
        <v>362</v>
      </c>
      <c r="AT392" s="1">
        <f>BA391-BA389</f>
        <v>6.1514283131169067</v>
      </c>
    </row>
    <row r="393" spans="3:53">
      <c r="Z393" s="93">
        <v>0.35</v>
      </c>
      <c r="AA393" s="37">
        <v>1.66</v>
      </c>
      <c r="AB393" s="1">
        <v>1.89</v>
      </c>
      <c r="AC393" s="1">
        <v>1.95</v>
      </c>
      <c r="AD393" s="1">
        <v>2</v>
      </c>
      <c r="AE393" s="1">
        <v>2</v>
      </c>
      <c r="AF393" s="1">
        <v>2</v>
      </c>
      <c r="AG393" s="1">
        <v>2</v>
      </c>
      <c r="AH393" s="93">
        <f t="shared" si="2"/>
        <v>2</v>
      </c>
      <c r="AJ393" s="37">
        <f t="shared" si="3"/>
        <v>2</v>
      </c>
      <c r="AK393" s="95">
        <f t="shared" si="4"/>
        <v>2</v>
      </c>
      <c r="AM393" s="37">
        <f t="shared" si="5"/>
        <v>0.35</v>
      </c>
      <c r="AN393" s="95">
        <f t="shared" si="6"/>
        <v>0.4</v>
      </c>
      <c r="AR393" s="1" t="s">
        <v>363</v>
      </c>
      <c r="AT393" s="1" t="e">
        <f>2*ACOS(AT392/BA390)</f>
        <v>#NUM!</v>
      </c>
    </row>
    <row r="394" spans="3:53">
      <c r="Z394" s="93">
        <v>0.4</v>
      </c>
      <c r="AA394" s="37">
        <v>1.51</v>
      </c>
      <c r="AB394" s="1">
        <v>1.75</v>
      </c>
      <c r="AC394" s="1">
        <v>1.84</v>
      </c>
      <c r="AD394" s="1">
        <v>1.93</v>
      </c>
      <c r="AE394" s="1">
        <v>2</v>
      </c>
      <c r="AF394" s="1">
        <v>2</v>
      </c>
      <c r="AG394" s="1">
        <v>2</v>
      </c>
      <c r="AH394" s="93">
        <f t="shared" si="2"/>
        <v>1.9486330935251797</v>
      </c>
      <c r="AJ394" s="37">
        <f t="shared" si="3"/>
        <v>1.93</v>
      </c>
      <c r="AK394" s="95">
        <f t="shared" si="4"/>
        <v>2</v>
      </c>
      <c r="AM394" s="37">
        <f t="shared" si="5"/>
        <v>0.4</v>
      </c>
      <c r="AN394" s="95">
        <f t="shared" si="6"/>
        <v>0.45</v>
      </c>
      <c r="AR394" s="1" t="s">
        <v>364</v>
      </c>
      <c r="AT394" s="1">
        <f>ACOS(AT392/BA389)</f>
        <v>0.48409265005683944</v>
      </c>
    </row>
    <row r="395" spans="3:53">
      <c r="C395" s="58" t="s">
        <v>343</v>
      </c>
      <c r="Z395" s="93">
        <v>0.45</v>
      </c>
      <c r="AA395" s="37">
        <v>1.37</v>
      </c>
      <c r="AB395" s="1">
        <v>1.61</v>
      </c>
      <c r="AC395" s="1">
        <v>1.71</v>
      </c>
      <c r="AD395" s="1">
        <v>1.81</v>
      </c>
      <c r="AE395" s="1">
        <v>1.9</v>
      </c>
      <c r="AF395" s="1">
        <v>2</v>
      </c>
      <c r="AG395" s="1">
        <v>2</v>
      </c>
      <c r="AH395" s="93">
        <f t="shared" si="2"/>
        <v>1.833956834532374</v>
      </c>
      <c r="AJ395" s="37">
        <f t="shared" si="3"/>
        <v>1.81</v>
      </c>
      <c r="AK395" s="95">
        <f t="shared" si="4"/>
        <v>1.9</v>
      </c>
      <c r="AM395" s="37">
        <f t="shared" si="5"/>
        <v>0.45</v>
      </c>
      <c r="AN395" s="95">
        <f t="shared" si="6"/>
        <v>0.5</v>
      </c>
      <c r="AR395" s="1" t="s">
        <v>365</v>
      </c>
      <c r="AT395" s="1">
        <f>BA389-BA391</f>
        <v>-6.1514283131169067</v>
      </c>
    </row>
    <row r="396" spans="3:53">
      <c r="Z396" s="93">
        <v>0.5</v>
      </c>
      <c r="AA396" s="37">
        <v>1.23</v>
      </c>
      <c r="AB396" s="1">
        <v>1.46</v>
      </c>
      <c r="AC396" s="1">
        <v>1.56</v>
      </c>
      <c r="AD396" s="1">
        <v>1.66</v>
      </c>
      <c r="AE396" s="1">
        <v>1.78</v>
      </c>
      <c r="AF396" s="1">
        <v>1.89</v>
      </c>
      <c r="AG396" s="1">
        <v>2</v>
      </c>
      <c r="AH396" s="93">
        <f t="shared" si="2"/>
        <v>1.6919424460431653</v>
      </c>
      <c r="AJ396" s="37">
        <f t="shared" si="3"/>
        <v>1.66</v>
      </c>
      <c r="AK396" s="95">
        <f t="shared" si="4"/>
        <v>1.78</v>
      </c>
      <c r="AM396" s="37">
        <f t="shared" si="5"/>
        <v>0.5</v>
      </c>
      <c r="AN396" s="95">
        <f t="shared" si="6"/>
        <v>0.55000000000000004</v>
      </c>
      <c r="AR396" s="1" t="s">
        <v>366</v>
      </c>
      <c r="AT396" s="1">
        <f>ACOS(AT395/BA389)</f>
        <v>2.6575000035329537</v>
      </c>
    </row>
    <row r="397" spans="3:53">
      <c r="Z397" s="93">
        <v>0.55000000000000004</v>
      </c>
      <c r="AA397" s="37">
        <v>1.1000000000000001</v>
      </c>
      <c r="AB397" s="1">
        <v>1.29</v>
      </c>
      <c r="AC397" s="1">
        <v>1.39</v>
      </c>
      <c r="AD397" s="1">
        <v>1.5</v>
      </c>
      <c r="AE397" s="1">
        <v>1.62</v>
      </c>
      <c r="AF397" s="1">
        <v>1.74</v>
      </c>
      <c r="AG397" s="1">
        <v>1.87</v>
      </c>
      <c r="AH397" s="93">
        <f t="shared" si="2"/>
        <v>1.5319424460431654</v>
      </c>
      <c r="AJ397" s="37">
        <f t="shared" si="3"/>
        <v>1.5</v>
      </c>
      <c r="AK397" s="95">
        <f t="shared" si="4"/>
        <v>1.62</v>
      </c>
      <c r="AM397" s="37">
        <f t="shared" si="5"/>
        <v>0.55000000000000004</v>
      </c>
      <c r="AN397" s="95">
        <f t="shared" si="6"/>
        <v>0.6</v>
      </c>
      <c r="AR397" s="1" t="s">
        <v>367</v>
      </c>
      <c r="AT397" s="1" t="e">
        <f>2*ACOS(AT395/BA390)</f>
        <v>#NUM!</v>
      </c>
    </row>
    <row r="398" spans="3:53" ht="16.2">
      <c r="F398" s="11" t="s">
        <v>7</v>
      </c>
      <c r="G398" s="1">
        <f>PI()*(E323^2-E324^2)</f>
        <v>71.62831250184729</v>
      </c>
      <c r="H398" s="1" t="s">
        <v>458</v>
      </c>
      <c r="J398" s="1" t="s">
        <v>344</v>
      </c>
      <c r="Z398" s="93">
        <v>0.6</v>
      </c>
      <c r="AA398" s="37">
        <v>0.97</v>
      </c>
      <c r="AB398" s="1">
        <v>1.1200000000000001</v>
      </c>
      <c r="AC398" s="1">
        <v>1.21</v>
      </c>
      <c r="AD398" s="1">
        <v>1.32</v>
      </c>
      <c r="AE398" s="1">
        <v>1.45</v>
      </c>
      <c r="AF398" s="1">
        <v>1.58</v>
      </c>
      <c r="AG398" s="1">
        <v>1.71</v>
      </c>
      <c r="AH398" s="93">
        <f t="shared" si="2"/>
        <v>1.3546043165467625</v>
      </c>
      <c r="AJ398" s="37">
        <f t="shared" si="3"/>
        <v>1.32</v>
      </c>
      <c r="AK398" s="95">
        <f t="shared" si="4"/>
        <v>1.45</v>
      </c>
      <c r="AM398" s="37">
        <f t="shared" si="5"/>
        <v>0.6</v>
      </c>
      <c r="AN398" s="95">
        <f t="shared" si="6"/>
        <v>0.65</v>
      </c>
      <c r="AR398" s="1" t="s">
        <v>368</v>
      </c>
      <c r="AT398" s="1">
        <f>2*ACOS((BA389-BA391)/BA389)</f>
        <v>5.3150000070659074</v>
      </c>
    </row>
    <row r="399" spans="3:53">
      <c r="Z399" s="93">
        <v>0.65</v>
      </c>
      <c r="AA399" s="37">
        <v>0.84</v>
      </c>
      <c r="AB399" s="1">
        <v>0.94</v>
      </c>
      <c r="AC399" s="1">
        <v>1.02</v>
      </c>
      <c r="AD399" s="1">
        <v>1.1299999999999999</v>
      </c>
      <c r="AE399" s="1">
        <v>1.25</v>
      </c>
      <c r="AF399" s="1">
        <v>1.4</v>
      </c>
      <c r="AG399" s="1">
        <v>1.54</v>
      </c>
      <c r="AH399" s="93">
        <f t="shared" si="2"/>
        <v>1.1619424460431653</v>
      </c>
      <c r="AJ399" s="37">
        <f t="shared" si="3"/>
        <v>1.1299999999999999</v>
      </c>
      <c r="AK399" s="95">
        <f t="shared" si="4"/>
        <v>1.25</v>
      </c>
      <c r="AM399" s="37">
        <f t="shared" si="5"/>
        <v>0.65</v>
      </c>
      <c r="AN399" s="95">
        <f t="shared" si="6"/>
        <v>0.7</v>
      </c>
    </row>
    <row r="400" spans="3:53">
      <c r="C400" s="1" t="s">
        <v>352</v>
      </c>
      <c r="F400" s="11" t="s">
        <v>7</v>
      </c>
      <c r="G400" s="1">
        <f>AP387</f>
        <v>1.8850975990096268</v>
      </c>
      <c r="J400" s="1" t="s">
        <v>353</v>
      </c>
      <c r="Z400" s="93">
        <v>0.7</v>
      </c>
      <c r="AA400" s="37">
        <v>0.72</v>
      </c>
      <c r="AB400" s="1">
        <v>0.75</v>
      </c>
      <c r="AC400" s="1">
        <v>0.82</v>
      </c>
      <c r="AD400" s="1">
        <v>0.93</v>
      </c>
      <c r="AE400" s="1">
        <v>1.05</v>
      </c>
      <c r="AF400" s="1">
        <v>1.2</v>
      </c>
      <c r="AG400" s="1">
        <v>1.35</v>
      </c>
      <c r="AH400" s="93">
        <f t="shared" si="2"/>
        <v>0.96194244604316548</v>
      </c>
      <c r="AJ400" s="37">
        <f t="shared" si="3"/>
        <v>0.93</v>
      </c>
      <c r="AK400" s="95">
        <f t="shared" si="4"/>
        <v>1.05</v>
      </c>
      <c r="AM400" s="37">
        <f t="shared" si="5"/>
        <v>0.7</v>
      </c>
      <c r="AN400" s="95">
        <f t="shared" si="6"/>
        <v>0.75</v>
      </c>
      <c r="AR400" s="58" t="s">
        <v>369</v>
      </c>
      <c r="AT400" s="96">
        <f>IF(BA391&lt;=AW401,AT401,IF(BA391&lt;AW402,AT402,IF(BA391=AX403,AT403,IF(BA391&lt;AW404,AT404,IF(BA391&gt;=AV405,AT405,"CASO NO CONSIDERADO")))))</f>
        <v>3.485672469996147</v>
      </c>
      <c r="AV400" s="1" t="s">
        <v>376</v>
      </c>
      <c r="AW400" s="1" t="s">
        <v>377</v>
      </c>
      <c r="AX400" s="1" t="s">
        <v>378</v>
      </c>
    </row>
    <row r="401" spans="3:50">
      <c r="Z401" s="93">
        <v>0.75</v>
      </c>
      <c r="AA401" s="37">
        <v>0.59</v>
      </c>
      <c r="AB401" s="1">
        <v>0.6</v>
      </c>
      <c r="AC401" s="1">
        <v>0.64</v>
      </c>
      <c r="AD401" s="1">
        <v>0.72</v>
      </c>
      <c r="AE401" s="1">
        <v>0.85</v>
      </c>
      <c r="AF401" s="1">
        <v>0.98</v>
      </c>
      <c r="AG401" s="1">
        <v>1.1499999999999999</v>
      </c>
      <c r="AH401" s="93">
        <f t="shared" si="2"/>
        <v>0.75460431654676252</v>
      </c>
      <c r="AJ401" s="37">
        <f t="shared" si="3"/>
        <v>0.72</v>
      </c>
      <c r="AK401" s="95">
        <f t="shared" si="4"/>
        <v>0.85</v>
      </c>
      <c r="AM401" s="37">
        <f t="shared" si="5"/>
        <v>0.75</v>
      </c>
      <c r="AN401" s="95">
        <f t="shared" si="6"/>
        <v>0.8</v>
      </c>
      <c r="AS401" s="1" t="s">
        <v>374</v>
      </c>
      <c r="AT401" s="1">
        <f>AT389-((BA389^2)/2*(AT398-SIN(AT398)))</f>
        <v>-76.632794178177562</v>
      </c>
      <c r="AW401" s="1">
        <f>BA389-BA390</f>
        <v>1.9000000000000004</v>
      </c>
    </row>
    <row r="402" spans="3:50" ht="15.6">
      <c r="C402" s="1" t="s">
        <v>459</v>
      </c>
      <c r="F402" s="11" t="s">
        <v>7</v>
      </c>
      <c r="G402" s="63">
        <f>G400*E323</f>
        <v>13.101428313116907</v>
      </c>
      <c r="H402" s="1" t="s">
        <v>84</v>
      </c>
      <c r="J402" s="1" t="s">
        <v>354</v>
      </c>
      <c r="Z402" s="93">
        <v>0.8</v>
      </c>
      <c r="AA402" s="37">
        <v>0.47</v>
      </c>
      <c r="AB402" s="1">
        <v>0.47</v>
      </c>
      <c r="AC402" s="1">
        <v>0.48</v>
      </c>
      <c r="AD402" s="1">
        <v>0.52</v>
      </c>
      <c r="AE402" s="1">
        <v>0.61</v>
      </c>
      <c r="AF402" s="1">
        <v>0.77</v>
      </c>
      <c r="AG402" s="1">
        <v>0.94</v>
      </c>
      <c r="AH402" s="93">
        <f t="shared" si="2"/>
        <v>0.54395683453237409</v>
      </c>
      <c r="AJ402" s="37">
        <f t="shared" si="3"/>
        <v>0.52</v>
      </c>
      <c r="AK402" s="95">
        <f t="shared" si="4"/>
        <v>0.61</v>
      </c>
      <c r="AM402" s="37">
        <f t="shared" si="5"/>
        <v>0.8</v>
      </c>
      <c r="AN402" s="95">
        <f t="shared" si="6"/>
        <v>0.85</v>
      </c>
      <c r="AS402" s="1" t="s">
        <v>373</v>
      </c>
      <c r="AT402" s="1" t="e">
        <f>AT389-((2*AT396*(BA389^2)/2)-((1/2)*AT395*TAN(AT396)*AT395)*2-(BA390^2)/2*(AT397-SIN(AT397)))</f>
        <v>#NUM!</v>
      </c>
      <c r="AV402" s="1">
        <f>BA389-BA390</f>
        <v>1.9000000000000004</v>
      </c>
      <c r="AW402" s="1">
        <f>BA389</f>
        <v>6.95</v>
      </c>
    </row>
    <row r="403" spans="3:50">
      <c r="Z403" s="93">
        <v>0.85</v>
      </c>
      <c r="AA403" s="37">
        <v>0.35</v>
      </c>
      <c r="AB403" s="1">
        <v>0.35</v>
      </c>
      <c r="AC403" s="1">
        <v>0.35</v>
      </c>
      <c r="AD403" s="1">
        <v>0.36</v>
      </c>
      <c r="AE403" s="1">
        <v>0.42</v>
      </c>
      <c r="AF403" s="1">
        <v>0.55000000000000004</v>
      </c>
      <c r="AG403" s="1">
        <v>0.72</v>
      </c>
      <c r="AH403" s="93">
        <f t="shared" si="2"/>
        <v>0.3759712230215827</v>
      </c>
      <c r="AJ403" s="37">
        <f t="shared" si="3"/>
        <v>0.36</v>
      </c>
      <c r="AK403" s="95">
        <f t="shared" si="4"/>
        <v>0.42</v>
      </c>
      <c r="AM403" s="37">
        <f t="shared" si="5"/>
        <v>0.85</v>
      </c>
      <c r="AN403" s="95">
        <f t="shared" si="6"/>
        <v>0.9</v>
      </c>
      <c r="AS403" s="1" t="s">
        <v>375</v>
      </c>
      <c r="AT403" s="1">
        <f>AT389/2</f>
        <v>35.814156250923645</v>
      </c>
      <c r="AX403" s="1">
        <f>BA389</f>
        <v>6.95</v>
      </c>
    </row>
    <row r="404" spans="3:50">
      <c r="C404" s="1" t="s">
        <v>355</v>
      </c>
      <c r="F404" s="11" t="s">
        <v>7</v>
      </c>
      <c r="G404" s="1">
        <f>AP410</f>
        <v>2.1287907731302909</v>
      </c>
      <c r="J404" s="1" t="s">
        <v>353</v>
      </c>
      <c r="Z404" s="93">
        <v>0.9</v>
      </c>
      <c r="AA404" s="37">
        <v>0.24</v>
      </c>
      <c r="AB404" s="1">
        <v>0.24</v>
      </c>
      <c r="AC404" s="1">
        <v>0.24</v>
      </c>
      <c r="AD404" s="1">
        <v>0.24</v>
      </c>
      <c r="AE404" s="1">
        <v>0.24</v>
      </c>
      <c r="AF404" s="1">
        <v>0.32</v>
      </c>
      <c r="AG404" s="1">
        <v>0.49</v>
      </c>
      <c r="AH404" s="93">
        <f t="shared" si="2"/>
        <v>0.24</v>
      </c>
      <c r="AJ404" s="37">
        <f t="shared" si="3"/>
        <v>0.24</v>
      </c>
      <c r="AK404" s="95">
        <f t="shared" si="4"/>
        <v>0.24</v>
      </c>
      <c r="AM404" s="37">
        <f t="shared" si="5"/>
        <v>0.9</v>
      </c>
      <c r="AN404" s="95">
        <f t="shared" si="6"/>
        <v>0.95</v>
      </c>
      <c r="AS404" s="1" t="s">
        <v>372</v>
      </c>
      <c r="AT404" s="1" t="e">
        <f>(2*AT394*(BA389^2)/2)-((1/2)*AT392*TAN(AT394)*AT392)*2-(BA390^2)/2*(AT393-SIN(AT393))</f>
        <v>#NUM!</v>
      </c>
      <c r="AV404" s="1">
        <f>BA389</f>
        <v>6.95</v>
      </c>
      <c r="AW404" s="1">
        <f>2*BA389-(BA389-BA390)</f>
        <v>12</v>
      </c>
    </row>
    <row r="405" spans="3:50">
      <c r="Z405" s="97">
        <v>0.95</v>
      </c>
      <c r="AA405" s="38">
        <v>0.12</v>
      </c>
      <c r="AB405" s="87">
        <v>0.12</v>
      </c>
      <c r="AC405" s="87">
        <v>0.12</v>
      </c>
      <c r="AD405" s="87">
        <v>0.12</v>
      </c>
      <c r="AE405" s="87">
        <v>0.12</v>
      </c>
      <c r="AF405" s="87">
        <v>0.12</v>
      </c>
      <c r="AG405" s="87">
        <v>0.25</v>
      </c>
      <c r="AH405" s="97">
        <f t="shared" si="2"/>
        <v>0.12</v>
      </c>
      <c r="AJ405" s="37">
        <f t="shared" si="3"/>
        <v>0.12</v>
      </c>
      <c r="AK405" s="95">
        <f t="shared" si="4"/>
        <v>0.12</v>
      </c>
      <c r="AM405" s="37">
        <f t="shared" si="5"/>
        <v>0.95</v>
      </c>
      <c r="AN405" s="95">
        <f t="shared" si="6"/>
        <v>1</v>
      </c>
      <c r="AS405" s="1" t="s">
        <v>371</v>
      </c>
      <c r="AT405" s="1">
        <f>(BA389^2)/2*(AT391-SIN(AT391))</f>
        <v>3.485672469996147</v>
      </c>
      <c r="AV405" s="1">
        <f>BA389+BA390</f>
        <v>12</v>
      </c>
    </row>
    <row r="406" spans="3:50" ht="16.2">
      <c r="F406" s="11" t="s">
        <v>7</v>
      </c>
      <c r="G406" s="1">
        <f>P377/G398</f>
        <v>6.0036196972124136</v>
      </c>
      <c r="H406" s="1" t="s">
        <v>460</v>
      </c>
      <c r="Z406" s="98">
        <v>1</v>
      </c>
      <c r="AA406" s="99">
        <f>AA405</f>
        <v>0.12</v>
      </c>
      <c r="AB406" s="99">
        <f t="shared" ref="AB406:AG406" si="7">AB405</f>
        <v>0.12</v>
      </c>
      <c r="AC406" s="99">
        <f t="shared" si="7"/>
        <v>0.12</v>
      </c>
      <c r="AD406" s="99">
        <f t="shared" si="7"/>
        <v>0.12</v>
      </c>
      <c r="AE406" s="99">
        <f t="shared" si="7"/>
        <v>0.12</v>
      </c>
      <c r="AF406" s="99">
        <f t="shared" si="7"/>
        <v>0.12</v>
      </c>
      <c r="AG406" s="99">
        <f t="shared" si="7"/>
        <v>0.25</v>
      </c>
      <c r="AH406" s="98">
        <f t="shared" si="2"/>
        <v>0.12</v>
      </c>
      <c r="AJ406" s="100">
        <f t="shared" si="3"/>
        <v>0.12</v>
      </c>
      <c r="AK406" s="101">
        <f t="shared" si="4"/>
        <v>0.12</v>
      </c>
      <c r="AM406" s="38">
        <f t="shared" si="5"/>
        <v>1</v>
      </c>
      <c r="AN406" s="88">
        <v>1</v>
      </c>
    </row>
    <row r="408" spans="3:50" ht="16.2">
      <c r="F408" s="11" t="s">
        <v>7</v>
      </c>
      <c r="G408" s="1">
        <f>G406*G404</f>
        <v>12.780450216809056</v>
      </c>
      <c r="H408" s="1" t="s">
        <v>460</v>
      </c>
      <c r="J408" s="1" t="s">
        <v>356</v>
      </c>
    </row>
    <row r="409" spans="3:50">
      <c r="Z409" s="11" t="s">
        <v>347</v>
      </c>
      <c r="AM409" s="84">
        <f>VLOOKUP(Z411,Z412:Z432,1,TRUE)</f>
        <v>0.4</v>
      </c>
      <c r="AN409" s="85">
        <f>VLOOKUP(AM409,AM412:AN432,2,FALSE)</f>
        <v>0.45</v>
      </c>
      <c r="AO409" s="85"/>
      <c r="AP409" s="86" t="s">
        <v>347</v>
      </c>
    </row>
    <row r="410" spans="3:50" ht="15.6">
      <c r="C410" s="1" t="s">
        <v>461</v>
      </c>
      <c r="F410" s="11" t="s">
        <v>7</v>
      </c>
      <c r="G410" s="63">
        <f>(AT389-AT400)/AT389*100</f>
        <v>95.133666635094542</v>
      </c>
      <c r="H410" s="1" t="s">
        <v>357</v>
      </c>
      <c r="J410" s="11">
        <f>G410/100</f>
        <v>0.95133666635094538</v>
      </c>
      <c r="L410" s="1" t="s">
        <v>379</v>
      </c>
      <c r="Z410" s="91" t="s">
        <v>346</v>
      </c>
      <c r="AA410" s="84"/>
      <c r="AB410" s="85"/>
      <c r="AC410" s="85"/>
      <c r="AD410" s="85" t="s">
        <v>349</v>
      </c>
      <c r="AE410" s="85"/>
      <c r="AF410" s="85"/>
      <c r="AG410" s="86"/>
      <c r="AH410" s="91" t="s">
        <v>348</v>
      </c>
      <c r="AJ410" s="102" t="s">
        <v>350</v>
      </c>
      <c r="AK410" s="89" t="s">
        <v>351</v>
      </c>
      <c r="AM410" s="38">
        <f>VLOOKUP(AM409,Z412:AH432,9,FALSE)</f>
        <v>2.0460431654676259</v>
      </c>
      <c r="AN410" s="87">
        <f>VLOOKUP(AN409,Z412:AH432,9,FALSE)</f>
        <v>2.1953956834532375</v>
      </c>
      <c r="AO410" s="87"/>
      <c r="AP410" s="90">
        <f>(AN410-AM410)/(AN409-AM409)*(Z411-AM409)+AM410</f>
        <v>2.1287907731302909</v>
      </c>
    </row>
    <row r="411" spans="3:50">
      <c r="Z411" s="103">
        <f>D389</f>
        <v>0.42770211335527564</v>
      </c>
      <c r="AA411" s="38">
        <v>0</v>
      </c>
      <c r="AB411" s="87">
        <v>0.5</v>
      </c>
      <c r="AC411" s="87">
        <v>0.6</v>
      </c>
      <c r="AD411" s="87">
        <v>0.7</v>
      </c>
      <c r="AE411" s="87">
        <v>0.8</v>
      </c>
      <c r="AF411" s="87">
        <v>0.9</v>
      </c>
      <c r="AG411" s="88">
        <v>1</v>
      </c>
      <c r="AH411" s="104">
        <f>D392</f>
        <v>0.72661870503597115</v>
      </c>
      <c r="AJ411" s="38">
        <f>HLOOKUP(AH411,AA411:AG411,1,TRUE)</f>
        <v>0.7</v>
      </c>
      <c r="AK411" s="88">
        <f>LOOKUP(AJ411,AA385:AG385,AA386:AG386)</f>
        <v>0.8</v>
      </c>
    </row>
    <row r="412" spans="3:50" ht="16.2">
      <c r="C412" s="80" t="s">
        <v>462</v>
      </c>
      <c r="F412" s="11" t="s">
        <v>7</v>
      </c>
      <c r="G412" s="63">
        <f>E34</f>
        <v>200</v>
      </c>
      <c r="H412" s="1" t="s">
        <v>460</v>
      </c>
      <c r="J412" s="105">
        <f>G408/G412</f>
        <v>6.3902251084045278E-2</v>
      </c>
      <c r="L412" s="1" t="s">
        <v>380</v>
      </c>
      <c r="Z412" s="94">
        <v>0</v>
      </c>
      <c r="AA412" s="84">
        <v>1</v>
      </c>
      <c r="AB412" s="85">
        <v>1</v>
      </c>
      <c r="AC412" s="85">
        <v>1</v>
      </c>
      <c r="AD412" s="85">
        <v>1</v>
      </c>
      <c r="AE412" s="85">
        <v>1</v>
      </c>
      <c r="AF412" s="85">
        <v>1</v>
      </c>
      <c r="AG412" s="85">
        <v>1</v>
      </c>
      <c r="AH412" s="94">
        <f>(AK412-AJ412)/($AK$411-$AJ$411)*($AH$411-$AJ$411)+AJ412</f>
        <v>1</v>
      </c>
      <c r="AJ412" s="37">
        <f>LOOKUP($AJ$411,$AA$411:$AG$411,AA412:AG412)</f>
        <v>1</v>
      </c>
      <c r="AK412" s="95">
        <f>LOOKUP($AK$411,$AA$411:$AG$411,AA412:AG412)</f>
        <v>1</v>
      </c>
      <c r="AM412" s="84">
        <f>Z412</f>
        <v>0</v>
      </c>
      <c r="AN412" s="86">
        <f>Z413</f>
        <v>0.05</v>
      </c>
    </row>
    <row r="413" spans="3:50">
      <c r="Z413" s="93">
        <v>0.05</v>
      </c>
      <c r="AA413" s="37">
        <v>1.2</v>
      </c>
      <c r="AB413" s="1">
        <v>1.1599999999999999</v>
      </c>
      <c r="AC413" s="1">
        <v>1.1499999999999999</v>
      </c>
      <c r="AD413" s="1">
        <v>1.1299999999999999</v>
      </c>
      <c r="AE413" s="1">
        <v>1.1200000000000001</v>
      </c>
      <c r="AF413" s="1">
        <v>1.1100000000000001</v>
      </c>
      <c r="AG413" s="1">
        <v>1.1000000000000001</v>
      </c>
      <c r="AH413" s="93">
        <f>(AK413-AJ413)/($AK$411-$AJ$411)*($AH$411-$AJ$411)+AJ413</f>
        <v>1.1273381294964029</v>
      </c>
      <c r="AJ413" s="37">
        <f t="shared" ref="AJ413:AJ432" si="8">LOOKUP($AJ$411,$AA$411:$AG$411,AA413:AG413)</f>
        <v>1.1299999999999999</v>
      </c>
      <c r="AK413" s="95">
        <f t="shared" ref="AK413:AK432" si="9">LOOKUP($AK$411,$AA$411:$AG$411,AA413:AG413)</f>
        <v>1.1200000000000001</v>
      </c>
      <c r="AM413" s="37">
        <f t="shared" ref="AM413:AM432" si="10">Z413</f>
        <v>0.05</v>
      </c>
      <c r="AN413" s="95">
        <f t="shared" ref="AN413:AN431" si="11">Z414</f>
        <v>0.1</v>
      </c>
    </row>
    <row r="414" spans="3:50">
      <c r="Z414" s="93">
        <v>0.1</v>
      </c>
      <c r="AA414" s="37">
        <v>1.4</v>
      </c>
      <c r="AB414" s="1">
        <v>1.3199999999999998</v>
      </c>
      <c r="AC414" s="1">
        <v>1.2999999999999998</v>
      </c>
      <c r="AD414" s="1">
        <v>1.27</v>
      </c>
      <c r="AE414" s="1">
        <v>1.2400000000000002</v>
      </c>
      <c r="AF414" s="1">
        <v>1.2200000000000002</v>
      </c>
      <c r="AG414" s="1">
        <v>1.2000000000000002</v>
      </c>
      <c r="AH414" s="93">
        <f>(AK414-AJ414)/($AK$411-$AJ$411)*($AH$411-$AJ$411)+AJ414</f>
        <v>1.2620143884892088</v>
      </c>
      <c r="AJ414" s="37">
        <f t="shared" si="8"/>
        <v>1.27</v>
      </c>
      <c r="AK414" s="95">
        <f t="shared" si="9"/>
        <v>1.2400000000000002</v>
      </c>
      <c r="AM414" s="37">
        <f t="shared" si="10"/>
        <v>0.1</v>
      </c>
      <c r="AN414" s="95">
        <f t="shared" si="11"/>
        <v>0.15</v>
      </c>
    </row>
    <row r="415" spans="3:50">
      <c r="C415" s="1" t="s">
        <v>382</v>
      </c>
      <c r="D415" s="1" t="s">
        <v>383</v>
      </c>
      <c r="Z415" s="93">
        <v>0.15</v>
      </c>
      <c r="AA415" s="37">
        <v>1.6</v>
      </c>
      <c r="AB415" s="1">
        <v>1.4799999999999998</v>
      </c>
      <c r="AC415" s="1">
        <v>1.4499999999999997</v>
      </c>
      <c r="AD415" s="1">
        <v>1.4</v>
      </c>
      <c r="AE415" s="1">
        <v>1.37</v>
      </c>
      <c r="AF415" s="1">
        <v>1.3300000000000003</v>
      </c>
      <c r="AG415" s="1">
        <v>1.3000000000000003</v>
      </c>
      <c r="AH415" s="93">
        <f t="shared" ref="AH415:AH432" si="12">(AK415-AJ415)/($AK$411-$AJ$411)*($AH$411-$AJ$411)+AJ415</f>
        <v>1.3920143884892087</v>
      </c>
      <c r="AJ415" s="37">
        <f t="shared" si="8"/>
        <v>1.4</v>
      </c>
      <c r="AK415" s="95">
        <f t="shared" si="9"/>
        <v>1.37</v>
      </c>
      <c r="AM415" s="37">
        <f t="shared" si="10"/>
        <v>0.15</v>
      </c>
      <c r="AN415" s="95">
        <f t="shared" si="11"/>
        <v>0.2</v>
      </c>
    </row>
    <row r="416" spans="3:50">
      <c r="Z416" s="93">
        <v>0.2</v>
      </c>
      <c r="AA416" s="37">
        <v>1.8</v>
      </c>
      <c r="AB416" s="1">
        <v>1.6399999999999997</v>
      </c>
      <c r="AC416" s="1">
        <v>1.59</v>
      </c>
      <c r="AD416" s="1">
        <v>1.54</v>
      </c>
      <c r="AE416" s="1">
        <v>1.4900000000000002</v>
      </c>
      <c r="AF416" s="1">
        <v>1.4400000000000004</v>
      </c>
      <c r="AG416" s="1">
        <v>1.4000000000000004</v>
      </c>
      <c r="AH416" s="93">
        <f t="shared" si="12"/>
        <v>1.5266906474820146</v>
      </c>
      <c r="AJ416" s="37">
        <f t="shared" si="8"/>
        <v>1.54</v>
      </c>
      <c r="AK416" s="95">
        <f t="shared" si="9"/>
        <v>1.4900000000000002</v>
      </c>
      <c r="AM416" s="37">
        <f t="shared" si="10"/>
        <v>0.2</v>
      </c>
      <c r="AN416" s="95">
        <f t="shared" si="11"/>
        <v>0.25</v>
      </c>
    </row>
    <row r="417" spans="2:40">
      <c r="C417" s="77" t="s">
        <v>18</v>
      </c>
      <c r="F417" s="11" t="s">
        <v>7</v>
      </c>
      <c r="G417" s="1">
        <f>E33</f>
        <v>0.44</v>
      </c>
      <c r="J417" s="1" t="s">
        <v>409</v>
      </c>
      <c r="Z417" s="93">
        <v>0.25</v>
      </c>
      <c r="AA417" s="37">
        <v>2</v>
      </c>
      <c r="AB417" s="1">
        <v>1.7999999999999996</v>
      </c>
      <c r="AC417" s="1">
        <v>1.73</v>
      </c>
      <c r="AD417" s="1">
        <v>1.67</v>
      </c>
      <c r="AE417" s="1">
        <v>1.6100000000000003</v>
      </c>
      <c r="AF417" s="1">
        <v>1.5500000000000005</v>
      </c>
      <c r="AG417" s="1">
        <v>1.5000000000000004</v>
      </c>
      <c r="AH417" s="93">
        <f t="shared" si="12"/>
        <v>1.6540287769784174</v>
      </c>
      <c r="AJ417" s="37">
        <f t="shared" si="8"/>
        <v>1.67</v>
      </c>
      <c r="AK417" s="95">
        <f t="shared" si="9"/>
        <v>1.6100000000000003</v>
      </c>
      <c r="AM417" s="37">
        <f t="shared" si="10"/>
        <v>0.25</v>
      </c>
      <c r="AN417" s="95">
        <f t="shared" si="11"/>
        <v>0.3</v>
      </c>
    </row>
    <row r="418" spans="2:40">
      <c r="Z418" s="93">
        <v>0.3</v>
      </c>
      <c r="AA418" s="37">
        <v>2.23</v>
      </c>
      <c r="AB418" s="1">
        <v>1.9599999999999995</v>
      </c>
      <c r="AC418" s="1">
        <v>1.88</v>
      </c>
      <c r="AD418" s="1">
        <v>1.81</v>
      </c>
      <c r="AE418" s="1">
        <v>1.7300000000000004</v>
      </c>
      <c r="AF418" s="1">
        <v>1.6600000000000006</v>
      </c>
      <c r="AG418" s="1">
        <v>1.6000000000000005</v>
      </c>
      <c r="AH418" s="93">
        <f t="shared" si="12"/>
        <v>1.7887050359712233</v>
      </c>
      <c r="AJ418" s="37">
        <f t="shared" si="8"/>
        <v>1.81</v>
      </c>
      <c r="AK418" s="95">
        <f t="shared" si="9"/>
        <v>1.7300000000000004</v>
      </c>
      <c r="AM418" s="37">
        <f t="shared" si="10"/>
        <v>0.3</v>
      </c>
      <c r="AN418" s="95">
        <f t="shared" si="11"/>
        <v>0.35</v>
      </c>
    </row>
    <row r="419" spans="2:40">
      <c r="G419" s="63">
        <f>E309*PI()*E324^2*E322</f>
        <v>259.5838319400828</v>
      </c>
      <c r="H419" s="1" t="s">
        <v>16</v>
      </c>
      <c r="J419" s="1" t="s">
        <v>384</v>
      </c>
      <c r="Z419" s="93">
        <v>0.35</v>
      </c>
      <c r="AA419" s="37">
        <v>2.4300000000000002</v>
      </c>
      <c r="AB419" s="1">
        <v>2.1199999999999997</v>
      </c>
      <c r="AC419" s="1">
        <v>2.04</v>
      </c>
      <c r="AD419" s="1">
        <v>1.94</v>
      </c>
      <c r="AE419" s="1">
        <v>1.8500000000000005</v>
      </c>
      <c r="AF419" s="1">
        <v>1.7700000000000007</v>
      </c>
      <c r="AG419" s="1">
        <v>1.7000000000000006</v>
      </c>
      <c r="AH419" s="93">
        <f t="shared" si="12"/>
        <v>1.916043165467626</v>
      </c>
      <c r="AJ419" s="37">
        <f t="shared" si="8"/>
        <v>1.94</v>
      </c>
      <c r="AK419" s="95">
        <f t="shared" si="9"/>
        <v>1.8500000000000005</v>
      </c>
      <c r="AM419" s="37">
        <f t="shared" si="10"/>
        <v>0.35</v>
      </c>
      <c r="AN419" s="95">
        <f t="shared" si="11"/>
        <v>0.4</v>
      </c>
    </row>
    <row r="420" spans="2:40">
      <c r="Z420" s="93">
        <v>0.4</v>
      </c>
      <c r="AA420" s="37">
        <v>2.76</v>
      </c>
      <c r="AB420" s="1">
        <v>2.29</v>
      </c>
      <c r="AC420" s="1">
        <v>2.2000000000000002</v>
      </c>
      <c r="AD420" s="1">
        <v>2.0699999999999998</v>
      </c>
      <c r="AE420" s="1">
        <v>1.98</v>
      </c>
      <c r="AF420" s="1">
        <v>1.8800000000000008</v>
      </c>
      <c r="AG420" s="1">
        <v>1.8000000000000007</v>
      </c>
      <c r="AH420" s="93">
        <f t="shared" si="12"/>
        <v>2.0460431654676259</v>
      </c>
      <c r="AJ420" s="37">
        <f t="shared" si="8"/>
        <v>2.0699999999999998</v>
      </c>
      <c r="AK420" s="95">
        <f t="shared" si="9"/>
        <v>1.98</v>
      </c>
      <c r="AM420" s="37">
        <f t="shared" si="10"/>
        <v>0.4</v>
      </c>
      <c r="AN420" s="95">
        <f t="shared" si="11"/>
        <v>0.45</v>
      </c>
    </row>
    <row r="421" spans="2:40">
      <c r="H421" s="1">
        <f>(G417*P377+TAN(E310*PI()/180)*G419)/P382</f>
        <v>1.4780300265425572</v>
      </c>
      <c r="I421" s="1" t="str">
        <f>IF(H421&gt;=1.3,"≥ 1.3","&lt; 1.3")</f>
        <v>≥ 1.3</v>
      </c>
      <c r="J421" s="105">
        <f>H421</f>
        <v>1.4780300265425572</v>
      </c>
      <c r="Z421" s="93">
        <v>0.45</v>
      </c>
      <c r="AA421" s="37">
        <v>3.11</v>
      </c>
      <c r="AB421" s="1">
        <v>2.5099999999999998</v>
      </c>
      <c r="AC421" s="1">
        <v>2.39</v>
      </c>
      <c r="AD421" s="1">
        <v>2.23</v>
      </c>
      <c r="AE421" s="1">
        <v>2.1</v>
      </c>
      <c r="AF421" s="1">
        <v>1.9900000000000009</v>
      </c>
      <c r="AG421" s="1">
        <v>1.9000000000000008</v>
      </c>
      <c r="AH421" s="93">
        <f t="shared" si="12"/>
        <v>2.1953956834532375</v>
      </c>
      <c r="AJ421" s="37">
        <f t="shared" si="8"/>
        <v>2.23</v>
      </c>
      <c r="AK421" s="95">
        <f t="shared" si="9"/>
        <v>2.1</v>
      </c>
      <c r="AM421" s="37">
        <f t="shared" si="10"/>
        <v>0.45</v>
      </c>
      <c r="AN421" s="95">
        <f t="shared" si="11"/>
        <v>0.5</v>
      </c>
    </row>
    <row r="422" spans="2:40">
      <c r="S422" s="138" t="s">
        <v>750</v>
      </c>
      <c r="T422" s="138"/>
      <c r="U422" s="138"/>
      <c r="V422" s="138"/>
      <c r="W422" s="138"/>
      <c r="X422" s="138"/>
      <c r="Z422" s="93">
        <v>0.5</v>
      </c>
      <c r="AA422" s="37">
        <v>3.55</v>
      </c>
      <c r="AB422" s="1">
        <v>2.8</v>
      </c>
      <c r="AC422" s="1">
        <v>2.61</v>
      </c>
      <c r="AD422" s="1">
        <v>2.42</v>
      </c>
      <c r="AE422" s="1">
        <v>2.2599999999999998</v>
      </c>
      <c r="AF422" s="1">
        <v>2.100000000000001</v>
      </c>
      <c r="AG422" s="1">
        <v>2.0000000000000009</v>
      </c>
      <c r="AH422" s="93">
        <f t="shared" si="12"/>
        <v>2.377410071942446</v>
      </c>
      <c r="AJ422" s="37">
        <f t="shared" si="8"/>
        <v>2.42</v>
      </c>
      <c r="AK422" s="95">
        <f t="shared" si="9"/>
        <v>2.2599999999999998</v>
      </c>
      <c r="AM422" s="37">
        <f t="shared" si="10"/>
        <v>0.5</v>
      </c>
      <c r="AN422" s="95">
        <f t="shared" si="11"/>
        <v>0.55000000000000004</v>
      </c>
    </row>
    <row r="423" spans="2:40">
      <c r="Z423" s="93">
        <v>0.55000000000000004</v>
      </c>
      <c r="AA423" s="37">
        <v>4.1500000000000004</v>
      </c>
      <c r="AB423" s="1">
        <v>3.14</v>
      </c>
      <c r="AC423" s="1">
        <v>2.89</v>
      </c>
      <c r="AD423" s="1">
        <v>2.67</v>
      </c>
      <c r="AE423" s="1">
        <v>2.42</v>
      </c>
      <c r="AF423" s="1">
        <v>2.25</v>
      </c>
      <c r="AG423" s="1">
        <v>2.17</v>
      </c>
      <c r="AH423" s="93">
        <f t="shared" si="12"/>
        <v>2.6034532374100721</v>
      </c>
      <c r="AJ423" s="37">
        <f t="shared" si="8"/>
        <v>2.67</v>
      </c>
      <c r="AK423" s="95">
        <f t="shared" si="9"/>
        <v>2.42</v>
      </c>
      <c r="AM423" s="37">
        <f t="shared" si="10"/>
        <v>0.55000000000000004</v>
      </c>
      <c r="AN423" s="95">
        <f t="shared" si="11"/>
        <v>0.6</v>
      </c>
    </row>
    <row r="424" spans="2:40">
      <c r="Z424" s="93">
        <v>0.6</v>
      </c>
      <c r="AA424" s="37">
        <v>4.96</v>
      </c>
      <c r="AB424" s="1">
        <v>3.58</v>
      </c>
      <c r="AC424" s="1">
        <v>3.24</v>
      </c>
      <c r="AD424" s="1">
        <v>2.92</v>
      </c>
      <c r="AE424" s="1">
        <v>2.64</v>
      </c>
      <c r="AF424" s="1">
        <v>2.42</v>
      </c>
      <c r="AG424" s="1">
        <v>2.2000000000000002</v>
      </c>
      <c r="AH424" s="93">
        <f t="shared" si="12"/>
        <v>2.8454676258992806</v>
      </c>
      <c r="AJ424" s="37">
        <f t="shared" si="8"/>
        <v>2.92</v>
      </c>
      <c r="AK424" s="95">
        <f t="shared" si="9"/>
        <v>2.64</v>
      </c>
      <c r="AM424" s="37">
        <f t="shared" si="10"/>
        <v>0.6</v>
      </c>
      <c r="AN424" s="95">
        <f t="shared" si="11"/>
        <v>0.65</v>
      </c>
    </row>
    <row r="425" spans="2:40">
      <c r="B425" s="1" t="s">
        <v>139</v>
      </c>
      <c r="C425" s="1" t="s">
        <v>339</v>
      </c>
      <c r="Z425" s="93">
        <v>0.65</v>
      </c>
      <c r="AA425" s="37">
        <v>6</v>
      </c>
      <c r="AB425" s="1">
        <v>4.34</v>
      </c>
      <c r="AC425" s="1">
        <v>3.8</v>
      </c>
      <c r="AD425" s="1">
        <v>3.3</v>
      </c>
      <c r="AE425" s="1">
        <v>2.95</v>
      </c>
      <c r="AF425" s="1">
        <v>2.64</v>
      </c>
      <c r="AG425" s="1">
        <v>2.42</v>
      </c>
      <c r="AH425" s="93">
        <f t="shared" si="12"/>
        <v>3.206834532374101</v>
      </c>
      <c r="AJ425" s="37">
        <f t="shared" si="8"/>
        <v>3.3</v>
      </c>
      <c r="AK425" s="95">
        <f t="shared" si="9"/>
        <v>2.95</v>
      </c>
      <c r="AM425" s="37">
        <f t="shared" si="10"/>
        <v>0.65</v>
      </c>
      <c r="AN425" s="95">
        <f t="shared" si="11"/>
        <v>0.7</v>
      </c>
    </row>
    <row r="426" spans="2:40">
      <c r="Z426" s="93">
        <v>0.7</v>
      </c>
      <c r="AA426" s="37">
        <v>7.43</v>
      </c>
      <c r="AB426" s="1">
        <v>5.4</v>
      </c>
      <c r="AC426" s="1">
        <v>4.25</v>
      </c>
      <c r="AD426" s="1">
        <v>3.8</v>
      </c>
      <c r="AE426" s="1">
        <v>3.33</v>
      </c>
      <c r="AF426" s="1">
        <v>2.95</v>
      </c>
      <c r="AG426" s="1">
        <v>2.54</v>
      </c>
      <c r="AH426" s="93">
        <f t="shared" si="12"/>
        <v>3.6748920863309356</v>
      </c>
      <c r="AJ426" s="37">
        <f t="shared" si="8"/>
        <v>3.8</v>
      </c>
      <c r="AK426" s="95">
        <f t="shared" si="9"/>
        <v>3.33</v>
      </c>
      <c r="AM426" s="37">
        <f t="shared" si="10"/>
        <v>0.7</v>
      </c>
      <c r="AN426" s="95">
        <f t="shared" si="11"/>
        <v>0.75</v>
      </c>
    </row>
    <row r="427" spans="2:40">
      <c r="C427" s="1" t="s">
        <v>340</v>
      </c>
      <c r="D427" s="1" t="s">
        <v>341</v>
      </c>
      <c r="Z427" s="93">
        <v>0.75</v>
      </c>
      <c r="AA427" s="37">
        <v>9.93</v>
      </c>
      <c r="AB427" s="1">
        <v>7.23</v>
      </c>
      <c r="AC427" s="1">
        <v>5.97</v>
      </c>
      <c r="AD427" s="1">
        <v>4.8099999999999996</v>
      </c>
      <c r="AE427" s="1">
        <v>3.93</v>
      </c>
      <c r="AF427" s="1">
        <v>3.33</v>
      </c>
      <c r="AG427" s="1">
        <v>2.89</v>
      </c>
      <c r="AH427" s="93">
        <f t="shared" si="12"/>
        <v>4.5757553956834531</v>
      </c>
      <c r="AJ427" s="37">
        <f t="shared" si="8"/>
        <v>4.8099999999999996</v>
      </c>
      <c r="AK427" s="95">
        <f t="shared" si="9"/>
        <v>3.93</v>
      </c>
      <c r="AM427" s="37">
        <f t="shared" si="10"/>
        <v>0.75</v>
      </c>
      <c r="AN427" s="95">
        <f t="shared" si="11"/>
        <v>0.8</v>
      </c>
    </row>
    <row r="428" spans="2:40">
      <c r="Z428" s="93">
        <v>0.8</v>
      </c>
      <c r="AA428" s="37">
        <v>13.87</v>
      </c>
      <c r="AB428" s="1">
        <v>10.050000000000001</v>
      </c>
      <c r="AC428" s="1">
        <v>8.82</v>
      </c>
      <c r="AD428" s="1">
        <v>6.53</v>
      </c>
      <c r="AE428" s="1">
        <v>4.93</v>
      </c>
      <c r="AF428" s="1">
        <v>3.96</v>
      </c>
      <c r="AG428" s="1">
        <v>3.27</v>
      </c>
      <c r="AH428" s="93">
        <f t="shared" si="12"/>
        <v>6.1041007194244612</v>
      </c>
      <c r="AJ428" s="37">
        <f t="shared" si="8"/>
        <v>6.53</v>
      </c>
      <c r="AK428" s="95">
        <f t="shared" si="9"/>
        <v>4.93</v>
      </c>
      <c r="AM428" s="37">
        <f t="shared" si="10"/>
        <v>0.8</v>
      </c>
      <c r="AN428" s="95">
        <f t="shared" si="11"/>
        <v>0.85</v>
      </c>
    </row>
    <row r="429" spans="2:40" ht="15.6">
      <c r="C429" s="1" t="s">
        <v>449</v>
      </c>
      <c r="I429" s="1" t="s">
        <v>342</v>
      </c>
      <c r="N429" s="1" t="s">
        <v>450</v>
      </c>
      <c r="O429" s="11" t="s">
        <v>7</v>
      </c>
      <c r="P429" s="63">
        <f>P375</f>
        <v>318.63236463808931</v>
      </c>
      <c r="Q429" s="1" t="s">
        <v>16</v>
      </c>
      <c r="Z429" s="93">
        <v>0.85</v>
      </c>
      <c r="AA429" s="37">
        <v>21.08</v>
      </c>
      <c r="AB429" s="1">
        <v>15.55</v>
      </c>
      <c r="AC429" s="1">
        <v>13.32</v>
      </c>
      <c r="AD429" s="1">
        <v>10.43</v>
      </c>
      <c r="AE429" s="1">
        <v>7.16</v>
      </c>
      <c r="AF429" s="1">
        <v>4.9000000000000004</v>
      </c>
      <c r="AG429" s="1">
        <v>3.77</v>
      </c>
      <c r="AH429" s="93">
        <f t="shared" si="12"/>
        <v>9.5595683453237434</v>
      </c>
      <c r="AJ429" s="37">
        <f t="shared" si="8"/>
        <v>10.43</v>
      </c>
      <c r="AK429" s="95">
        <f t="shared" si="9"/>
        <v>7.16</v>
      </c>
      <c r="AM429" s="37">
        <f t="shared" si="10"/>
        <v>0.85</v>
      </c>
      <c r="AN429" s="95">
        <f t="shared" si="11"/>
        <v>0.9</v>
      </c>
    </row>
    <row r="430" spans="2:40">
      <c r="P430" s="63"/>
      <c r="Z430" s="93">
        <v>0.9</v>
      </c>
      <c r="AA430" s="37">
        <v>38.25</v>
      </c>
      <c r="AB430" s="1">
        <v>30.8</v>
      </c>
      <c r="AC430" s="1">
        <v>25.8</v>
      </c>
      <c r="AD430" s="1">
        <v>19.850000000000001</v>
      </c>
      <c r="AE430" s="1">
        <v>14.6</v>
      </c>
      <c r="AF430" s="1">
        <v>7.13</v>
      </c>
      <c r="AG430" s="1">
        <v>4.71</v>
      </c>
      <c r="AH430" s="93">
        <f t="shared" si="12"/>
        <v>18.452517985611514</v>
      </c>
      <c r="AJ430" s="37">
        <f t="shared" si="8"/>
        <v>19.850000000000001</v>
      </c>
      <c r="AK430" s="95">
        <f t="shared" si="9"/>
        <v>14.6</v>
      </c>
      <c r="AM430" s="37">
        <f t="shared" si="10"/>
        <v>0.9</v>
      </c>
      <c r="AN430" s="95">
        <f t="shared" si="11"/>
        <v>0.95</v>
      </c>
    </row>
    <row r="431" spans="2:40" ht="15.6">
      <c r="N431" s="1" t="s">
        <v>463</v>
      </c>
      <c r="O431" s="11" t="s">
        <v>7</v>
      </c>
      <c r="P431" s="63">
        <f>(1+P165*P169)*(P375+P332+P352)</f>
        <v>742.77761895175934</v>
      </c>
      <c r="Q431" s="1" t="s">
        <v>16</v>
      </c>
      <c r="Z431" s="97">
        <v>0.95</v>
      </c>
      <c r="AA431" s="38">
        <v>99.1</v>
      </c>
      <c r="AB431" s="87">
        <v>72.72</v>
      </c>
      <c r="AC431" s="87">
        <v>62.2</v>
      </c>
      <c r="AD431" s="87">
        <v>50.2</v>
      </c>
      <c r="AE431" s="87">
        <v>34.6</v>
      </c>
      <c r="AF431" s="87">
        <v>19.8</v>
      </c>
      <c r="AG431" s="87">
        <v>6.72</v>
      </c>
      <c r="AH431" s="97">
        <f t="shared" si="12"/>
        <v>46.0474820143885</v>
      </c>
      <c r="AJ431" s="37">
        <f t="shared" si="8"/>
        <v>50.2</v>
      </c>
      <c r="AK431" s="95">
        <f t="shared" si="9"/>
        <v>34.6</v>
      </c>
      <c r="AM431" s="37">
        <f t="shared" si="10"/>
        <v>0.95</v>
      </c>
      <c r="AN431" s="95">
        <f t="shared" si="11"/>
        <v>1</v>
      </c>
    </row>
    <row r="432" spans="2:40">
      <c r="Z432" s="98">
        <v>1</v>
      </c>
      <c r="AA432" s="99">
        <f>AA431</f>
        <v>99.1</v>
      </c>
      <c r="AB432" s="99">
        <f t="shared" ref="AB432:AG432" si="13">AB431</f>
        <v>72.72</v>
      </c>
      <c r="AC432" s="99">
        <f t="shared" si="13"/>
        <v>62.2</v>
      </c>
      <c r="AD432" s="99">
        <f t="shared" si="13"/>
        <v>50.2</v>
      </c>
      <c r="AE432" s="99">
        <f t="shared" si="13"/>
        <v>34.6</v>
      </c>
      <c r="AF432" s="99">
        <f t="shared" si="13"/>
        <v>19.8</v>
      </c>
      <c r="AG432" s="99">
        <f t="shared" si="13"/>
        <v>6.72</v>
      </c>
      <c r="AH432" s="98">
        <f t="shared" si="12"/>
        <v>46.0474820143885</v>
      </c>
      <c r="AJ432" s="100">
        <f t="shared" si="8"/>
        <v>50.2</v>
      </c>
      <c r="AK432" s="101">
        <f t="shared" si="9"/>
        <v>34.6</v>
      </c>
      <c r="AM432" s="38">
        <f t="shared" si="10"/>
        <v>1</v>
      </c>
      <c r="AN432" s="88">
        <v>1</v>
      </c>
    </row>
    <row r="434" spans="3:53" ht="15.6">
      <c r="I434" s="10"/>
      <c r="N434" s="1" t="s">
        <v>452</v>
      </c>
      <c r="O434" s="11" t="s">
        <v>7</v>
      </c>
      <c r="P434" s="63">
        <f>P380</f>
        <v>16.846979100434485</v>
      </c>
      <c r="Q434" s="1" t="s">
        <v>16</v>
      </c>
    </row>
    <row r="436" spans="3:53" ht="15.6">
      <c r="C436" s="1" t="s">
        <v>453</v>
      </c>
      <c r="N436" s="1" t="s">
        <v>454</v>
      </c>
      <c r="O436" s="11" t="s">
        <v>7</v>
      </c>
      <c r="P436" s="63">
        <f>P434+P224</f>
        <v>255.61829715265654</v>
      </c>
      <c r="Q436" s="1" t="s">
        <v>16</v>
      </c>
    </row>
    <row r="438" spans="3:53" ht="15.6">
      <c r="N438" s="1" t="s">
        <v>455</v>
      </c>
      <c r="O438" s="11" t="s">
        <v>7</v>
      </c>
      <c r="P438" s="63">
        <f>P254+P224*E322+P434*(E322-(E322-E320/1000)/2)</f>
        <v>1278.2744085052161</v>
      </c>
      <c r="Q438" s="1" t="s">
        <v>279</v>
      </c>
    </row>
    <row r="439" spans="3:53">
      <c r="AA439" s="84">
        <v>0</v>
      </c>
      <c r="AB439" s="85">
        <f>AB443</f>
        <v>0.5</v>
      </c>
      <c r="AC439" s="85">
        <f t="shared" ref="AC439:AG439" si="14">AC443</f>
        <v>0.6</v>
      </c>
      <c r="AD439" s="85">
        <f t="shared" si="14"/>
        <v>0.7</v>
      </c>
      <c r="AE439" s="85">
        <f t="shared" si="14"/>
        <v>0.8</v>
      </c>
      <c r="AF439" s="85">
        <f t="shared" si="14"/>
        <v>0.9</v>
      </c>
      <c r="AG439" s="86">
        <f t="shared" si="14"/>
        <v>1</v>
      </c>
    </row>
    <row r="440" spans="3:53" ht="15.6">
      <c r="N440" s="1" t="s">
        <v>464</v>
      </c>
      <c r="O440" s="11" t="s">
        <v>7</v>
      </c>
      <c r="P440" s="1">
        <f>P438/P431</f>
        <v>1.7209382403163596</v>
      </c>
      <c r="Q440" s="1" t="s">
        <v>84</v>
      </c>
      <c r="AA440" s="38">
        <f>AB443</f>
        <v>0.5</v>
      </c>
      <c r="AB440" s="87">
        <f t="shared" ref="AB440:AF440" si="15">AC443</f>
        <v>0.6</v>
      </c>
      <c r="AC440" s="87">
        <f t="shared" si="15"/>
        <v>0.7</v>
      </c>
      <c r="AD440" s="87">
        <f t="shared" si="15"/>
        <v>0.8</v>
      </c>
      <c r="AE440" s="87">
        <f t="shared" si="15"/>
        <v>0.9</v>
      </c>
      <c r="AF440" s="87">
        <f t="shared" si="15"/>
        <v>1</v>
      </c>
      <c r="AG440" s="88">
        <v>1</v>
      </c>
      <c r="AM440" s="84">
        <f>VLOOKUP(Z443,Z444:Z459,1,TRUE)</f>
        <v>0</v>
      </c>
      <c r="AN440" s="85">
        <f>VLOOKUP(AM440,AM444:AN460,2,FALSE)</f>
        <v>0.25</v>
      </c>
      <c r="AO440" s="85"/>
      <c r="AP440" s="89" t="s">
        <v>345</v>
      </c>
    </row>
    <row r="441" spans="3:53">
      <c r="Z441" s="11" t="s">
        <v>345</v>
      </c>
      <c r="AM441" s="38">
        <f>VLOOKUP(AM440,Z444:AH460,9,FALSE)</f>
        <v>2</v>
      </c>
      <c r="AN441" s="87">
        <f>VLOOKUP(AN440,Z444:AH460,9,FALSE)</f>
        <v>2</v>
      </c>
      <c r="AO441" s="87"/>
      <c r="AP441" s="90">
        <f>(AN441-AM441)/(AN440-AM440)*(Z443-AM440)+AM441</f>
        <v>2</v>
      </c>
    </row>
    <row r="442" spans="3:53">
      <c r="Z442" s="91" t="s">
        <v>346</v>
      </c>
      <c r="AA442" s="84"/>
      <c r="AB442" s="85"/>
      <c r="AC442" s="85"/>
      <c r="AD442" s="85" t="s">
        <v>349</v>
      </c>
      <c r="AE442" s="85"/>
      <c r="AF442" s="85"/>
      <c r="AG442" s="86"/>
      <c r="AH442" s="91" t="s">
        <v>348</v>
      </c>
      <c r="AJ442" s="84" t="s">
        <v>350</v>
      </c>
      <c r="AK442" s="86" t="s">
        <v>351</v>
      </c>
      <c r="AR442" s="1" t="s">
        <v>358</v>
      </c>
    </row>
    <row r="443" spans="3:53">
      <c r="D443" s="1">
        <f>P440/E323</f>
        <v>0.24761701299515965</v>
      </c>
      <c r="F443" s="1" t="s">
        <v>457</v>
      </c>
      <c r="Z443" s="92">
        <f>D443</f>
        <v>0.24761701299515965</v>
      </c>
      <c r="AA443" s="38">
        <v>0</v>
      </c>
      <c r="AB443" s="87">
        <v>0.5</v>
      </c>
      <c r="AC443" s="87">
        <v>0.6</v>
      </c>
      <c r="AD443" s="87">
        <v>0.7</v>
      </c>
      <c r="AE443" s="87">
        <v>0.8</v>
      </c>
      <c r="AF443" s="87">
        <v>0.9</v>
      </c>
      <c r="AG443" s="88">
        <v>1</v>
      </c>
      <c r="AH443" s="92">
        <f>D446</f>
        <v>0.72661870503597115</v>
      </c>
      <c r="AJ443" s="38">
        <f>HLOOKUP(AH443,AA443:AG443,1,TRUE)</f>
        <v>0.7</v>
      </c>
      <c r="AK443" s="88">
        <f>LOOKUP(AJ443,AA439:AG439,AA440:AG440)</f>
        <v>0.8</v>
      </c>
      <c r="AR443" s="1" t="s">
        <v>359</v>
      </c>
      <c r="AT443" s="1">
        <f>PI()*(BA443^2-BA444^2)</f>
        <v>71.62831250184729</v>
      </c>
      <c r="AZ443" s="1" t="s">
        <v>318</v>
      </c>
      <c r="BA443" s="1">
        <f>E323</f>
        <v>6.95</v>
      </c>
    </row>
    <row r="444" spans="3:53">
      <c r="Z444" s="93">
        <v>0</v>
      </c>
      <c r="AA444" s="84">
        <v>2</v>
      </c>
      <c r="AB444" s="85">
        <v>2</v>
      </c>
      <c r="AC444" s="85">
        <v>2</v>
      </c>
      <c r="AD444" s="85">
        <v>2</v>
      </c>
      <c r="AE444" s="85">
        <v>2</v>
      </c>
      <c r="AF444" s="85">
        <v>2</v>
      </c>
      <c r="AG444" s="85">
        <v>2</v>
      </c>
      <c r="AH444" s="94">
        <f t="shared" ref="AH444:AH460" si="16">(AK444-AJ444)/($AK$389-$AJ$389)*($AH$389-$AJ$389)+AJ444</f>
        <v>2</v>
      </c>
      <c r="AJ444" s="37">
        <f t="shared" ref="AJ444:AJ460" si="17">LOOKUP($AJ$389,$AA$389:$AG$389,AA444:AG444)</f>
        <v>2</v>
      </c>
      <c r="AK444" s="95">
        <f t="shared" ref="AK444:AK460" si="18">LOOKUP($AK$389,$AA$389:$AG$389,AA444:AG444)</f>
        <v>2</v>
      </c>
      <c r="AM444" s="84">
        <f>Z444</f>
        <v>0</v>
      </c>
      <c r="AN444" s="86">
        <f>Z445</f>
        <v>0.25</v>
      </c>
      <c r="AR444" s="1" t="s">
        <v>360</v>
      </c>
      <c r="AT444" s="1">
        <f>2*BA443-BA445</f>
        <v>0.79857168688309343</v>
      </c>
      <c r="AZ444" s="1" t="s">
        <v>319</v>
      </c>
      <c r="BA444" s="1">
        <f>E324</f>
        <v>5.05</v>
      </c>
    </row>
    <row r="445" spans="3:53">
      <c r="Z445" s="93">
        <v>0.25</v>
      </c>
      <c r="AA445" s="1">
        <v>2</v>
      </c>
      <c r="AB445" s="1">
        <v>2</v>
      </c>
      <c r="AC445" s="1">
        <v>2</v>
      </c>
      <c r="AD445" s="1">
        <v>2</v>
      </c>
      <c r="AE445" s="1">
        <v>2</v>
      </c>
      <c r="AF445" s="1">
        <v>2</v>
      </c>
      <c r="AG445" s="1">
        <v>2</v>
      </c>
      <c r="AH445" s="93">
        <f t="shared" si="16"/>
        <v>2</v>
      </c>
      <c r="AJ445" s="37">
        <f t="shared" si="17"/>
        <v>2</v>
      </c>
      <c r="AK445" s="95">
        <f t="shared" si="18"/>
        <v>2</v>
      </c>
      <c r="AM445" s="37">
        <f t="shared" ref="AM445:AM460" si="19">Z445</f>
        <v>0.25</v>
      </c>
      <c r="AN445" s="95">
        <f t="shared" ref="AN445:AN459" si="20">Z446</f>
        <v>0.3</v>
      </c>
      <c r="AR445" s="1" t="s">
        <v>361</v>
      </c>
      <c r="AT445" s="1">
        <f>2*ACOS((BA443-AT444)/BA443)</f>
        <v>0.96818530011367887</v>
      </c>
      <c r="AZ445" s="1" t="s">
        <v>370</v>
      </c>
      <c r="BA445" s="1">
        <f>G402</f>
        <v>13.101428313116907</v>
      </c>
    </row>
    <row r="446" spans="3:53">
      <c r="D446" s="1">
        <f>E324/E323</f>
        <v>0.72661870503597115</v>
      </c>
      <c r="F446" s="1" t="s">
        <v>457</v>
      </c>
      <c r="Z446" s="93">
        <v>0.3</v>
      </c>
      <c r="AA446" s="37">
        <v>1.82</v>
      </c>
      <c r="AB446" s="1">
        <v>2</v>
      </c>
      <c r="AC446" s="1">
        <v>2</v>
      </c>
      <c r="AD446" s="1">
        <v>2</v>
      </c>
      <c r="AE446" s="1">
        <v>2</v>
      </c>
      <c r="AF446" s="1">
        <v>2</v>
      </c>
      <c r="AG446" s="1">
        <v>2</v>
      </c>
      <c r="AH446" s="93">
        <f t="shared" si="16"/>
        <v>2</v>
      </c>
      <c r="AJ446" s="37">
        <f t="shared" si="17"/>
        <v>2</v>
      </c>
      <c r="AK446" s="95">
        <f t="shared" si="18"/>
        <v>2</v>
      </c>
      <c r="AM446" s="37">
        <f t="shared" si="19"/>
        <v>0.3</v>
      </c>
      <c r="AN446" s="95">
        <f t="shared" si="20"/>
        <v>0.35</v>
      </c>
      <c r="AR446" s="1" t="s">
        <v>362</v>
      </c>
      <c r="AT446" s="1">
        <f>BA445-BA443</f>
        <v>6.1514283131169067</v>
      </c>
    </row>
    <row r="447" spans="3:53">
      <c r="Z447" s="93">
        <v>0.35</v>
      </c>
      <c r="AA447" s="37">
        <v>1.66</v>
      </c>
      <c r="AB447" s="1">
        <v>1.89</v>
      </c>
      <c r="AC447" s="1">
        <v>1.95</v>
      </c>
      <c r="AD447" s="1">
        <v>2</v>
      </c>
      <c r="AE447" s="1">
        <v>2</v>
      </c>
      <c r="AF447" s="1">
        <v>2</v>
      </c>
      <c r="AG447" s="1">
        <v>2</v>
      </c>
      <c r="AH447" s="93">
        <f t="shared" si="16"/>
        <v>2</v>
      </c>
      <c r="AJ447" s="37">
        <f t="shared" si="17"/>
        <v>2</v>
      </c>
      <c r="AK447" s="95">
        <f t="shared" si="18"/>
        <v>2</v>
      </c>
      <c r="AM447" s="37">
        <f t="shared" si="19"/>
        <v>0.35</v>
      </c>
      <c r="AN447" s="95">
        <f t="shared" si="20"/>
        <v>0.4</v>
      </c>
      <c r="AR447" s="1" t="s">
        <v>363</v>
      </c>
      <c r="AT447" s="1" t="e">
        <f>2*ACOS(AT446/BA444)</f>
        <v>#NUM!</v>
      </c>
    </row>
    <row r="448" spans="3:53">
      <c r="Z448" s="93">
        <v>0.4</v>
      </c>
      <c r="AA448" s="37">
        <v>1.51</v>
      </c>
      <c r="AB448" s="1">
        <v>1.75</v>
      </c>
      <c r="AC448" s="1">
        <v>1.84</v>
      </c>
      <c r="AD448" s="1">
        <v>1.93</v>
      </c>
      <c r="AE448" s="1">
        <v>2</v>
      </c>
      <c r="AF448" s="1">
        <v>2</v>
      </c>
      <c r="AG448" s="1">
        <v>2</v>
      </c>
      <c r="AH448" s="93">
        <f t="shared" si="16"/>
        <v>1.9486330935251797</v>
      </c>
      <c r="AJ448" s="37">
        <f t="shared" si="17"/>
        <v>1.93</v>
      </c>
      <c r="AK448" s="95">
        <f t="shared" si="18"/>
        <v>2</v>
      </c>
      <c r="AM448" s="37">
        <f t="shared" si="19"/>
        <v>0.4</v>
      </c>
      <c r="AN448" s="95">
        <f t="shared" si="20"/>
        <v>0.45</v>
      </c>
      <c r="AR448" s="1" t="s">
        <v>364</v>
      </c>
      <c r="AT448" s="1">
        <f>ACOS(AT446/BA443)</f>
        <v>0.48409265005683944</v>
      </c>
    </row>
    <row r="449" spans="3:50">
      <c r="C449" s="58" t="s">
        <v>343</v>
      </c>
      <c r="Z449" s="93">
        <v>0.45</v>
      </c>
      <c r="AA449" s="37">
        <v>1.37</v>
      </c>
      <c r="AB449" s="1">
        <v>1.61</v>
      </c>
      <c r="AC449" s="1">
        <v>1.71</v>
      </c>
      <c r="AD449" s="1">
        <v>1.81</v>
      </c>
      <c r="AE449" s="1">
        <v>1.9</v>
      </c>
      <c r="AF449" s="1">
        <v>2</v>
      </c>
      <c r="AG449" s="1">
        <v>2</v>
      </c>
      <c r="AH449" s="93">
        <f t="shared" si="16"/>
        <v>1.833956834532374</v>
      </c>
      <c r="AJ449" s="37">
        <f t="shared" si="17"/>
        <v>1.81</v>
      </c>
      <c r="AK449" s="95">
        <f t="shared" si="18"/>
        <v>1.9</v>
      </c>
      <c r="AM449" s="37">
        <f t="shared" si="19"/>
        <v>0.45</v>
      </c>
      <c r="AN449" s="95">
        <f t="shared" si="20"/>
        <v>0.5</v>
      </c>
      <c r="AR449" s="1" t="s">
        <v>365</v>
      </c>
      <c r="AT449" s="1">
        <f>BA443-BA445</f>
        <v>-6.1514283131169067</v>
      </c>
    </row>
    <row r="450" spans="3:50">
      <c r="Z450" s="93">
        <v>0.5</v>
      </c>
      <c r="AA450" s="37">
        <v>1.23</v>
      </c>
      <c r="AB450" s="1">
        <v>1.46</v>
      </c>
      <c r="AC450" s="1">
        <v>1.56</v>
      </c>
      <c r="AD450" s="1">
        <v>1.66</v>
      </c>
      <c r="AE450" s="1">
        <v>1.78</v>
      </c>
      <c r="AF450" s="1">
        <v>1.89</v>
      </c>
      <c r="AG450" s="1">
        <v>2</v>
      </c>
      <c r="AH450" s="93">
        <f t="shared" si="16"/>
        <v>1.6919424460431653</v>
      </c>
      <c r="AJ450" s="37">
        <f t="shared" si="17"/>
        <v>1.66</v>
      </c>
      <c r="AK450" s="95">
        <f t="shared" si="18"/>
        <v>1.78</v>
      </c>
      <c r="AM450" s="37">
        <f t="shared" si="19"/>
        <v>0.5</v>
      </c>
      <c r="AN450" s="95">
        <f t="shared" si="20"/>
        <v>0.55000000000000004</v>
      </c>
      <c r="AR450" s="1" t="s">
        <v>366</v>
      </c>
      <c r="AT450" s="1">
        <f>ACOS(AT449/BA443)</f>
        <v>2.6575000035329537</v>
      </c>
    </row>
    <row r="451" spans="3:50">
      <c r="Z451" s="93">
        <v>0.55000000000000004</v>
      </c>
      <c r="AA451" s="37">
        <v>1.1000000000000001</v>
      </c>
      <c r="AB451" s="1">
        <v>1.29</v>
      </c>
      <c r="AC451" s="1">
        <v>1.39</v>
      </c>
      <c r="AD451" s="1">
        <v>1.5</v>
      </c>
      <c r="AE451" s="1">
        <v>1.62</v>
      </c>
      <c r="AF451" s="1">
        <v>1.74</v>
      </c>
      <c r="AG451" s="1">
        <v>1.87</v>
      </c>
      <c r="AH451" s="93">
        <f t="shared" si="16"/>
        <v>1.5319424460431654</v>
      </c>
      <c r="AJ451" s="37">
        <f t="shared" si="17"/>
        <v>1.5</v>
      </c>
      <c r="AK451" s="95">
        <f t="shared" si="18"/>
        <v>1.62</v>
      </c>
      <c r="AM451" s="37">
        <f t="shared" si="19"/>
        <v>0.55000000000000004</v>
      </c>
      <c r="AN451" s="95">
        <f t="shared" si="20"/>
        <v>0.6</v>
      </c>
      <c r="AR451" s="1" t="s">
        <v>367</v>
      </c>
      <c r="AT451" s="1" t="e">
        <f>2*ACOS(AT449/BA444)</f>
        <v>#NUM!</v>
      </c>
    </row>
    <row r="452" spans="3:50" ht="16.2">
      <c r="F452" s="11" t="s">
        <v>7</v>
      </c>
      <c r="G452" s="1">
        <f>PI()*(E323^2-E324^2)</f>
        <v>71.62831250184729</v>
      </c>
      <c r="H452" s="1" t="s">
        <v>458</v>
      </c>
      <c r="J452" s="1" t="s">
        <v>344</v>
      </c>
      <c r="Z452" s="93">
        <v>0.6</v>
      </c>
      <c r="AA452" s="37">
        <v>0.97</v>
      </c>
      <c r="AB452" s="1">
        <v>1.1200000000000001</v>
      </c>
      <c r="AC452" s="1">
        <v>1.21</v>
      </c>
      <c r="AD452" s="1">
        <v>1.32</v>
      </c>
      <c r="AE452" s="1">
        <v>1.45</v>
      </c>
      <c r="AF452" s="1">
        <v>1.58</v>
      </c>
      <c r="AG452" s="1">
        <v>1.71</v>
      </c>
      <c r="AH452" s="93">
        <f t="shared" si="16"/>
        <v>1.3546043165467625</v>
      </c>
      <c r="AJ452" s="37">
        <f t="shared" si="17"/>
        <v>1.32</v>
      </c>
      <c r="AK452" s="95">
        <f t="shared" si="18"/>
        <v>1.45</v>
      </c>
      <c r="AM452" s="37">
        <f t="shared" si="19"/>
        <v>0.6</v>
      </c>
      <c r="AN452" s="95">
        <f t="shared" si="20"/>
        <v>0.65</v>
      </c>
      <c r="AR452" s="1" t="s">
        <v>368</v>
      </c>
      <c r="AT452" s="1">
        <f>2*ACOS((BA443-BA445)/BA443)</f>
        <v>5.3150000070659074</v>
      </c>
    </row>
    <row r="453" spans="3:50">
      <c r="Z453" s="93">
        <v>0.65</v>
      </c>
      <c r="AA453" s="37">
        <v>0.84</v>
      </c>
      <c r="AB453" s="1">
        <v>0.94</v>
      </c>
      <c r="AC453" s="1">
        <v>1.02</v>
      </c>
      <c r="AD453" s="1">
        <v>1.1299999999999999</v>
      </c>
      <c r="AE453" s="1">
        <v>1.25</v>
      </c>
      <c r="AF453" s="1">
        <v>1.4</v>
      </c>
      <c r="AG453" s="1">
        <v>1.54</v>
      </c>
      <c r="AH453" s="93">
        <f t="shared" si="16"/>
        <v>1.1619424460431653</v>
      </c>
      <c r="AJ453" s="37">
        <f t="shared" si="17"/>
        <v>1.1299999999999999</v>
      </c>
      <c r="AK453" s="95">
        <f t="shared" si="18"/>
        <v>1.25</v>
      </c>
      <c r="AM453" s="37">
        <f t="shared" si="19"/>
        <v>0.65</v>
      </c>
      <c r="AN453" s="95">
        <f t="shared" si="20"/>
        <v>0.7</v>
      </c>
    </row>
    <row r="454" spans="3:50">
      <c r="C454" s="1" t="s">
        <v>352</v>
      </c>
      <c r="F454" s="11" t="s">
        <v>7</v>
      </c>
      <c r="G454" s="1">
        <f>AP441</f>
        <v>2</v>
      </c>
      <c r="J454" s="1" t="s">
        <v>353</v>
      </c>
      <c r="Z454" s="93">
        <v>0.7</v>
      </c>
      <c r="AA454" s="37">
        <v>0.72</v>
      </c>
      <c r="AB454" s="1">
        <v>0.75</v>
      </c>
      <c r="AC454" s="1">
        <v>0.82</v>
      </c>
      <c r="AD454" s="1">
        <v>0.93</v>
      </c>
      <c r="AE454" s="1">
        <v>1.05</v>
      </c>
      <c r="AF454" s="1">
        <v>1.2</v>
      </c>
      <c r="AG454" s="1">
        <v>1.35</v>
      </c>
      <c r="AH454" s="93">
        <f t="shared" si="16"/>
        <v>0.96194244604316548</v>
      </c>
      <c r="AJ454" s="37">
        <f t="shared" si="17"/>
        <v>0.93</v>
      </c>
      <c r="AK454" s="95">
        <f t="shared" si="18"/>
        <v>1.05</v>
      </c>
      <c r="AM454" s="37">
        <f t="shared" si="19"/>
        <v>0.7</v>
      </c>
      <c r="AN454" s="95">
        <f t="shared" si="20"/>
        <v>0.75</v>
      </c>
      <c r="AR454" s="58" t="s">
        <v>369</v>
      </c>
      <c r="AT454" s="96">
        <f>IF(BA445&lt;=AW455,AT455,IF(BA445&lt;AW456,AT456,IF(BA445=AX457,AT457,IF(BA445&lt;AW458,AT458,IF(BA445&gt;=AV459,AT459,"CASO NO CONSIDERADO")))))</f>
        <v>3.485672469996147</v>
      </c>
      <c r="AV454" s="1" t="s">
        <v>376</v>
      </c>
      <c r="AW454" s="1" t="s">
        <v>377</v>
      </c>
      <c r="AX454" s="1" t="s">
        <v>378</v>
      </c>
    </row>
    <row r="455" spans="3:50">
      <c r="Z455" s="93">
        <v>0.75</v>
      </c>
      <c r="AA455" s="37">
        <v>0.59</v>
      </c>
      <c r="AB455" s="1">
        <v>0.6</v>
      </c>
      <c r="AC455" s="1">
        <v>0.64</v>
      </c>
      <c r="AD455" s="1">
        <v>0.72</v>
      </c>
      <c r="AE455" s="1">
        <v>0.85</v>
      </c>
      <c r="AF455" s="1">
        <v>0.98</v>
      </c>
      <c r="AG455" s="1">
        <v>1.1499999999999999</v>
      </c>
      <c r="AH455" s="93">
        <f t="shared" si="16"/>
        <v>0.75460431654676252</v>
      </c>
      <c r="AJ455" s="37">
        <f t="shared" si="17"/>
        <v>0.72</v>
      </c>
      <c r="AK455" s="95">
        <f t="shared" si="18"/>
        <v>0.85</v>
      </c>
      <c r="AM455" s="37">
        <f t="shared" si="19"/>
        <v>0.75</v>
      </c>
      <c r="AN455" s="95">
        <f t="shared" si="20"/>
        <v>0.8</v>
      </c>
      <c r="AS455" s="1" t="s">
        <v>374</v>
      </c>
      <c r="AT455" s="1">
        <f>AT443-((BA443^2)/2*(AT452-SIN(AT452)))</f>
        <v>-76.632794178177562</v>
      </c>
      <c r="AW455" s="1">
        <f>BA443-BA444</f>
        <v>1.9000000000000004</v>
      </c>
    </row>
    <row r="456" spans="3:50" ht="15.6">
      <c r="C456" s="1" t="s">
        <v>465</v>
      </c>
      <c r="F456" s="11" t="s">
        <v>7</v>
      </c>
      <c r="G456" s="63">
        <f>G454*E323</f>
        <v>13.9</v>
      </c>
      <c r="H456" s="1" t="s">
        <v>84</v>
      </c>
      <c r="J456" s="1" t="s">
        <v>354</v>
      </c>
      <c r="Z456" s="93">
        <v>0.8</v>
      </c>
      <c r="AA456" s="37">
        <v>0.47</v>
      </c>
      <c r="AB456" s="1">
        <v>0.47</v>
      </c>
      <c r="AC456" s="1">
        <v>0.48</v>
      </c>
      <c r="AD456" s="1">
        <v>0.52</v>
      </c>
      <c r="AE456" s="1">
        <v>0.61</v>
      </c>
      <c r="AF456" s="1">
        <v>0.77</v>
      </c>
      <c r="AG456" s="1">
        <v>0.94</v>
      </c>
      <c r="AH456" s="93">
        <f t="shared" si="16"/>
        <v>0.54395683453237409</v>
      </c>
      <c r="AJ456" s="37">
        <f t="shared" si="17"/>
        <v>0.52</v>
      </c>
      <c r="AK456" s="95">
        <f t="shared" si="18"/>
        <v>0.61</v>
      </c>
      <c r="AM456" s="37">
        <f t="shared" si="19"/>
        <v>0.8</v>
      </c>
      <c r="AN456" s="95">
        <f t="shared" si="20"/>
        <v>0.85</v>
      </c>
      <c r="AS456" s="1" t="s">
        <v>373</v>
      </c>
      <c r="AT456" s="1" t="e">
        <f>AT443-((2*AT450*(BA443^2)/2)-((1/2)*AT449*TAN(AT450)*AT449)*2-(BA444^2)/2*(AT451-SIN(AT451)))</f>
        <v>#NUM!</v>
      </c>
      <c r="AV456" s="1">
        <f>BA443-BA444</f>
        <v>1.9000000000000004</v>
      </c>
      <c r="AW456" s="1">
        <f>BA443</f>
        <v>6.95</v>
      </c>
    </row>
    <row r="457" spans="3:50">
      <c r="Z457" s="93">
        <v>0.85</v>
      </c>
      <c r="AA457" s="37">
        <v>0.35</v>
      </c>
      <c r="AB457" s="1">
        <v>0.35</v>
      </c>
      <c r="AC457" s="1">
        <v>0.35</v>
      </c>
      <c r="AD457" s="1">
        <v>0.36</v>
      </c>
      <c r="AE457" s="1">
        <v>0.42</v>
      </c>
      <c r="AF457" s="1">
        <v>0.55000000000000004</v>
      </c>
      <c r="AG457" s="1">
        <v>0.72</v>
      </c>
      <c r="AH457" s="93">
        <f t="shared" si="16"/>
        <v>0.3759712230215827</v>
      </c>
      <c r="AJ457" s="37">
        <f t="shared" si="17"/>
        <v>0.36</v>
      </c>
      <c r="AK457" s="95">
        <f t="shared" si="18"/>
        <v>0.42</v>
      </c>
      <c r="AM457" s="37">
        <f t="shared" si="19"/>
        <v>0.85</v>
      </c>
      <c r="AN457" s="95">
        <f t="shared" si="20"/>
        <v>0.9</v>
      </c>
      <c r="AS457" s="1" t="s">
        <v>375</v>
      </c>
      <c r="AT457" s="1">
        <f>AT443/2</f>
        <v>35.814156250923645</v>
      </c>
      <c r="AX457" s="1">
        <f>BA443</f>
        <v>6.95</v>
      </c>
    </row>
    <row r="458" spans="3:50">
      <c r="C458" s="1" t="s">
        <v>355</v>
      </c>
      <c r="F458" s="11" t="s">
        <v>7</v>
      </c>
      <c r="G458" s="1">
        <f>AP464</f>
        <v>1.6479598748222053</v>
      </c>
      <c r="J458" s="1" t="s">
        <v>353</v>
      </c>
      <c r="Z458" s="93">
        <v>0.9</v>
      </c>
      <c r="AA458" s="37">
        <v>0.24</v>
      </c>
      <c r="AB458" s="1">
        <v>0.24</v>
      </c>
      <c r="AC458" s="1">
        <v>0.24</v>
      </c>
      <c r="AD458" s="1">
        <v>0.24</v>
      </c>
      <c r="AE458" s="1">
        <v>0.24</v>
      </c>
      <c r="AF458" s="1">
        <v>0.32</v>
      </c>
      <c r="AG458" s="1">
        <v>0.49</v>
      </c>
      <c r="AH458" s="93">
        <f t="shared" si="16"/>
        <v>0.24</v>
      </c>
      <c r="AJ458" s="37">
        <f t="shared" si="17"/>
        <v>0.24</v>
      </c>
      <c r="AK458" s="95">
        <f t="shared" si="18"/>
        <v>0.24</v>
      </c>
      <c r="AM458" s="37">
        <f t="shared" si="19"/>
        <v>0.9</v>
      </c>
      <c r="AN458" s="95">
        <f t="shared" si="20"/>
        <v>0.95</v>
      </c>
      <c r="AS458" s="1" t="s">
        <v>372</v>
      </c>
      <c r="AT458" s="1" t="e">
        <f>(2*AT448*(BA443^2)/2)-((1/2)*AT446*TAN(AT448)*AT446)*2-(BA444^2)/2*(AT447-SIN(AT447))</f>
        <v>#NUM!</v>
      </c>
      <c r="AV458" s="1">
        <f>BA443</f>
        <v>6.95</v>
      </c>
      <c r="AW458" s="1">
        <f>2*BA443-(BA443-BA444)</f>
        <v>12</v>
      </c>
    </row>
    <row r="459" spans="3:50">
      <c r="Z459" s="97">
        <v>0.95</v>
      </c>
      <c r="AA459" s="38">
        <v>0.12</v>
      </c>
      <c r="AB459" s="87">
        <v>0.12</v>
      </c>
      <c r="AC459" s="87">
        <v>0.12</v>
      </c>
      <c r="AD459" s="87">
        <v>0.12</v>
      </c>
      <c r="AE459" s="87">
        <v>0.12</v>
      </c>
      <c r="AF459" s="87">
        <v>0.12</v>
      </c>
      <c r="AG459" s="87">
        <v>0.25</v>
      </c>
      <c r="AH459" s="97">
        <f t="shared" si="16"/>
        <v>0.12</v>
      </c>
      <c r="AJ459" s="37">
        <f t="shared" si="17"/>
        <v>0.12</v>
      </c>
      <c r="AK459" s="95">
        <f t="shared" si="18"/>
        <v>0.12</v>
      </c>
      <c r="AM459" s="37">
        <f t="shared" si="19"/>
        <v>0.95</v>
      </c>
      <c r="AN459" s="95">
        <f t="shared" si="20"/>
        <v>1</v>
      </c>
      <c r="AS459" s="1" t="s">
        <v>371</v>
      </c>
      <c r="AT459" s="1">
        <f>(BA443^2)/2*(AT445-SIN(AT445))</f>
        <v>3.485672469996147</v>
      </c>
      <c r="AV459" s="1">
        <f>BA443+BA444</f>
        <v>12</v>
      </c>
    </row>
    <row r="460" spans="3:50" ht="16.2">
      <c r="F460" s="11" t="s">
        <v>7</v>
      </c>
      <c r="G460" s="1">
        <f>P431/G452</f>
        <v>10.369888567912348</v>
      </c>
      <c r="H460" s="1" t="s">
        <v>460</v>
      </c>
      <c r="Z460" s="98">
        <v>1</v>
      </c>
      <c r="AA460" s="99">
        <f>AA459</f>
        <v>0.12</v>
      </c>
      <c r="AB460" s="99">
        <f t="shared" ref="AB460:AG460" si="21">AB459</f>
        <v>0.12</v>
      </c>
      <c r="AC460" s="99">
        <f t="shared" si="21"/>
        <v>0.12</v>
      </c>
      <c r="AD460" s="99">
        <f t="shared" si="21"/>
        <v>0.12</v>
      </c>
      <c r="AE460" s="99">
        <f t="shared" si="21"/>
        <v>0.12</v>
      </c>
      <c r="AF460" s="99">
        <f t="shared" si="21"/>
        <v>0.12</v>
      </c>
      <c r="AG460" s="99">
        <f t="shared" si="21"/>
        <v>0.25</v>
      </c>
      <c r="AH460" s="98">
        <f t="shared" si="16"/>
        <v>0.12</v>
      </c>
      <c r="AJ460" s="100">
        <f t="shared" si="17"/>
        <v>0.12</v>
      </c>
      <c r="AK460" s="101">
        <f t="shared" si="18"/>
        <v>0.12</v>
      </c>
      <c r="AM460" s="38">
        <f t="shared" si="19"/>
        <v>1</v>
      </c>
      <c r="AN460" s="88">
        <v>1</v>
      </c>
    </row>
    <row r="462" spans="3:50" ht="16.2">
      <c r="F462" s="11" t="s">
        <v>7</v>
      </c>
      <c r="G462" s="1">
        <f>G460*G458</f>
        <v>17.08916026629705</v>
      </c>
      <c r="H462" s="1" t="s">
        <v>460</v>
      </c>
      <c r="J462" s="1" t="s">
        <v>730</v>
      </c>
    </row>
    <row r="463" spans="3:50">
      <c r="Z463" s="11" t="s">
        <v>347</v>
      </c>
      <c r="AM463" s="84">
        <f>VLOOKUP(Z465,Z466:Z481,1,TRUE)</f>
        <v>0.2</v>
      </c>
      <c r="AN463" s="85">
        <f>VLOOKUP(AM463,AM466:AN481,2,FALSE)</f>
        <v>0.25</v>
      </c>
      <c r="AO463" s="85"/>
      <c r="AP463" s="86" t="s">
        <v>347</v>
      </c>
    </row>
    <row r="464" spans="3:50" ht="15.6">
      <c r="C464" s="1" t="s">
        <v>461</v>
      </c>
      <c r="F464" s="11" t="s">
        <v>7</v>
      </c>
      <c r="G464" s="63">
        <f>(AT443-AT454)/AT443*100</f>
        <v>95.133666635094542</v>
      </c>
      <c r="H464" s="1" t="s">
        <v>357</v>
      </c>
      <c r="J464" s="11">
        <f>G464/100</f>
        <v>0.95133666635094538</v>
      </c>
      <c r="L464" s="1" t="s">
        <v>379</v>
      </c>
      <c r="Z464" s="91" t="s">
        <v>346</v>
      </c>
      <c r="AA464" s="84"/>
      <c r="AB464" s="85"/>
      <c r="AC464" s="85"/>
      <c r="AD464" s="85" t="s">
        <v>349</v>
      </c>
      <c r="AE464" s="85"/>
      <c r="AF464" s="85"/>
      <c r="AG464" s="86"/>
      <c r="AH464" s="91" t="s">
        <v>348</v>
      </c>
      <c r="AJ464" s="102" t="s">
        <v>350</v>
      </c>
      <c r="AK464" s="89" t="s">
        <v>351</v>
      </c>
      <c r="AM464" s="38">
        <f>VLOOKUP(AM463,Z466:AH481,9,FALSE)</f>
        <v>1.5266906474820146</v>
      </c>
      <c r="AN464" s="87">
        <f>VLOOKUP(AN463,Z466:AH481,9,FALSE)</f>
        <v>1.6540287769784174</v>
      </c>
      <c r="AO464" s="87"/>
      <c r="AP464" s="90">
        <f>(AN464-AM464)/(AN463-AM463)*(Z465-AM463)+AM464</f>
        <v>1.6479598748222053</v>
      </c>
    </row>
    <row r="465" spans="1:40">
      <c r="Z465" s="103">
        <f>D443</f>
        <v>0.24761701299515965</v>
      </c>
      <c r="AA465" s="38">
        <v>0</v>
      </c>
      <c r="AB465" s="87">
        <v>0.5</v>
      </c>
      <c r="AC465" s="87">
        <v>0.6</v>
      </c>
      <c r="AD465" s="87">
        <v>0.7</v>
      </c>
      <c r="AE465" s="87">
        <v>0.8</v>
      </c>
      <c r="AF465" s="87">
        <v>0.9</v>
      </c>
      <c r="AG465" s="88">
        <v>1</v>
      </c>
      <c r="AH465" s="104">
        <f>D446</f>
        <v>0.72661870503597115</v>
      </c>
      <c r="AJ465" s="38">
        <f>HLOOKUP(AH465,AA465:AG465,1,TRUE)</f>
        <v>0.7</v>
      </c>
      <c r="AK465" s="88">
        <f>LOOKUP(AJ465,AA439:AG439,AA440:AG440)</f>
        <v>0.8</v>
      </c>
    </row>
    <row r="466" spans="1:40" ht="16.2">
      <c r="C466" s="80" t="s">
        <v>462</v>
      </c>
      <c r="F466" s="11" t="s">
        <v>7</v>
      </c>
      <c r="G466" s="63">
        <f>E34</f>
        <v>200</v>
      </c>
      <c r="H466" s="1" t="s">
        <v>460</v>
      </c>
      <c r="J466" s="105">
        <f>G462/G466</f>
        <v>8.5445801331485244E-2</v>
      </c>
      <c r="L466" s="1" t="s">
        <v>380</v>
      </c>
      <c r="Z466" s="94">
        <v>0</v>
      </c>
      <c r="AA466" s="84">
        <v>1</v>
      </c>
      <c r="AB466" s="85">
        <v>1</v>
      </c>
      <c r="AC466" s="85">
        <v>1</v>
      </c>
      <c r="AD466" s="85">
        <v>1</v>
      </c>
      <c r="AE466" s="85">
        <v>1</v>
      </c>
      <c r="AF466" s="85">
        <v>1</v>
      </c>
      <c r="AG466" s="85">
        <v>1</v>
      </c>
      <c r="AH466" s="94">
        <f>(AK466-AJ466)/($AK$411-$AJ$411)*($AH$411-$AJ$411)+AJ466</f>
        <v>1</v>
      </c>
      <c r="AJ466" s="37">
        <f>LOOKUP($AJ$411,$AA$411:$AG$411,AA466:AG466)</f>
        <v>1</v>
      </c>
      <c r="AK466" s="95">
        <f>LOOKUP($AK$411,$AA$411:$AG$411,AA466:AG466)</f>
        <v>1</v>
      </c>
      <c r="AM466" s="84">
        <f>Z466</f>
        <v>0</v>
      </c>
      <c r="AN466" s="86">
        <f>Z467</f>
        <v>0.05</v>
      </c>
    </row>
    <row r="467" spans="1:40">
      <c r="Z467" s="93">
        <v>0.05</v>
      </c>
      <c r="AA467" s="37">
        <v>1.2</v>
      </c>
      <c r="AB467" s="1">
        <v>1.1599999999999999</v>
      </c>
      <c r="AC467" s="1">
        <v>1.1499999999999999</v>
      </c>
      <c r="AD467" s="1">
        <v>1.1299999999999999</v>
      </c>
      <c r="AE467" s="1">
        <v>1.1200000000000001</v>
      </c>
      <c r="AF467" s="1">
        <v>1.1100000000000001</v>
      </c>
      <c r="AG467" s="1">
        <v>1.1000000000000001</v>
      </c>
      <c r="AH467" s="93">
        <f>(AK467-AJ467)/($AK$411-$AJ$411)*($AH$411-$AJ$411)+AJ467</f>
        <v>1.1273381294964029</v>
      </c>
      <c r="AJ467" s="37">
        <f t="shared" ref="AJ467:AJ469" si="22">LOOKUP($AJ$411,$AA$411:$AG$411,AA467:AG467)</f>
        <v>1.1299999999999999</v>
      </c>
      <c r="AK467" s="95">
        <f t="shared" ref="AK467:AK469" si="23">LOOKUP($AK$411,$AA$411:$AG$411,AA467:AG467)</f>
        <v>1.1200000000000001</v>
      </c>
      <c r="AM467" s="37">
        <f t="shared" ref="AM467:AM486" si="24">Z467</f>
        <v>0.05</v>
      </c>
      <c r="AN467" s="95">
        <f t="shared" ref="AN467:AN485" si="25">Z468</f>
        <v>0.1</v>
      </c>
    </row>
    <row r="468" spans="1:40" ht="16.2">
      <c r="G468" s="1">
        <f>MAX(G462,G408)</f>
        <v>17.08916026629705</v>
      </c>
      <c r="H468" s="1" t="s">
        <v>460</v>
      </c>
      <c r="Z468" s="93">
        <v>0.1</v>
      </c>
      <c r="AA468" s="37">
        <v>1.4</v>
      </c>
      <c r="AB468" s="1">
        <v>1.3199999999999998</v>
      </c>
      <c r="AC468" s="1">
        <v>1.2999999999999998</v>
      </c>
      <c r="AD468" s="1">
        <v>1.27</v>
      </c>
      <c r="AE468" s="1">
        <v>1.2400000000000002</v>
      </c>
      <c r="AF468" s="1">
        <v>1.2200000000000002</v>
      </c>
      <c r="AG468" s="1">
        <v>1.2000000000000002</v>
      </c>
      <c r="AH468" s="93">
        <f>(AK468-AJ468)/($AK$411-$AJ$411)*($AH$411-$AJ$411)+AJ468</f>
        <v>1.2620143884892088</v>
      </c>
      <c r="AJ468" s="37">
        <f t="shared" si="22"/>
        <v>1.27</v>
      </c>
      <c r="AK468" s="95">
        <f t="shared" si="23"/>
        <v>1.2400000000000002</v>
      </c>
      <c r="AM468" s="37">
        <f t="shared" si="24"/>
        <v>0.1</v>
      </c>
      <c r="AN468" s="95">
        <f t="shared" si="25"/>
        <v>0.15</v>
      </c>
    </row>
    <row r="469" spans="1:40">
      <c r="Z469" s="93">
        <v>0.15</v>
      </c>
      <c r="AA469" s="37">
        <v>1.6</v>
      </c>
      <c r="AB469" s="1">
        <v>1.4799999999999998</v>
      </c>
      <c r="AC469" s="1">
        <v>1.4499999999999997</v>
      </c>
      <c r="AD469" s="1">
        <v>1.4</v>
      </c>
      <c r="AE469" s="1">
        <v>1.37</v>
      </c>
      <c r="AF469" s="1">
        <v>1.3300000000000003</v>
      </c>
      <c r="AG469" s="1">
        <v>1.3000000000000003</v>
      </c>
      <c r="AH469" s="93">
        <f t="shared" ref="AH469:AH486" si="26">(AK469-AJ469)/($AK$411-$AJ$411)*($AH$411-$AJ$411)+AJ469</f>
        <v>1.3920143884892087</v>
      </c>
      <c r="AJ469" s="37">
        <f t="shared" si="22"/>
        <v>1.4</v>
      </c>
      <c r="AK469" s="95">
        <f t="shared" si="23"/>
        <v>1.37</v>
      </c>
      <c r="AM469" s="37">
        <f t="shared" si="24"/>
        <v>0.15</v>
      </c>
      <c r="AN469" s="95">
        <f t="shared" si="25"/>
        <v>0.2</v>
      </c>
    </row>
    <row r="470" spans="1:40">
      <c r="Z470" s="93">
        <v>0.2</v>
      </c>
      <c r="AA470" s="37">
        <v>1.8</v>
      </c>
      <c r="AB470" s="1">
        <v>1.6399999999999997</v>
      </c>
      <c r="AC470" s="1">
        <v>1.59</v>
      </c>
      <c r="AD470" s="1">
        <v>1.54</v>
      </c>
      <c r="AE470" s="1">
        <v>1.4900000000000002</v>
      </c>
      <c r="AF470" s="1">
        <v>1.4400000000000004</v>
      </c>
      <c r="AG470" s="1">
        <v>1.4000000000000004</v>
      </c>
      <c r="AH470" s="93">
        <f t="shared" si="26"/>
        <v>1.5266906474820146</v>
      </c>
      <c r="AJ470" s="37">
        <f>LOOKUP($AJ$411,$AA$411:$AG$411,AA470:AG470)</f>
        <v>1.54</v>
      </c>
      <c r="AK470" s="95">
        <f>LOOKUP($AK$411,$AA$411:$AG$411,AA470:AG470)</f>
        <v>1.4900000000000002</v>
      </c>
      <c r="AM470" s="37">
        <f t="shared" si="24"/>
        <v>0.2</v>
      </c>
      <c r="AN470" s="95">
        <f t="shared" si="25"/>
        <v>0.25</v>
      </c>
    </row>
    <row r="471" spans="1:40">
      <c r="C471" s="1" t="s">
        <v>382</v>
      </c>
      <c r="D471" s="1" t="s">
        <v>383</v>
      </c>
      <c r="Z471" s="93">
        <v>0.25</v>
      </c>
      <c r="AA471" s="37">
        <v>2</v>
      </c>
      <c r="AB471" s="1">
        <v>1.7999999999999996</v>
      </c>
      <c r="AC471" s="1">
        <v>1.73</v>
      </c>
      <c r="AD471" s="1">
        <v>1.67</v>
      </c>
      <c r="AE471" s="1">
        <v>1.6100000000000003</v>
      </c>
      <c r="AF471" s="1">
        <v>1.5500000000000005</v>
      </c>
      <c r="AG471" s="1">
        <v>1.5000000000000004</v>
      </c>
      <c r="AH471" s="93">
        <f t="shared" si="26"/>
        <v>1.6540287769784174</v>
      </c>
      <c r="AJ471" s="37">
        <f t="shared" ref="AJ471:AJ479" si="27">LOOKUP($AJ$411,$AA$411:$AG$411,AA471:AG471)</f>
        <v>1.67</v>
      </c>
      <c r="AK471" s="95">
        <f t="shared" ref="AK471:AK479" si="28">LOOKUP($AK$411,$AA$411:$AG$411,AA471:AG471)</f>
        <v>1.6100000000000003</v>
      </c>
      <c r="AM471" s="37">
        <f t="shared" si="24"/>
        <v>0.25</v>
      </c>
      <c r="AN471" s="95">
        <f t="shared" si="25"/>
        <v>0.3</v>
      </c>
    </row>
    <row r="472" spans="1:40">
      <c r="Z472" s="93">
        <v>0.3</v>
      </c>
      <c r="AA472" s="37">
        <v>2.23</v>
      </c>
      <c r="AB472" s="1">
        <v>1.9599999999999995</v>
      </c>
      <c r="AC472" s="1">
        <v>1.88</v>
      </c>
      <c r="AD472" s="1">
        <v>1.81</v>
      </c>
      <c r="AE472" s="1">
        <v>1.7300000000000004</v>
      </c>
      <c r="AF472" s="1">
        <v>1.6600000000000006</v>
      </c>
      <c r="AG472" s="1">
        <v>1.6000000000000005</v>
      </c>
      <c r="AH472" s="93">
        <f t="shared" si="26"/>
        <v>1.7887050359712233</v>
      </c>
      <c r="AJ472" s="37">
        <f t="shared" si="27"/>
        <v>1.81</v>
      </c>
      <c r="AK472" s="95">
        <f t="shared" si="28"/>
        <v>1.7300000000000004</v>
      </c>
      <c r="AM472" s="37">
        <f t="shared" si="24"/>
        <v>0.3</v>
      </c>
      <c r="AN472" s="95">
        <f t="shared" si="25"/>
        <v>0.35</v>
      </c>
    </row>
    <row r="473" spans="1:40">
      <c r="H473" s="1">
        <f>(G417*P431+TAN(E310*PI()/180)*G419)/P436</f>
        <v>2.016369139326629</v>
      </c>
      <c r="I473" s="1" t="str">
        <f>IF(H473&gt;=1.3,"≥ 1.3","&lt; 1.3")</f>
        <v>≥ 1.3</v>
      </c>
      <c r="J473" s="105">
        <f>H473</f>
        <v>2.016369139326629</v>
      </c>
      <c r="Z473" s="93">
        <v>0.35</v>
      </c>
      <c r="AA473" s="37">
        <v>2.4300000000000002</v>
      </c>
      <c r="AB473" s="1">
        <v>2.1199999999999997</v>
      </c>
      <c r="AC473" s="1">
        <v>2.04</v>
      </c>
      <c r="AD473" s="1">
        <v>1.94</v>
      </c>
      <c r="AE473" s="1">
        <v>1.8500000000000005</v>
      </c>
      <c r="AF473" s="1">
        <v>1.7700000000000007</v>
      </c>
      <c r="AG473" s="1">
        <v>1.7000000000000006</v>
      </c>
      <c r="AH473" s="93">
        <f t="shared" si="26"/>
        <v>1.916043165467626</v>
      </c>
      <c r="AJ473" s="37">
        <f t="shared" si="27"/>
        <v>1.94</v>
      </c>
      <c r="AK473" s="95">
        <f t="shared" si="28"/>
        <v>1.8500000000000005</v>
      </c>
      <c r="AM473" s="37">
        <f t="shared" si="24"/>
        <v>0.35</v>
      </c>
      <c r="AN473" s="95">
        <f t="shared" si="25"/>
        <v>0.4</v>
      </c>
    </row>
    <row r="474" spans="1:40">
      <c r="S474" s="138" t="s">
        <v>750</v>
      </c>
      <c r="T474" s="138"/>
      <c r="U474" s="138"/>
      <c r="V474" s="138"/>
      <c r="W474" s="138"/>
      <c r="X474" s="138"/>
      <c r="Z474" s="93">
        <v>0.4</v>
      </c>
      <c r="AA474" s="37">
        <v>2.76</v>
      </c>
      <c r="AB474" s="1">
        <v>2.29</v>
      </c>
      <c r="AC474" s="1">
        <v>2.2000000000000002</v>
      </c>
      <c r="AD474" s="1">
        <v>2.0699999999999998</v>
      </c>
      <c r="AE474" s="1">
        <v>1.98</v>
      </c>
      <c r="AF474" s="1">
        <v>1.8800000000000008</v>
      </c>
      <c r="AG474" s="1">
        <v>1.8000000000000007</v>
      </c>
      <c r="AH474" s="93">
        <f t="shared" si="26"/>
        <v>2.0460431654676259</v>
      </c>
      <c r="AJ474" s="37">
        <f t="shared" si="27"/>
        <v>2.0699999999999998</v>
      </c>
      <c r="AK474" s="95">
        <f t="shared" si="28"/>
        <v>1.98</v>
      </c>
      <c r="AM474" s="37">
        <f t="shared" si="24"/>
        <v>0.4</v>
      </c>
      <c r="AN474" s="95">
        <f t="shared" si="25"/>
        <v>0.45</v>
      </c>
    </row>
    <row r="475" spans="1:40">
      <c r="Z475" s="93">
        <v>0.45</v>
      </c>
      <c r="AA475" s="37">
        <v>3.11</v>
      </c>
      <c r="AB475" s="1">
        <v>2.5099999999999998</v>
      </c>
      <c r="AC475" s="1">
        <v>2.39</v>
      </c>
      <c r="AD475" s="1">
        <v>2.23</v>
      </c>
      <c r="AE475" s="1">
        <v>2.1</v>
      </c>
      <c r="AF475" s="1">
        <v>1.9900000000000009</v>
      </c>
      <c r="AG475" s="1">
        <v>1.9000000000000008</v>
      </c>
      <c r="AH475" s="93">
        <f t="shared" si="26"/>
        <v>2.1953956834532375</v>
      </c>
      <c r="AJ475" s="37">
        <f t="shared" si="27"/>
        <v>2.23</v>
      </c>
      <c r="AK475" s="95">
        <f t="shared" si="28"/>
        <v>2.1</v>
      </c>
      <c r="AM475" s="37">
        <f t="shared" si="24"/>
        <v>0.45</v>
      </c>
      <c r="AN475" s="95">
        <f t="shared" si="25"/>
        <v>0.5</v>
      </c>
    </row>
    <row r="476" spans="1:40">
      <c r="Z476" s="93">
        <v>0.5</v>
      </c>
      <c r="AA476" s="37">
        <v>3.55</v>
      </c>
      <c r="AB476" s="1">
        <v>2.8</v>
      </c>
      <c r="AC476" s="1">
        <v>2.61</v>
      </c>
      <c r="AD476" s="1">
        <v>2.42</v>
      </c>
      <c r="AE476" s="1">
        <v>2.2599999999999998</v>
      </c>
      <c r="AF476" s="1">
        <v>2.100000000000001</v>
      </c>
      <c r="AG476" s="1">
        <v>2.0000000000000009</v>
      </c>
      <c r="AH476" s="93">
        <f t="shared" si="26"/>
        <v>2.377410071942446</v>
      </c>
      <c r="AJ476" s="37">
        <f t="shared" si="27"/>
        <v>2.42</v>
      </c>
      <c r="AK476" s="95">
        <f t="shared" si="28"/>
        <v>2.2599999999999998</v>
      </c>
      <c r="AM476" s="37">
        <f t="shared" si="24"/>
        <v>0.5</v>
      </c>
      <c r="AN476" s="95">
        <f t="shared" si="25"/>
        <v>0.55000000000000004</v>
      </c>
    </row>
    <row r="477" spans="1:40">
      <c r="A477" s="57" t="s">
        <v>385</v>
      </c>
      <c r="B477" s="58" t="s">
        <v>387</v>
      </c>
      <c r="D477" s="58"/>
      <c r="Z477" s="93">
        <v>0.55000000000000004</v>
      </c>
      <c r="AA477" s="37">
        <v>4.1500000000000004</v>
      </c>
      <c r="AB477" s="1">
        <v>3.14</v>
      </c>
      <c r="AC477" s="1">
        <v>2.89</v>
      </c>
      <c r="AD477" s="1">
        <v>2.67</v>
      </c>
      <c r="AE477" s="1">
        <v>2.42</v>
      </c>
      <c r="AF477" s="1">
        <v>2.25</v>
      </c>
      <c r="AG477" s="1">
        <v>2.17</v>
      </c>
      <c r="AH477" s="93">
        <f t="shared" si="26"/>
        <v>2.6034532374100721</v>
      </c>
      <c r="AJ477" s="37">
        <f t="shared" si="27"/>
        <v>2.67</v>
      </c>
      <c r="AK477" s="95">
        <f t="shared" si="28"/>
        <v>2.42</v>
      </c>
      <c r="AM477" s="37">
        <f t="shared" si="24"/>
        <v>0.55000000000000004</v>
      </c>
      <c r="AN477" s="95">
        <f t="shared" si="25"/>
        <v>0.6</v>
      </c>
    </row>
    <row r="478" spans="1:40">
      <c r="B478" s="1" t="s">
        <v>388</v>
      </c>
      <c r="Z478" s="93">
        <v>0.6</v>
      </c>
      <c r="AA478" s="37">
        <v>4.96</v>
      </c>
      <c r="AB478" s="1">
        <v>3.58</v>
      </c>
      <c r="AC478" s="1">
        <v>3.24</v>
      </c>
      <c r="AD478" s="1">
        <v>2.92</v>
      </c>
      <c r="AE478" s="1">
        <v>2.64</v>
      </c>
      <c r="AF478" s="1">
        <v>2.42</v>
      </c>
      <c r="AG478" s="1">
        <v>2.2000000000000002</v>
      </c>
      <c r="AH478" s="93">
        <f t="shared" si="26"/>
        <v>2.8454676258992806</v>
      </c>
      <c r="AJ478" s="37">
        <f t="shared" si="27"/>
        <v>2.92</v>
      </c>
      <c r="AK478" s="95">
        <f t="shared" si="28"/>
        <v>2.64</v>
      </c>
      <c r="AM478" s="37">
        <f t="shared" si="24"/>
        <v>0.6</v>
      </c>
      <c r="AN478" s="95">
        <f t="shared" si="25"/>
        <v>0.65</v>
      </c>
    </row>
    <row r="479" spans="1:40">
      <c r="Z479" s="93">
        <v>0.65</v>
      </c>
      <c r="AA479" s="37">
        <v>6</v>
      </c>
      <c r="AB479" s="1">
        <v>4.34</v>
      </c>
      <c r="AC479" s="1">
        <v>3.8</v>
      </c>
      <c r="AD479" s="1">
        <v>3.3</v>
      </c>
      <c r="AE479" s="1">
        <v>2.95</v>
      </c>
      <c r="AF479" s="1">
        <v>2.64</v>
      </c>
      <c r="AG479" s="1">
        <v>2.42</v>
      </c>
      <c r="AH479" s="93">
        <f t="shared" si="26"/>
        <v>3.206834532374101</v>
      </c>
      <c r="AJ479" s="37">
        <f t="shared" si="27"/>
        <v>3.3</v>
      </c>
      <c r="AK479" s="95">
        <f t="shared" si="28"/>
        <v>2.95</v>
      </c>
      <c r="AM479" s="37">
        <f t="shared" si="24"/>
        <v>0.65</v>
      </c>
      <c r="AN479" s="95">
        <f t="shared" si="25"/>
        <v>0.7</v>
      </c>
    </row>
    <row r="480" spans="1:40">
      <c r="A480" s="59" t="s">
        <v>386</v>
      </c>
      <c r="B480" s="1" t="s">
        <v>389</v>
      </c>
      <c r="Z480" s="93">
        <v>0.7</v>
      </c>
      <c r="AA480" s="37">
        <v>7.43</v>
      </c>
      <c r="AB480" s="1">
        <v>5.4</v>
      </c>
      <c r="AC480" s="1">
        <v>4.25</v>
      </c>
      <c r="AD480" s="1">
        <v>3.8</v>
      </c>
      <c r="AE480" s="1">
        <v>3.33</v>
      </c>
      <c r="AF480" s="1">
        <v>2.95</v>
      </c>
      <c r="AG480" s="1">
        <v>2.54</v>
      </c>
      <c r="AH480" s="93">
        <f t="shared" si="26"/>
        <v>3.6748920863309356</v>
      </c>
      <c r="AJ480" s="37">
        <f>LOOKUP($AJ$411,$AA$411:$AG$411,AA480:AG480)</f>
        <v>3.8</v>
      </c>
      <c r="AK480" s="95">
        <f>LOOKUP($AK$411,$AA$411:$AG$411,AA480:AG480)</f>
        <v>3.33</v>
      </c>
      <c r="AM480" s="37">
        <f t="shared" si="24"/>
        <v>0.7</v>
      </c>
      <c r="AN480" s="95">
        <f t="shared" si="25"/>
        <v>0.75</v>
      </c>
    </row>
    <row r="481" spans="1:40">
      <c r="Z481" s="93">
        <v>0.75</v>
      </c>
      <c r="AA481" s="37">
        <v>9.93</v>
      </c>
      <c r="AB481" s="1">
        <v>7.23</v>
      </c>
      <c r="AC481" s="1">
        <v>5.97</v>
      </c>
      <c r="AD481" s="1">
        <v>4.8099999999999996</v>
      </c>
      <c r="AE481" s="1">
        <v>3.93</v>
      </c>
      <c r="AF481" s="1">
        <v>3.33</v>
      </c>
      <c r="AG481" s="1">
        <v>2.89</v>
      </c>
      <c r="AH481" s="93">
        <f t="shared" si="26"/>
        <v>4.5757553956834531</v>
      </c>
      <c r="AJ481" s="37">
        <f t="shared" ref="AJ481:AJ486" si="29">LOOKUP($AJ$411,$AA$411:$AG$411,AA481:AG481)</f>
        <v>4.8099999999999996</v>
      </c>
      <c r="AK481" s="95">
        <f t="shared" ref="AK481:AK486" si="30">LOOKUP($AK$411,$AA$411:$AG$411,AA481:AG481)</f>
        <v>3.93</v>
      </c>
      <c r="AM481" s="37">
        <f t="shared" si="24"/>
        <v>0.75</v>
      </c>
      <c r="AN481" s="95">
        <f t="shared" si="25"/>
        <v>0.8</v>
      </c>
    </row>
    <row r="482" spans="1:40">
      <c r="B482" s="1" t="s">
        <v>12</v>
      </c>
      <c r="D482" s="68" t="s">
        <v>7</v>
      </c>
      <c r="E482" s="67">
        <f>E311</f>
        <v>120</v>
      </c>
      <c r="F482" s="1" t="s">
        <v>8</v>
      </c>
      <c r="I482" s="1" t="s">
        <v>303</v>
      </c>
      <c r="Z482" s="93">
        <v>0.8</v>
      </c>
      <c r="AA482" s="37">
        <v>13.87</v>
      </c>
      <c r="AB482" s="1">
        <v>10.050000000000001</v>
      </c>
      <c r="AC482" s="1">
        <v>8.82</v>
      </c>
      <c r="AD482" s="1">
        <v>6.53</v>
      </c>
      <c r="AE482" s="1">
        <v>4.93</v>
      </c>
      <c r="AF482" s="1">
        <v>3.96</v>
      </c>
      <c r="AG482" s="1">
        <v>3.27</v>
      </c>
      <c r="AH482" s="93">
        <f t="shared" si="26"/>
        <v>6.1041007194244612</v>
      </c>
      <c r="AJ482" s="37">
        <f t="shared" si="29"/>
        <v>6.53</v>
      </c>
      <c r="AK482" s="95">
        <f t="shared" si="30"/>
        <v>4.93</v>
      </c>
      <c r="AM482" s="37">
        <f t="shared" si="24"/>
        <v>0.8</v>
      </c>
      <c r="AN482" s="95">
        <f t="shared" si="25"/>
        <v>0.85</v>
      </c>
    </row>
    <row r="483" spans="1:40">
      <c r="B483" s="1" t="s">
        <v>304</v>
      </c>
      <c r="D483" s="68" t="s">
        <v>7</v>
      </c>
      <c r="E483" s="1">
        <f>E314</f>
        <v>12.252000000000001</v>
      </c>
      <c r="F483" s="1" t="s">
        <v>84</v>
      </c>
      <c r="I483" s="1" t="s">
        <v>305</v>
      </c>
      <c r="Z483" s="93">
        <v>0.85</v>
      </c>
      <c r="AA483" s="37">
        <v>21.08</v>
      </c>
      <c r="AB483" s="1">
        <v>15.55</v>
      </c>
      <c r="AC483" s="1">
        <v>13.32</v>
      </c>
      <c r="AD483" s="1">
        <v>10.43</v>
      </c>
      <c r="AE483" s="1">
        <v>7.16</v>
      </c>
      <c r="AF483" s="1">
        <v>4.9000000000000004</v>
      </c>
      <c r="AG483" s="1">
        <v>3.77</v>
      </c>
      <c r="AH483" s="93">
        <f t="shared" si="26"/>
        <v>9.5595683453237434</v>
      </c>
      <c r="AJ483" s="37">
        <f t="shared" si="29"/>
        <v>10.43</v>
      </c>
      <c r="AK483" s="95">
        <f t="shared" si="30"/>
        <v>7.16</v>
      </c>
      <c r="AM483" s="37">
        <f t="shared" si="24"/>
        <v>0.85</v>
      </c>
      <c r="AN483" s="95">
        <f t="shared" si="25"/>
        <v>0.9</v>
      </c>
    </row>
    <row r="484" spans="1:40" ht="15.6">
      <c r="B484" s="1" t="s">
        <v>466</v>
      </c>
      <c r="D484" s="68" t="s">
        <v>7</v>
      </c>
      <c r="E484" s="106">
        <v>1</v>
      </c>
      <c r="F484" s="1" t="s">
        <v>390</v>
      </c>
      <c r="I484" s="1" t="s">
        <v>394</v>
      </c>
      <c r="Z484" s="93">
        <v>0.9</v>
      </c>
      <c r="AA484" s="37">
        <v>38.25</v>
      </c>
      <c r="AB484" s="1">
        <v>30.8</v>
      </c>
      <c r="AC484" s="1">
        <v>25.8</v>
      </c>
      <c r="AD484" s="1">
        <v>19.850000000000001</v>
      </c>
      <c r="AE484" s="1">
        <v>14.6</v>
      </c>
      <c r="AF484" s="1">
        <v>7.13</v>
      </c>
      <c r="AG484" s="1">
        <v>4.71</v>
      </c>
      <c r="AH484" s="93">
        <f t="shared" si="26"/>
        <v>18.452517985611514</v>
      </c>
      <c r="AJ484" s="37">
        <f t="shared" si="29"/>
        <v>19.850000000000001</v>
      </c>
      <c r="AK484" s="95">
        <f t="shared" si="30"/>
        <v>14.6</v>
      </c>
      <c r="AM484" s="37">
        <f t="shared" si="24"/>
        <v>0.9</v>
      </c>
      <c r="AN484" s="95">
        <f t="shared" si="25"/>
        <v>0.95</v>
      </c>
    </row>
    <row r="485" spans="1:40">
      <c r="Z485" s="97">
        <v>0.95</v>
      </c>
      <c r="AA485" s="38">
        <v>99.1</v>
      </c>
      <c r="AB485" s="87">
        <v>72.72</v>
      </c>
      <c r="AC485" s="87">
        <v>62.2</v>
      </c>
      <c r="AD485" s="87">
        <v>50.2</v>
      </c>
      <c r="AE485" s="87">
        <v>34.6</v>
      </c>
      <c r="AF485" s="87">
        <v>19.8</v>
      </c>
      <c r="AG485" s="87">
        <v>6.72</v>
      </c>
      <c r="AH485" s="97">
        <f t="shared" si="26"/>
        <v>46.0474820143885</v>
      </c>
      <c r="AJ485" s="37">
        <f t="shared" si="29"/>
        <v>50.2</v>
      </c>
      <c r="AK485" s="95">
        <f t="shared" si="30"/>
        <v>34.6</v>
      </c>
      <c r="AM485" s="37">
        <f t="shared" si="24"/>
        <v>0.95</v>
      </c>
      <c r="AN485" s="95">
        <f t="shared" si="25"/>
        <v>1</v>
      </c>
    </row>
    <row r="486" spans="1:40">
      <c r="Z486" s="98">
        <v>1</v>
      </c>
      <c r="AA486" s="99">
        <f>AA485</f>
        <v>99.1</v>
      </c>
      <c r="AB486" s="99">
        <f t="shared" ref="AB486:AG486" si="31">AB485</f>
        <v>72.72</v>
      </c>
      <c r="AC486" s="99">
        <f t="shared" si="31"/>
        <v>62.2</v>
      </c>
      <c r="AD486" s="99">
        <f t="shared" si="31"/>
        <v>50.2</v>
      </c>
      <c r="AE486" s="99">
        <f t="shared" si="31"/>
        <v>34.6</v>
      </c>
      <c r="AF486" s="99">
        <f t="shared" si="31"/>
        <v>19.8</v>
      </c>
      <c r="AG486" s="99">
        <f t="shared" si="31"/>
        <v>6.72</v>
      </c>
      <c r="AH486" s="98">
        <f t="shared" si="26"/>
        <v>46.0474820143885</v>
      </c>
      <c r="AJ486" s="37">
        <f t="shared" si="29"/>
        <v>50.2</v>
      </c>
      <c r="AK486" s="95">
        <f t="shared" si="30"/>
        <v>34.6</v>
      </c>
      <c r="AM486" s="38">
        <f t="shared" si="24"/>
        <v>1</v>
      </c>
      <c r="AN486" s="88">
        <v>1</v>
      </c>
    </row>
    <row r="487" spans="1:40" ht="15.6">
      <c r="I487" s="1" t="s">
        <v>392</v>
      </c>
      <c r="N487" s="1" t="s">
        <v>467</v>
      </c>
      <c r="O487" s="11" t="s">
        <v>7</v>
      </c>
      <c r="P487" s="63">
        <f>PI()*E483/(IF(E483&lt;15,1.8,3))</f>
        <v>21.383773995434524</v>
      </c>
      <c r="Q487" s="1" t="s">
        <v>391</v>
      </c>
    </row>
    <row r="490" spans="1:40" ht="15.6">
      <c r="B490" s="1" t="s">
        <v>468</v>
      </c>
      <c r="D490" s="68" t="s">
        <v>7</v>
      </c>
      <c r="E490" s="1">
        <v>3</v>
      </c>
      <c r="F490" s="1" t="s">
        <v>84</v>
      </c>
      <c r="I490" s="1" t="s">
        <v>393</v>
      </c>
    </row>
    <row r="493" spans="1:40">
      <c r="A493" s="59" t="s">
        <v>395</v>
      </c>
      <c r="B493" s="1" t="s">
        <v>396</v>
      </c>
    </row>
    <row r="495" spans="1:40">
      <c r="B495" s="1" t="s">
        <v>27</v>
      </c>
      <c r="D495" s="68" t="s">
        <v>7</v>
      </c>
      <c r="E495" s="130" t="str">
        <f>E40</f>
        <v>F1554 Gr36</v>
      </c>
    </row>
    <row r="496" spans="1:40" ht="16.2">
      <c r="B496" s="1" t="s">
        <v>469</v>
      </c>
      <c r="D496" s="68" t="s">
        <v>7</v>
      </c>
      <c r="E496" s="1">
        <f>VLOOKUP(E495,VARS!K4:M4,3,FALSE)*VARS!Q3/1000</f>
        <v>2.5310504867047201</v>
      </c>
      <c r="F496" s="1" t="s">
        <v>470</v>
      </c>
      <c r="I496" s="1" t="s">
        <v>404</v>
      </c>
    </row>
    <row r="497" spans="1:17" ht="16.2">
      <c r="B497" s="1" t="s">
        <v>471</v>
      </c>
      <c r="D497" s="68" t="s">
        <v>7</v>
      </c>
      <c r="E497" s="1">
        <f>VLOOKUP(E495,VARS!K4:M4,2,FALSE)*VARS!Q3/1000</f>
        <v>4.0778035619131598</v>
      </c>
      <c r="F497" s="1" t="s">
        <v>470</v>
      </c>
      <c r="I497" s="1" t="s">
        <v>405</v>
      </c>
    </row>
    <row r="498" spans="1:17" ht="15.6">
      <c r="B498" s="1" t="s">
        <v>472</v>
      </c>
      <c r="D498" s="68" t="s">
        <v>7</v>
      </c>
      <c r="E498" s="106">
        <f>E41</f>
        <v>1.5</v>
      </c>
      <c r="F498" s="1" t="s">
        <v>390</v>
      </c>
      <c r="H498" s="105">
        <f>E498/E484</f>
        <v>1.5</v>
      </c>
      <c r="I498" s="1" t="s">
        <v>406</v>
      </c>
      <c r="O498" s="108" t="str">
        <f>IF(H498&lt;1,"Aumentar diámetro","")</f>
        <v/>
      </c>
    </row>
    <row r="499" spans="1:17" ht="15.6">
      <c r="B499" s="1" t="s">
        <v>473</v>
      </c>
      <c r="D499" s="68" t="s">
        <v>7</v>
      </c>
      <c r="E499" s="67">
        <f>E42</f>
        <v>36</v>
      </c>
      <c r="F499" s="1" t="s">
        <v>391</v>
      </c>
      <c r="H499" s="105">
        <f>E499/P487</f>
        <v>1.6835194763883152</v>
      </c>
      <c r="I499" s="1" t="s">
        <v>407</v>
      </c>
      <c r="O499" s="108" t="str">
        <f>IF(H499&lt;1,"Faltan pernos","")</f>
        <v/>
      </c>
    </row>
    <row r="500" spans="1:17" ht="15.6">
      <c r="B500" s="1" t="s">
        <v>474</v>
      </c>
      <c r="D500" s="68" t="s">
        <v>7</v>
      </c>
      <c r="E500" s="137">
        <f>PI()*E483/E499</f>
        <v>1.0691886997717264</v>
      </c>
      <c r="F500" s="1" t="s">
        <v>84</v>
      </c>
      <c r="H500" s="105">
        <f>E500/E490</f>
        <v>0.35639623325724212</v>
      </c>
      <c r="I500" s="1" t="s">
        <v>408</v>
      </c>
      <c r="O500" s="108" t="str">
        <f>IF(H500&gt;=1,"Acercar pernos","")</f>
        <v/>
      </c>
    </row>
    <row r="503" spans="1:17">
      <c r="A503" s="59" t="s">
        <v>410</v>
      </c>
      <c r="B503" s="1" t="s">
        <v>411</v>
      </c>
    </row>
    <row r="505" spans="1:17">
      <c r="B505" s="1" t="s">
        <v>138</v>
      </c>
      <c r="C505" s="1" t="s">
        <v>412</v>
      </c>
    </row>
    <row r="507" spans="1:17" ht="15.6">
      <c r="I507" s="1" t="s">
        <v>413</v>
      </c>
      <c r="N507" s="1" t="s">
        <v>475</v>
      </c>
      <c r="O507" s="11" t="s">
        <v>7</v>
      </c>
      <c r="P507" s="1">
        <f>PI()*E71*(4*P254/(PI()*E71^2)-P262)/E499</f>
        <v>6.8054179627611147</v>
      </c>
      <c r="Q507" s="1" t="s">
        <v>16</v>
      </c>
    </row>
    <row r="509" spans="1:17" ht="15.6">
      <c r="C509" s="1" t="s">
        <v>476</v>
      </c>
      <c r="I509" s="1" t="s">
        <v>414</v>
      </c>
      <c r="N509" s="1" t="s">
        <v>477</v>
      </c>
      <c r="O509" s="11" t="s">
        <v>7</v>
      </c>
      <c r="P509" s="1">
        <f>P507*1.5</f>
        <v>10.208126944141672</v>
      </c>
      <c r="Q509" s="1" t="s">
        <v>16</v>
      </c>
    </row>
    <row r="512" spans="1:17">
      <c r="B512" s="1" t="s">
        <v>139</v>
      </c>
      <c r="C512" s="1" t="s">
        <v>415</v>
      </c>
    </row>
    <row r="514" spans="1:24" ht="15.6">
      <c r="C514" s="80" t="s">
        <v>478</v>
      </c>
      <c r="F514" s="11"/>
      <c r="G514" s="68" t="s">
        <v>7</v>
      </c>
      <c r="H514" s="75">
        <v>0.75</v>
      </c>
      <c r="K514" s="1" t="s">
        <v>416</v>
      </c>
    </row>
    <row r="516" spans="1:24" ht="16.2">
      <c r="C516" s="1" t="s">
        <v>481</v>
      </c>
      <c r="G516" s="68" t="s">
        <v>7</v>
      </c>
      <c r="H516" s="1">
        <f>MIN(E497,1.9*E496,860*VARS!Q2/1000)</f>
        <v>4.0778035619131598</v>
      </c>
      <c r="I516" s="1" t="s">
        <v>470</v>
      </c>
      <c r="K516" s="1" t="s">
        <v>417</v>
      </c>
      <c r="O516" s="11"/>
    </row>
    <row r="518" spans="1:24" ht="15.6">
      <c r="C518" s="1" t="s">
        <v>479</v>
      </c>
      <c r="D518" s="68"/>
      <c r="G518" s="68" t="s">
        <v>7</v>
      </c>
      <c r="H518" s="63">
        <f>VLOOKUP(E498,VARS!A5:F15,6,FALSE)</f>
        <v>6</v>
      </c>
      <c r="K518" s="1" t="s">
        <v>419</v>
      </c>
    </row>
    <row r="520" spans="1:24" ht="16.2">
      <c r="G520" s="68" t="s">
        <v>7</v>
      </c>
      <c r="H520" s="1">
        <f>(PI()/4*(E498-0.9743/H518)^2)*2.54^2</f>
        <v>9.0661031813521156</v>
      </c>
      <c r="I520" s="1" t="s">
        <v>480</v>
      </c>
      <c r="K520" s="1" t="s">
        <v>421</v>
      </c>
    </row>
    <row r="522" spans="1:24" ht="15.6">
      <c r="C522" s="80" t="s">
        <v>482</v>
      </c>
      <c r="G522" s="68" t="s">
        <v>7</v>
      </c>
      <c r="H522" s="1">
        <f>H514*H520*H516</f>
        <v>27.727340884192415</v>
      </c>
      <c r="I522" s="1" t="s">
        <v>16</v>
      </c>
      <c r="K522" s="1" t="s">
        <v>422</v>
      </c>
    </row>
    <row r="524" spans="1:24" ht="15.6">
      <c r="C524" s="1" t="s">
        <v>605</v>
      </c>
      <c r="G524" s="68" t="s">
        <v>7</v>
      </c>
      <c r="H524" s="1">
        <f>P509/H522</f>
        <v>0.36816105037902891</v>
      </c>
      <c r="I524" s="105">
        <f>H524</f>
        <v>0.36816105037902891</v>
      </c>
      <c r="K524" s="1" t="s">
        <v>483</v>
      </c>
      <c r="P524" s="108" t="str">
        <f>IF(I524&gt;=1,"Falla perno en tracción","")</f>
        <v/>
      </c>
      <c r="S524" s="138" t="s">
        <v>750</v>
      </c>
      <c r="T524" s="138"/>
      <c r="U524" s="138"/>
      <c r="V524" s="138"/>
      <c r="W524" s="138"/>
      <c r="X524" s="138"/>
    </row>
    <row r="527" spans="1:24">
      <c r="A527" s="59" t="s">
        <v>484</v>
      </c>
      <c r="B527" s="1" t="s">
        <v>485</v>
      </c>
    </row>
    <row r="529" spans="2:17">
      <c r="B529" s="1" t="s">
        <v>138</v>
      </c>
      <c r="C529" s="1" t="s">
        <v>486</v>
      </c>
    </row>
    <row r="531" spans="2:17" ht="15.6">
      <c r="C531" s="1" t="s">
        <v>488</v>
      </c>
      <c r="G531" s="68" t="s">
        <v>7</v>
      </c>
      <c r="H531" s="67">
        <f>INT(E499/3)</f>
        <v>12</v>
      </c>
      <c r="I531" s="1" t="s">
        <v>391</v>
      </c>
      <c r="K531" s="1" t="s">
        <v>487</v>
      </c>
    </row>
    <row r="533" spans="2:17" ht="15.6">
      <c r="C533" s="1" t="s">
        <v>489</v>
      </c>
      <c r="G533" s="68"/>
      <c r="I533" s="1" t="s">
        <v>490</v>
      </c>
      <c r="N533" s="1" t="s">
        <v>491</v>
      </c>
      <c r="O533" s="11" t="s">
        <v>7</v>
      </c>
      <c r="P533" s="1">
        <f>P224/H531</f>
        <v>19.89760983768517</v>
      </c>
      <c r="Q533" s="1" t="s">
        <v>16</v>
      </c>
    </row>
    <row r="535" spans="2:17" ht="15.6">
      <c r="C535" s="1" t="s">
        <v>494</v>
      </c>
      <c r="I535" s="1" t="s">
        <v>493</v>
      </c>
      <c r="N535" s="1" t="s">
        <v>492</v>
      </c>
      <c r="O535" s="11" t="s">
        <v>7</v>
      </c>
      <c r="P535" s="1">
        <f>P533*1.5</f>
        <v>29.846414756527757</v>
      </c>
      <c r="Q535" s="1" t="s">
        <v>16</v>
      </c>
    </row>
    <row r="538" spans="2:17">
      <c r="B538" s="1" t="s">
        <v>139</v>
      </c>
      <c r="C538" s="1" t="s">
        <v>495</v>
      </c>
    </row>
    <row r="540" spans="2:17" ht="15.6">
      <c r="C540" s="80" t="s">
        <v>496</v>
      </c>
      <c r="F540" s="11"/>
      <c r="G540" s="68" t="s">
        <v>7</v>
      </c>
      <c r="H540" s="75">
        <v>0.65</v>
      </c>
      <c r="K540" s="1" t="s">
        <v>497</v>
      </c>
    </row>
    <row r="542" spans="2:17" ht="15.6">
      <c r="C542" s="1" t="s">
        <v>479</v>
      </c>
      <c r="D542" s="68"/>
      <c r="G542" s="68" t="s">
        <v>7</v>
      </c>
      <c r="H542" s="63">
        <f>VLOOKUP(E498,VARS!A5:F15,6,FALSE)</f>
        <v>6</v>
      </c>
      <c r="K542" s="1" t="s">
        <v>419</v>
      </c>
    </row>
    <row r="544" spans="2:17" ht="16.2">
      <c r="G544" s="68" t="s">
        <v>7</v>
      </c>
      <c r="H544" s="1">
        <f>(PI()/4*(E498-0.9743/H542)^2)*2.54^2</f>
        <v>9.0661031813521156</v>
      </c>
      <c r="I544" s="1" t="s">
        <v>480</v>
      </c>
      <c r="K544" s="1" t="s">
        <v>498</v>
      </c>
    </row>
    <row r="546" spans="1:24" ht="15.6">
      <c r="C546" s="80" t="s">
        <v>499</v>
      </c>
      <c r="G546" s="68" t="s">
        <v>7</v>
      </c>
      <c r="H546" s="1">
        <f>H540*0.6*H544*H516</f>
        <v>14.418217259780056</v>
      </c>
      <c r="I546" s="1" t="s">
        <v>16</v>
      </c>
      <c r="K546" s="1" t="s">
        <v>500</v>
      </c>
    </row>
    <row r="548" spans="1:24" ht="15.6">
      <c r="C548" s="1" t="s">
        <v>604</v>
      </c>
      <c r="G548" s="68" t="s">
        <v>7</v>
      </c>
      <c r="H548" s="1">
        <f>P535/H546</f>
        <v>2.0700488984713115</v>
      </c>
      <c r="I548" s="105">
        <f>H548</f>
        <v>2.0700488984713115</v>
      </c>
      <c r="K548" s="1" t="s">
        <v>501</v>
      </c>
      <c r="P548" s="108" t="str">
        <f>IF(I548&gt;=1,"Falla perno en corte","")</f>
        <v>Falla perno en corte</v>
      </c>
    </row>
    <row r="551" spans="1:24">
      <c r="A551" s="59" t="s">
        <v>502</v>
      </c>
      <c r="B551" s="1" t="s">
        <v>503</v>
      </c>
    </row>
    <row r="553" spans="1:24" ht="15.6">
      <c r="B553" s="1" t="s">
        <v>504</v>
      </c>
      <c r="D553" s="68" t="s">
        <v>7</v>
      </c>
      <c r="E553" s="1">
        <f>H524+H548</f>
        <v>2.4382099488503401</v>
      </c>
      <c r="F553" s="11" t="str">
        <f>IF(E553&lt;=G553,"≤","&gt;")</f>
        <v>&gt;</v>
      </c>
      <c r="G553" s="63">
        <v>1.2</v>
      </c>
      <c r="I553" s="105">
        <f>E553</f>
        <v>2.4382099488503401</v>
      </c>
      <c r="K553" s="108" t="str">
        <f>IF(E553&gt;1.2,"Falla perno interacción corte-tracción","")</f>
        <v>Falla perno interacción corte-tracción</v>
      </c>
    </row>
    <row r="556" spans="1:24">
      <c r="A556" s="59" t="s">
        <v>505</v>
      </c>
      <c r="B556" s="1" t="s">
        <v>506</v>
      </c>
    </row>
    <row r="558" spans="1:24" ht="15.6">
      <c r="B558" s="1" t="s">
        <v>491</v>
      </c>
      <c r="D558" s="68" t="s">
        <v>7</v>
      </c>
      <c r="E558" s="1">
        <f>P533</f>
        <v>19.89760983768517</v>
      </c>
      <c r="F558" s="11" t="str">
        <f>IF(E558&lt;=5,"≤","&gt;")</f>
        <v>&gt;</v>
      </c>
      <c r="G558" s="1">
        <v>5</v>
      </c>
      <c r="H558" s="1" t="s">
        <v>16</v>
      </c>
    </row>
    <row r="560" spans="1:24">
      <c r="B560" s="1" t="str">
        <f>IF(E558&gt;5,"Se recomienda usar llaves de corte, para que los pernos trabajen sólo en tracción, reduciendo así el número y/o diámetro.","No se requieren llaves de corte.")</f>
        <v>Se recomienda usar llaves de corte, para que los pernos trabajen sólo en tracción, reduciendo así el número y/o diámetro.</v>
      </c>
      <c r="S560" s="138" t="s">
        <v>750</v>
      </c>
      <c r="T560" s="138"/>
      <c r="U560" s="138"/>
      <c r="V560" s="138"/>
      <c r="W560" s="138"/>
      <c r="X560" s="138"/>
    </row>
    <row r="563" spans="1:16">
      <c r="A563" s="57" t="s">
        <v>507</v>
      </c>
      <c r="B563" s="58" t="s">
        <v>508</v>
      </c>
      <c r="D563" s="58"/>
    </row>
    <row r="564" spans="1:16">
      <c r="B564" s="1" t="s">
        <v>509</v>
      </c>
      <c r="C564" s="1" t="s">
        <v>510</v>
      </c>
    </row>
    <row r="565" spans="1:16">
      <c r="C565" s="1" t="s">
        <v>511</v>
      </c>
    </row>
    <row r="567" spans="1:16">
      <c r="A567" s="59" t="s">
        <v>512</v>
      </c>
      <c r="B567" s="1" t="s">
        <v>513</v>
      </c>
    </row>
    <row r="569" spans="1:16">
      <c r="B569" s="1" t="s">
        <v>138</v>
      </c>
      <c r="C569" s="1" t="s">
        <v>514</v>
      </c>
    </row>
    <row r="571" spans="1:16" ht="15.6">
      <c r="H571" s="71" t="s">
        <v>440</v>
      </c>
      <c r="I571" s="68" t="s">
        <v>7</v>
      </c>
      <c r="J571" s="67">
        <f>E310</f>
        <v>36</v>
      </c>
      <c r="K571" s="1" t="s">
        <v>516</v>
      </c>
    </row>
    <row r="572" spans="1:16" ht="16.2">
      <c r="G572" s="7"/>
      <c r="H572" s="71" t="s">
        <v>439</v>
      </c>
      <c r="I572" s="68" t="s">
        <v>7</v>
      </c>
      <c r="J572" s="1">
        <f>E309</f>
        <v>1.8</v>
      </c>
      <c r="K572" s="7" t="s">
        <v>424</v>
      </c>
      <c r="P572" s="7"/>
    </row>
    <row r="573" spans="1:16" ht="15.6">
      <c r="H573" s="1" t="s">
        <v>517</v>
      </c>
      <c r="I573" s="68"/>
      <c r="J573" s="1">
        <f>1-SIN(J571*PI()/180)</f>
        <v>0.41221474770752686</v>
      </c>
      <c r="O573" s="11"/>
    </row>
    <row r="575" spans="1:16" ht="16.2">
      <c r="H575" s="80" t="s">
        <v>543</v>
      </c>
      <c r="I575" s="68" t="s">
        <v>7</v>
      </c>
      <c r="J575" s="1">
        <f>E89</f>
        <v>1</v>
      </c>
      <c r="K575" s="7" t="s">
        <v>424</v>
      </c>
      <c r="O575" s="11"/>
    </row>
    <row r="576" spans="1:16">
      <c r="H576" s="1" t="s">
        <v>6</v>
      </c>
      <c r="I576" s="68" t="s">
        <v>7</v>
      </c>
      <c r="J576" s="1">
        <f>E72</f>
        <v>8.84</v>
      </c>
      <c r="K576" s="1" t="s">
        <v>84</v>
      </c>
    </row>
    <row r="577" spans="2:11">
      <c r="H577" s="1" t="s">
        <v>308</v>
      </c>
      <c r="I577" s="68" t="s">
        <v>7</v>
      </c>
      <c r="J577" s="1">
        <f>E317/1000</f>
        <v>1.2</v>
      </c>
      <c r="K577" s="1" t="s">
        <v>84</v>
      </c>
    </row>
    <row r="581" spans="2:11">
      <c r="B581" s="1" t="s">
        <v>139</v>
      </c>
      <c r="C581" s="1" t="s">
        <v>518</v>
      </c>
    </row>
    <row r="583" spans="2:11">
      <c r="C583" s="9" t="s">
        <v>519</v>
      </c>
      <c r="F583" s="72" t="str">
        <f>E45</f>
        <v>A630-420H</v>
      </c>
    </row>
    <row r="584" spans="2:11">
      <c r="C584" s="9"/>
    </row>
    <row r="585" spans="2:11" ht="15.6">
      <c r="C585" s="69" t="s">
        <v>525</v>
      </c>
      <c r="D585" s="70"/>
      <c r="E585" s="68" t="s">
        <v>7</v>
      </c>
      <c r="F585" s="74">
        <f>VLOOKUP(F583,VARS!H63:K63,3,FALSE)</f>
        <v>4200</v>
      </c>
      <c r="G585" s="7" t="s">
        <v>15</v>
      </c>
      <c r="H585" s="7"/>
      <c r="I585" s="7" t="s">
        <v>524</v>
      </c>
    </row>
    <row r="586" spans="2:11" ht="15.6">
      <c r="C586" s="69" t="s">
        <v>526</v>
      </c>
      <c r="D586" s="70"/>
      <c r="E586" s="68" t="s">
        <v>7</v>
      </c>
      <c r="F586" s="67">
        <f>VLOOKUP(F583,VARS!H63:K63,4,FALSE)</f>
        <v>2038901.7809565801</v>
      </c>
      <c r="G586" s="7" t="s">
        <v>15</v>
      </c>
      <c r="H586" s="7"/>
      <c r="I586" s="7" t="s">
        <v>529</v>
      </c>
    </row>
    <row r="587" spans="2:11" ht="15.6">
      <c r="C587" s="80" t="s">
        <v>527</v>
      </c>
      <c r="E587" s="68" t="s">
        <v>7</v>
      </c>
      <c r="F587" s="72">
        <f>F585/F586</f>
        <v>2.0599324789590942E-3</v>
      </c>
      <c r="G587" s="7"/>
      <c r="H587" s="7"/>
      <c r="I587" s="7" t="s">
        <v>528</v>
      </c>
    </row>
    <row r="588" spans="2:11">
      <c r="E588" s="68"/>
      <c r="G588" s="7"/>
    </row>
    <row r="590" spans="2:11">
      <c r="B590" s="1" t="s">
        <v>140</v>
      </c>
      <c r="C590" s="1" t="s">
        <v>530</v>
      </c>
    </row>
    <row r="592" spans="2:11" ht="15.6">
      <c r="C592" s="1" t="s">
        <v>531</v>
      </c>
      <c r="E592" s="68" t="s">
        <v>7</v>
      </c>
      <c r="F592" s="1">
        <f>J573*J575*J576</f>
        <v>3.6439783697345374</v>
      </c>
      <c r="G592" s="7" t="s">
        <v>532</v>
      </c>
      <c r="I592" s="1" t="s">
        <v>533</v>
      </c>
    </row>
    <row r="593" spans="2:24" ht="15.6">
      <c r="C593" s="1" t="s">
        <v>534</v>
      </c>
      <c r="E593" s="68" t="s">
        <v>7</v>
      </c>
      <c r="F593" s="1">
        <f>F592*J577</f>
        <v>4.3727740436814448</v>
      </c>
      <c r="G593" s="7" t="s">
        <v>536</v>
      </c>
      <c r="I593" s="1" t="s">
        <v>535</v>
      </c>
    </row>
    <row r="594" spans="2:24" ht="15.6">
      <c r="C594" s="1" t="s">
        <v>537</v>
      </c>
      <c r="E594" s="68" t="s">
        <v>7</v>
      </c>
      <c r="F594" s="1">
        <f>J577/2</f>
        <v>0.6</v>
      </c>
      <c r="G594" s="7" t="s">
        <v>84</v>
      </c>
      <c r="I594" s="1" t="s">
        <v>538</v>
      </c>
    </row>
    <row r="597" spans="2:24">
      <c r="B597" s="1" t="s">
        <v>216</v>
      </c>
      <c r="C597" s="1" t="s">
        <v>539</v>
      </c>
    </row>
    <row r="599" spans="2:24" ht="15.6">
      <c r="C599" s="1" t="s">
        <v>540</v>
      </c>
      <c r="E599" s="68"/>
      <c r="F599" s="1">
        <f>J573*J572*J577</f>
        <v>0.89038385504825801</v>
      </c>
      <c r="G599" s="7" t="s">
        <v>532</v>
      </c>
      <c r="I599" s="1" t="s">
        <v>533</v>
      </c>
    </row>
    <row r="600" spans="2:24" ht="15.6">
      <c r="C600" s="1" t="s">
        <v>541</v>
      </c>
      <c r="E600" s="68"/>
      <c r="F600" s="1">
        <f>0.5*F599*J577</f>
        <v>0.53423031302895474</v>
      </c>
      <c r="G600" s="7" t="s">
        <v>536</v>
      </c>
      <c r="I600" s="1" t="s">
        <v>535</v>
      </c>
    </row>
    <row r="601" spans="2:24" ht="15.6">
      <c r="C601" s="1" t="s">
        <v>542</v>
      </c>
      <c r="E601" s="68" t="s">
        <v>7</v>
      </c>
      <c r="F601" s="1">
        <f>J577/3</f>
        <v>0.39999999999999997</v>
      </c>
      <c r="G601" s="7" t="s">
        <v>84</v>
      </c>
      <c r="I601" s="1" t="s">
        <v>538</v>
      </c>
    </row>
    <row r="604" spans="2:24">
      <c r="B604" s="1" t="s">
        <v>219</v>
      </c>
      <c r="C604" s="1" t="s">
        <v>544</v>
      </c>
    </row>
    <row r="606" spans="2:24" ht="15.6">
      <c r="C606" s="1" t="s">
        <v>545</v>
      </c>
      <c r="F606" s="1">
        <f>F593*F594+F600*F601</f>
        <v>2.8373565514204486</v>
      </c>
      <c r="G606" s="7" t="s">
        <v>546</v>
      </c>
      <c r="I606" s="1" t="s">
        <v>547</v>
      </c>
    </row>
    <row r="607" spans="2:24" ht="15.6">
      <c r="C607" s="1" t="s">
        <v>549</v>
      </c>
      <c r="F607" s="1">
        <f>1.5*F606</f>
        <v>4.2560348271306729</v>
      </c>
      <c r="G607" s="7" t="s">
        <v>546</v>
      </c>
      <c r="I607" s="1" t="s">
        <v>548</v>
      </c>
      <c r="S607" s="138" t="s">
        <v>750</v>
      </c>
      <c r="T607" s="138"/>
      <c r="U607" s="138"/>
      <c r="V607" s="138"/>
      <c r="W607" s="138"/>
      <c r="X607" s="138"/>
    </row>
    <row r="610" spans="1:15">
      <c r="B610" s="1" t="s">
        <v>221</v>
      </c>
      <c r="C610" s="1" t="s">
        <v>550</v>
      </c>
    </row>
    <row r="612" spans="1:15">
      <c r="C612" s="1" t="s">
        <v>585</v>
      </c>
      <c r="F612" s="67">
        <f>E46</f>
        <v>18</v>
      </c>
      <c r="G612" s="11" t="s">
        <v>579</v>
      </c>
      <c r="H612" s="4">
        <f>G46</f>
        <v>200</v>
      </c>
      <c r="I612" s="11" t="s">
        <v>7</v>
      </c>
      <c r="J612" s="63">
        <f>(PI()*(F612/10)^2)/4*(1000/H612)</f>
        <v>12.723450247038663</v>
      </c>
      <c r="K612" s="7" t="s">
        <v>559</v>
      </c>
    </row>
    <row r="613" spans="1:15">
      <c r="F613" s="67"/>
      <c r="G613" s="11"/>
      <c r="H613" s="4"/>
      <c r="I613" s="11"/>
      <c r="J613" s="63"/>
      <c r="K613" s="7"/>
    </row>
    <row r="614" spans="1:15">
      <c r="C614" s="1" t="s">
        <v>551</v>
      </c>
      <c r="E614" s="68" t="s">
        <v>7</v>
      </c>
      <c r="F614" s="67">
        <f>E49</f>
        <v>50</v>
      </c>
      <c r="G614" s="1" t="s">
        <v>8</v>
      </c>
      <c r="I614" s="1" t="s">
        <v>552</v>
      </c>
    </row>
    <row r="615" spans="1:15">
      <c r="C615" s="77" t="s">
        <v>515</v>
      </c>
      <c r="E615" s="68" t="s">
        <v>7</v>
      </c>
      <c r="F615" s="75">
        <v>0.9</v>
      </c>
      <c r="I615" s="1" t="s">
        <v>553</v>
      </c>
    </row>
    <row r="616" spans="1:15" ht="15.6">
      <c r="C616" s="1" t="s">
        <v>555</v>
      </c>
      <c r="E616" s="68" t="s">
        <v>7</v>
      </c>
      <c r="F616" s="63">
        <f>E316/10</f>
        <v>80</v>
      </c>
      <c r="G616" s="1" t="s">
        <v>13</v>
      </c>
      <c r="I616" s="1" t="s">
        <v>554</v>
      </c>
    </row>
    <row r="617" spans="1:15" ht="15.6">
      <c r="C617" s="1" t="s">
        <v>557</v>
      </c>
      <c r="E617" s="68" t="s">
        <v>7</v>
      </c>
      <c r="F617" s="63">
        <f>F616-F614/10</f>
        <v>75</v>
      </c>
      <c r="G617" s="1" t="s">
        <v>13</v>
      </c>
      <c r="I617" s="1" t="s">
        <v>556</v>
      </c>
    </row>
    <row r="619" spans="1:15">
      <c r="F619" s="1">
        <f>F607*1000*100/(F615*0.9*F617*F585)</f>
        <v>1.6680520584482355</v>
      </c>
      <c r="G619" s="7" t="s">
        <v>559</v>
      </c>
      <c r="H619" s="11">
        <f>F619/J612</f>
        <v>0.13110060762303594</v>
      </c>
      <c r="I619" s="1" t="s">
        <v>558</v>
      </c>
      <c r="O619" s="11"/>
    </row>
    <row r="623" spans="1:15">
      <c r="A623" s="59" t="s">
        <v>560</v>
      </c>
      <c r="B623" s="1" t="s">
        <v>561</v>
      </c>
    </row>
    <row r="625" spans="2:9">
      <c r="B625" s="1" t="s">
        <v>138</v>
      </c>
      <c r="C625" s="1" t="s">
        <v>562</v>
      </c>
    </row>
    <row r="627" spans="2:9">
      <c r="C627" s="1" t="s">
        <v>27</v>
      </c>
      <c r="E627" s="68" t="s">
        <v>7</v>
      </c>
      <c r="F627" s="1" t="str">
        <f>E495</f>
        <v>F1554 Gr36</v>
      </c>
      <c r="I627" s="1" t="s">
        <v>563</v>
      </c>
    </row>
    <row r="628" spans="2:9" ht="16.2">
      <c r="C628" s="1" t="s">
        <v>469</v>
      </c>
      <c r="E628" s="68" t="s">
        <v>7</v>
      </c>
      <c r="F628" s="1">
        <f t="shared" ref="F628:F632" si="32">E496</f>
        <v>2.5310504867047201</v>
      </c>
      <c r="G628" s="1" t="s">
        <v>470</v>
      </c>
      <c r="I628" s="1" t="s">
        <v>404</v>
      </c>
    </row>
    <row r="629" spans="2:9" ht="16.2">
      <c r="C629" s="1" t="s">
        <v>471</v>
      </c>
      <c r="E629" s="68" t="s">
        <v>7</v>
      </c>
      <c r="F629" s="1">
        <f t="shared" si="32"/>
        <v>4.0778035619131598</v>
      </c>
      <c r="G629" s="1" t="s">
        <v>470</v>
      </c>
      <c r="I629" s="1" t="s">
        <v>405</v>
      </c>
    </row>
    <row r="630" spans="2:9" ht="15.6">
      <c r="C630" s="1" t="s">
        <v>472</v>
      </c>
      <c r="E630" s="68" t="s">
        <v>7</v>
      </c>
      <c r="F630" s="1">
        <f t="shared" si="32"/>
        <v>1.5</v>
      </c>
      <c r="G630" s="1" t="s">
        <v>390</v>
      </c>
      <c r="I630" s="1" t="s">
        <v>406</v>
      </c>
    </row>
    <row r="631" spans="2:9" ht="15.6">
      <c r="C631" s="1" t="s">
        <v>473</v>
      </c>
      <c r="E631" s="68" t="s">
        <v>7</v>
      </c>
      <c r="F631" s="1">
        <f t="shared" si="32"/>
        <v>36</v>
      </c>
      <c r="G631" s="1" t="s">
        <v>391</v>
      </c>
      <c r="I631" s="1" t="s">
        <v>407</v>
      </c>
    </row>
    <row r="632" spans="2:9" ht="15.6">
      <c r="C632" s="1" t="s">
        <v>474</v>
      </c>
      <c r="E632" s="68" t="s">
        <v>7</v>
      </c>
      <c r="F632" s="1">
        <f t="shared" si="32"/>
        <v>1.0691886997717264</v>
      </c>
      <c r="G632" s="1" t="s">
        <v>84</v>
      </c>
      <c r="I632" s="1" t="s">
        <v>408</v>
      </c>
    </row>
    <row r="635" spans="2:9">
      <c r="B635" s="1" t="s">
        <v>139</v>
      </c>
      <c r="C635" s="1" t="s">
        <v>564</v>
      </c>
    </row>
    <row r="637" spans="2:9" ht="16.2">
      <c r="C637" s="1" t="s">
        <v>565</v>
      </c>
      <c r="E637" s="68" t="s">
        <v>7</v>
      </c>
      <c r="F637" s="1">
        <f>F629</f>
        <v>4.0778035619131598</v>
      </c>
      <c r="G637" s="1" t="s">
        <v>470</v>
      </c>
      <c r="I637" s="1" t="s">
        <v>567</v>
      </c>
    </row>
    <row r="638" spans="2:9" ht="16.2">
      <c r="C638" s="1" t="s">
        <v>569</v>
      </c>
      <c r="E638" s="68" t="s">
        <v>7</v>
      </c>
      <c r="F638" s="1">
        <f>H520</f>
        <v>9.0661031813521156</v>
      </c>
      <c r="G638" s="1" t="s">
        <v>480</v>
      </c>
      <c r="I638" s="1" t="s">
        <v>63</v>
      </c>
    </row>
    <row r="639" spans="2:9" ht="15.6">
      <c r="C639" s="1" t="s">
        <v>566</v>
      </c>
      <c r="F639" s="1">
        <f>F638*F629/F632</f>
        <v>34.577421042219207</v>
      </c>
      <c r="G639" s="1" t="s">
        <v>536</v>
      </c>
      <c r="I639" s="1" t="s">
        <v>568</v>
      </c>
    </row>
    <row r="642" spans="1:24">
      <c r="B642" s="1" t="s">
        <v>140</v>
      </c>
      <c r="C642" s="1" t="s">
        <v>570</v>
      </c>
    </row>
    <row r="645" spans="1:24">
      <c r="E645" s="11" t="s">
        <v>7</v>
      </c>
      <c r="F645" s="1">
        <f>(F639*1000/2)/(F615*F585)</f>
        <v>4.5737329420924873</v>
      </c>
      <c r="G645" s="7" t="s">
        <v>559</v>
      </c>
      <c r="O645" s="11"/>
    </row>
    <row r="648" spans="1:24">
      <c r="A648" s="59" t="s">
        <v>571</v>
      </c>
      <c r="B648" s="1" t="s">
        <v>572</v>
      </c>
      <c r="M648" s="65"/>
      <c r="N648" s="9"/>
    </row>
    <row r="650" spans="1:24">
      <c r="C650" s="1" t="s">
        <v>585</v>
      </c>
      <c r="F650" s="67">
        <f>E46</f>
        <v>18</v>
      </c>
      <c r="G650" s="11" t="s">
        <v>579</v>
      </c>
      <c r="H650" s="4">
        <f>G46</f>
        <v>200</v>
      </c>
      <c r="I650" s="11" t="s">
        <v>7</v>
      </c>
      <c r="J650" s="63">
        <f>(PI()*(F650/10)^2)/4*(1000/H650)</f>
        <v>12.723450247038663</v>
      </c>
      <c r="K650" s="7" t="s">
        <v>559</v>
      </c>
    </row>
    <row r="652" spans="1:24" ht="15.6">
      <c r="C652" s="1" t="s">
        <v>578</v>
      </c>
      <c r="F652" s="1">
        <f>MAX(F645,F619)</f>
        <v>4.5737329420924873</v>
      </c>
      <c r="G652" s="7" t="s">
        <v>559</v>
      </c>
      <c r="H652" s="11">
        <f>F652/J650</f>
        <v>0.35947269437839841</v>
      </c>
      <c r="I652" s="1" t="s">
        <v>573</v>
      </c>
      <c r="O652" s="11"/>
    </row>
    <row r="654" spans="1:24" ht="15.6">
      <c r="C654" s="1" t="s">
        <v>576</v>
      </c>
      <c r="E654" s="68"/>
      <c r="F654" s="1">
        <f>0.0018*F616*100/2</f>
        <v>7.1999999999999993</v>
      </c>
      <c r="G654" s="7" t="s">
        <v>559</v>
      </c>
      <c r="H654" s="11">
        <f>F654/J650</f>
        <v>0.56588424210451671</v>
      </c>
      <c r="I654" s="1" t="s">
        <v>574</v>
      </c>
    </row>
    <row r="656" spans="1:24" ht="15.6">
      <c r="C656" s="1" t="s">
        <v>577</v>
      </c>
      <c r="E656" s="68"/>
      <c r="F656" s="1">
        <f>0.0025*F616*100/2</f>
        <v>10</v>
      </c>
      <c r="G656" s="7" t="s">
        <v>559</v>
      </c>
      <c r="H656" s="11">
        <f>F656/J650</f>
        <v>0.7859503362562732</v>
      </c>
      <c r="I656" s="1" t="s">
        <v>575</v>
      </c>
      <c r="S656" s="138" t="s">
        <v>750</v>
      </c>
      <c r="T656" s="138"/>
      <c r="U656" s="138"/>
      <c r="V656" s="138"/>
      <c r="W656" s="138"/>
      <c r="X656" s="138"/>
    </row>
    <row r="659" spans="1:9">
      <c r="A659" s="59" t="s">
        <v>586</v>
      </c>
      <c r="B659" s="1" t="s">
        <v>587</v>
      </c>
    </row>
    <row r="661" spans="1:9">
      <c r="B661" s="1" t="s">
        <v>83</v>
      </c>
      <c r="D661" s="11" t="s">
        <v>7</v>
      </c>
      <c r="E661" s="1">
        <f>E71</f>
        <v>12</v>
      </c>
      <c r="F661" s="7" t="s">
        <v>84</v>
      </c>
      <c r="H661" s="1" t="s">
        <v>306</v>
      </c>
      <c r="I661" s="7"/>
    </row>
    <row r="662" spans="1:9">
      <c r="B662" s="1" t="s">
        <v>317</v>
      </c>
      <c r="D662" s="11" t="s">
        <v>7</v>
      </c>
      <c r="E662" s="1">
        <f>E322</f>
        <v>1.8</v>
      </c>
      <c r="F662" s="1" t="s">
        <v>84</v>
      </c>
      <c r="H662" s="1" t="s">
        <v>320</v>
      </c>
    </row>
    <row r="663" spans="1:9" ht="15.6">
      <c r="B663" s="1" t="s">
        <v>588</v>
      </c>
      <c r="D663" s="11" t="s">
        <v>7</v>
      </c>
      <c r="E663" s="67">
        <f>E50</f>
        <v>50</v>
      </c>
      <c r="F663" s="1" t="s">
        <v>8</v>
      </c>
      <c r="H663" s="1" t="s">
        <v>589</v>
      </c>
    </row>
    <row r="664" spans="1:9" ht="15.6">
      <c r="B664" s="1" t="s">
        <v>595</v>
      </c>
      <c r="D664" s="11" t="s">
        <v>7</v>
      </c>
      <c r="E664" s="67">
        <f>E48</f>
        <v>16</v>
      </c>
      <c r="F664" s="1" t="s">
        <v>8</v>
      </c>
      <c r="H664" s="1" t="s">
        <v>594</v>
      </c>
    </row>
    <row r="665" spans="1:9" ht="15.6">
      <c r="B665" s="1" t="s">
        <v>591</v>
      </c>
      <c r="D665" s="11" t="s">
        <v>7</v>
      </c>
      <c r="E665" s="63">
        <f>E662*100-E663/10-2*E664/10</f>
        <v>171.8</v>
      </c>
      <c r="F665" s="1" t="s">
        <v>13</v>
      </c>
      <c r="H665" s="1" t="s">
        <v>590</v>
      </c>
    </row>
    <row r="667" spans="1:9">
      <c r="B667" s="1" t="s">
        <v>138</v>
      </c>
      <c r="C667" s="1" t="s">
        <v>596</v>
      </c>
    </row>
    <row r="669" spans="1:9">
      <c r="F669" s="1">
        <f>1.6*(F593+F600)*E661/2</f>
        <v>47.107241824419837</v>
      </c>
      <c r="G669" s="1" t="s">
        <v>16</v>
      </c>
    </row>
    <row r="671" spans="1:9">
      <c r="I671" s="117" t="s">
        <v>597</v>
      </c>
    </row>
    <row r="672" spans="1:9">
      <c r="B672" s="1" t="s">
        <v>139</v>
      </c>
      <c r="C672" s="1" t="s">
        <v>598</v>
      </c>
    </row>
    <row r="674" spans="1:22">
      <c r="C674" s="1" t="s">
        <v>585</v>
      </c>
      <c r="F674" s="67">
        <f>E47</f>
        <v>18</v>
      </c>
      <c r="G674" s="11" t="s">
        <v>579</v>
      </c>
      <c r="H674" s="4">
        <f>G47</f>
        <v>200</v>
      </c>
      <c r="I674" s="11" t="s">
        <v>7</v>
      </c>
      <c r="J674" s="63">
        <f>(PI()*(F674/10)^2)/4*(1000/H674)</f>
        <v>12.723450247038663</v>
      </c>
      <c r="K674" s="7" t="s">
        <v>559</v>
      </c>
    </row>
    <row r="676" spans="1:22" ht="15.6">
      <c r="C676" s="1" t="s">
        <v>599</v>
      </c>
      <c r="E676" s="11" t="s">
        <v>7</v>
      </c>
      <c r="F676" s="1">
        <f>(PI()*(F674/10)^2)/4</f>
        <v>2.5446900494077327</v>
      </c>
      <c r="G676" s="7" t="s">
        <v>11</v>
      </c>
      <c r="I676" s="1" t="s">
        <v>600</v>
      </c>
    </row>
    <row r="677" spans="1:22">
      <c r="C677" s="1" t="s">
        <v>19</v>
      </c>
      <c r="E677" s="11" t="s">
        <v>7</v>
      </c>
      <c r="F677" s="1">
        <f>INT(E665*10/H674+1)</f>
        <v>9</v>
      </c>
      <c r="G677" s="1" t="s">
        <v>601</v>
      </c>
      <c r="T677" s="11"/>
      <c r="U677" s="67"/>
    </row>
    <row r="678" spans="1:22" ht="15.6">
      <c r="C678" s="1" t="s">
        <v>602</v>
      </c>
      <c r="E678" s="11" t="s">
        <v>7</v>
      </c>
      <c r="F678" s="63">
        <f>F615*F585*F676*2*F677/1000</f>
        <v>173.14071096170213</v>
      </c>
      <c r="G678" s="1" t="s">
        <v>16</v>
      </c>
      <c r="H678" s="11">
        <f>F669/F678</f>
        <v>0.27207490117584032</v>
      </c>
      <c r="I678" s="108" t="str">
        <f>IF(H678&lt;1,"","Armadura insuficiente")</f>
        <v/>
      </c>
      <c r="T678" s="11"/>
      <c r="U678" s="63"/>
      <c r="V678" s="7"/>
    </row>
    <row r="680" spans="1:22" ht="15.6">
      <c r="C680" s="1" t="s">
        <v>603</v>
      </c>
      <c r="E680" s="68"/>
      <c r="F680" s="1">
        <f>0.0025*F616*100/2</f>
        <v>10</v>
      </c>
      <c r="G680" s="7" t="s">
        <v>559</v>
      </c>
      <c r="H680" s="11">
        <f>F680/J674</f>
        <v>0.7859503362562732</v>
      </c>
      <c r="I680" s="1" t="s">
        <v>575</v>
      </c>
    </row>
    <row r="682" spans="1:22" ht="15.6">
      <c r="C682" s="1" t="s">
        <v>606</v>
      </c>
      <c r="E682" s="11" t="s">
        <v>7</v>
      </c>
      <c r="F682" s="1">
        <f>F669/F678</f>
        <v>0.27207490117584032</v>
      </c>
      <c r="G682" s="68"/>
      <c r="H682" s="105">
        <f>F682</f>
        <v>0.27207490117584032</v>
      </c>
      <c r="I682" s="1" t="s">
        <v>501</v>
      </c>
      <c r="P682" s="108" t="str">
        <f>IF(H682&gt;=1,"Falla perno en corte","")</f>
        <v/>
      </c>
    </row>
    <row r="685" spans="1:22">
      <c r="A685" s="59" t="s">
        <v>607</v>
      </c>
      <c r="B685" s="1" t="s">
        <v>608</v>
      </c>
    </row>
    <row r="687" spans="1:22" ht="15.6">
      <c r="B687" s="1" t="s">
        <v>138</v>
      </c>
      <c r="C687" s="1" t="s">
        <v>609</v>
      </c>
      <c r="H687" s="80" t="s">
        <v>610</v>
      </c>
      <c r="I687" s="1">
        <v>0.75</v>
      </c>
    </row>
    <row r="689" spans="3:17">
      <c r="C689" s="1" t="s">
        <v>611</v>
      </c>
    </row>
    <row r="690" spans="3:17">
      <c r="C690" s="1" t="s">
        <v>612</v>
      </c>
    </row>
    <row r="691" spans="3:17">
      <c r="C691" s="1" t="s">
        <v>613</v>
      </c>
    </row>
    <row r="694" spans="3:17" ht="15.6">
      <c r="C694" s="1" t="s">
        <v>615</v>
      </c>
      <c r="E694" s="11"/>
      <c r="F694" s="1">
        <f>2*COS(60*PI()/180)*E661/2</f>
        <v>6.0000000000000018</v>
      </c>
      <c r="G694" s="1" t="s">
        <v>84</v>
      </c>
    </row>
    <row r="696" spans="3:17" ht="19.2">
      <c r="C696" s="1" t="s">
        <v>614</v>
      </c>
      <c r="E696" s="11" t="s">
        <v>7</v>
      </c>
      <c r="F696" s="1">
        <f>1.5*P436/2</f>
        <v>191.71372286449241</v>
      </c>
      <c r="G696" s="1" t="s">
        <v>16</v>
      </c>
      <c r="H696" s="1" t="s">
        <v>616</v>
      </c>
    </row>
    <row r="698" spans="3:17" ht="15.6">
      <c r="C698" s="1" t="s">
        <v>618</v>
      </c>
      <c r="E698" s="68" t="s">
        <v>7</v>
      </c>
      <c r="F698" s="63">
        <f>E103*VARS!Q4</f>
        <v>35</v>
      </c>
      <c r="G698" s="7" t="s">
        <v>620</v>
      </c>
    </row>
    <row r="700" spans="3:17" ht="15.6">
      <c r="C700" s="1" t="s">
        <v>555</v>
      </c>
      <c r="E700" s="68" t="s">
        <v>7</v>
      </c>
      <c r="F700" s="67">
        <f>$E$316</f>
        <v>800</v>
      </c>
      <c r="G700" s="1" t="s">
        <v>8</v>
      </c>
    </row>
    <row r="702" spans="3:17" ht="15.6">
      <c r="I702" s="1" t="s">
        <v>628</v>
      </c>
      <c r="N702" s="1" t="s">
        <v>617</v>
      </c>
      <c r="O702" s="11" t="s">
        <v>7</v>
      </c>
      <c r="P702" s="1">
        <f>(SQRT(F698)*F700*F694/6)*1000*VARS!Q5</f>
        <v>482.61779776781009</v>
      </c>
      <c r="Q702" s="1" t="s">
        <v>16</v>
      </c>
    </row>
    <row r="704" spans="3:17" ht="15.6">
      <c r="C704" s="1" t="s">
        <v>599</v>
      </c>
      <c r="E704" s="11" t="s">
        <v>7</v>
      </c>
      <c r="F704" s="1">
        <f>F676</f>
        <v>2.5446900494077327</v>
      </c>
      <c r="G704" s="7" t="s">
        <v>11</v>
      </c>
      <c r="I704" s="1" t="s">
        <v>600</v>
      </c>
    </row>
    <row r="705" spans="1:24" ht="15.6">
      <c r="C705" s="1" t="s">
        <v>622</v>
      </c>
      <c r="E705" s="11" t="s">
        <v>7</v>
      </c>
      <c r="F705" s="1">
        <f>F704*2</f>
        <v>5.0893800988154654</v>
      </c>
      <c r="G705" s="7" t="s">
        <v>11</v>
      </c>
      <c r="I705" s="1" t="s">
        <v>623</v>
      </c>
    </row>
    <row r="706" spans="1:24" ht="15.6">
      <c r="C706" s="1" t="s">
        <v>624</v>
      </c>
      <c r="E706" s="11" t="s">
        <v>7</v>
      </c>
      <c r="F706" s="63">
        <f>H674/10</f>
        <v>20</v>
      </c>
      <c r="G706" s="7" t="s">
        <v>13</v>
      </c>
      <c r="I706" s="1" t="s">
        <v>625</v>
      </c>
    </row>
    <row r="708" spans="1:24" ht="15.6">
      <c r="I708" s="1" t="s">
        <v>627</v>
      </c>
      <c r="N708" s="1" t="s">
        <v>626</v>
      </c>
      <c r="O708" s="11" t="s">
        <v>7</v>
      </c>
      <c r="P708" s="63">
        <f>F705*F585*(F694*100)/F706/1000</f>
        <v>641.26189245074897</v>
      </c>
      <c r="Q708" s="1" t="s">
        <v>16</v>
      </c>
    </row>
    <row r="711" spans="1:24">
      <c r="C711" s="1" t="s">
        <v>629</v>
      </c>
      <c r="T711" s="1" t="s">
        <v>630</v>
      </c>
      <c r="U711" s="1">
        <f>F696</f>
        <v>191.71372286449241</v>
      </c>
    </row>
    <row r="712" spans="1:24">
      <c r="T712" s="1" t="s">
        <v>631</v>
      </c>
      <c r="U712" s="1">
        <f>I687*(P702+(1-F682)*P708)</f>
        <v>712.0563181516419</v>
      </c>
    </row>
    <row r="713" spans="1:24">
      <c r="F713" s="1">
        <f>U711</f>
        <v>191.71372286449241</v>
      </c>
      <c r="G713" s="11" t="str">
        <f>IF(U711&lt;U712,"&lt;","&gt;")</f>
        <v>&lt;</v>
      </c>
      <c r="H713" s="63">
        <f>U712</f>
        <v>712.0563181516419</v>
      </c>
      <c r="I713" s="105">
        <f>F713/H713</f>
        <v>0.26923955026779833</v>
      </c>
      <c r="J713" s="108" t="str">
        <f>IF(F713&gt;H713,"Falla","")</f>
        <v/>
      </c>
      <c r="S713" s="138" t="s">
        <v>750</v>
      </c>
      <c r="T713" s="138"/>
      <c r="U713" s="138"/>
      <c r="V713" s="138"/>
      <c r="W713" s="138"/>
      <c r="X713" s="138"/>
    </row>
    <row r="717" spans="1:24">
      <c r="A717" s="57" t="s">
        <v>632</v>
      </c>
      <c r="B717" s="58" t="s">
        <v>633</v>
      </c>
      <c r="D717" s="58"/>
    </row>
    <row r="732" spans="1:10">
      <c r="A732" s="1" t="s">
        <v>634</v>
      </c>
    </row>
    <row r="734" spans="1:10" ht="16.2">
      <c r="B734" s="80" t="s">
        <v>635</v>
      </c>
      <c r="D734" s="68" t="s">
        <v>7</v>
      </c>
      <c r="E734" s="1">
        <f>G468</f>
        <v>17.08916026629705</v>
      </c>
      <c r="F734" s="1" t="s">
        <v>460</v>
      </c>
      <c r="I734" s="1" t="s">
        <v>636</v>
      </c>
    </row>
    <row r="736" spans="1:10">
      <c r="B736" s="1" t="s">
        <v>585</v>
      </c>
      <c r="E736" s="67">
        <f>E48</f>
        <v>16</v>
      </c>
      <c r="F736" s="11" t="s">
        <v>579</v>
      </c>
      <c r="G736" s="4">
        <f>G48</f>
        <v>200</v>
      </c>
      <c r="H736" s="11" t="s">
        <v>7</v>
      </c>
      <c r="I736" s="63">
        <f>(PI()*(E736/10)^2)/4*(1000/G736)</f>
        <v>10.053096491487338</v>
      </c>
      <c r="J736" s="7" t="s">
        <v>559</v>
      </c>
    </row>
    <row r="738" spans="1:9" ht="15.6">
      <c r="B738" s="1" t="s">
        <v>637</v>
      </c>
      <c r="E738" s="1">
        <f>0.5*(E318-E316)/1000</f>
        <v>0.55000000000000004</v>
      </c>
      <c r="F738" s="1" t="s">
        <v>84</v>
      </c>
    </row>
    <row r="739" spans="1:9">
      <c r="A739" s="59"/>
    </row>
    <row r="740" spans="1:9">
      <c r="E740" s="1">
        <f>0.5*E734*(E738^2)</f>
        <v>2.5847354902774291</v>
      </c>
      <c r="F740" s="1" t="s">
        <v>638</v>
      </c>
    </row>
    <row r="742" spans="1:9" ht="15.6">
      <c r="B742" s="1" t="s">
        <v>639</v>
      </c>
      <c r="E742" s="1">
        <f>1.5*E740</f>
        <v>3.8771032354161434</v>
      </c>
      <c r="F742" s="1" t="s">
        <v>638</v>
      </c>
    </row>
    <row r="744" spans="1:9" ht="15.6">
      <c r="B744" s="1" t="s">
        <v>640</v>
      </c>
      <c r="D744" s="68" t="s">
        <v>7</v>
      </c>
      <c r="E744" s="67">
        <f>E319</f>
        <v>600</v>
      </c>
      <c r="F744" s="1" t="s">
        <v>8</v>
      </c>
      <c r="I744" s="1" t="s">
        <v>641</v>
      </c>
    </row>
    <row r="745" spans="1:9" ht="15.6">
      <c r="B745" s="1" t="s">
        <v>588</v>
      </c>
      <c r="D745" s="68" t="s">
        <v>7</v>
      </c>
      <c r="E745" s="67">
        <f>E663</f>
        <v>50</v>
      </c>
      <c r="F745" s="1" t="s">
        <v>8</v>
      </c>
      <c r="I745" s="1" t="s">
        <v>642</v>
      </c>
    </row>
    <row r="746" spans="1:9" ht="15.6">
      <c r="B746" s="1" t="s">
        <v>643</v>
      </c>
      <c r="D746" s="68"/>
      <c r="E746" s="63">
        <f>(E744-E745)/10</f>
        <v>55</v>
      </c>
      <c r="F746" s="1" t="s">
        <v>13</v>
      </c>
    </row>
    <row r="748" spans="1:9">
      <c r="B748" s="77" t="s">
        <v>515</v>
      </c>
      <c r="D748" s="68" t="s">
        <v>7</v>
      </c>
      <c r="E748" s="1">
        <v>0.9</v>
      </c>
    </row>
    <row r="750" spans="1:9" ht="16.2">
      <c r="D750" s="68"/>
      <c r="E750" s="1">
        <f>E742*100000/(E748*0.9*E746*F585)</f>
        <v>2.0720983568040952</v>
      </c>
      <c r="F750" s="1" t="s">
        <v>645</v>
      </c>
      <c r="G750" s="11">
        <f>E750/I736</f>
        <v>0.20611543503622851</v>
      </c>
      <c r="I750" s="1" t="s">
        <v>644</v>
      </c>
    </row>
    <row r="753" spans="1:24" ht="16.2">
      <c r="B753" s="1" t="s">
        <v>646</v>
      </c>
      <c r="E753" s="1">
        <f>0.0018*E744/10/2*100</f>
        <v>5.4</v>
      </c>
      <c r="F753" s="1" t="s">
        <v>645</v>
      </c>
      <c r="G753" s="11">
        <f>E753/I736</f>
        <v>0.53714793293514684</v>
      </c>
      <c r="I753" s="1" t="s">
        <v>647</v>
      </c>
    </row>
    <row r="755" spans="1:24" ht="15.6">
      <c r="B755" s="1" t="s">
        <v>648</v>
      </c>
      <c r="E755" s="1">
        <f>E734*E738/2</f>
        <v>4.6995190732316887</v>
      </c>
      <c r="F755" s="1" t="s">
        <v>536</v>
      </c>
      <c r="I755" s="1" t="s">
        <v>649</v>
      </c>
    </row>
    <row r="757" spans="1:24">
      <c r="E757" s="1">
        <f>(SQRT(F698)/6)*(E746*10)*1000*VARS!Q5</f>
        <v>55.29995599422822</v>
      </c>
      <c r="F757" s="1" t="s">
        <v>536</v>
      </c>
      <c r="I757" s="1" t="s">
        <v>650</v>
      </c>
    </row>
    <row r="759" spans="1:24">
      <c r="B759" s="1" t="s">
        <v>629</v>
      </c>
    </row>
    <row r="761" spans="1:24">
      <c r="E761" s="1">
        <f>E755</f>
        <v>4.6995190732316887</v>
      </c>
      <c r="F761" s="11" t="str">
        <f>IF(E761&lt;G761,"&lt;","&gt;")</f>
        <v>&lt;</v>
      </c>
      <c r="G761" s="63">
        <f>I687*E757</f>
        <v>41.474966995671167</v>
      </c>
      <c r="H761" s="105">
        <f>E761/G761</f>
        <v>0.11330977246400672</v>
      </c>
      <c r="I761" s="108" t="str">
        <f>IF(E761&gt;G761,"El hormigón no resiste el corte por sí sólo","")</f>
        <v/>
      </c>
      <c r="S761" s="138" t="s">
        <v>750</v>
      </c>
      <c r="T761" s="138"/>
      <c r="U761" s="138"/>
      <c r="V761" s="138"/>
      <c r="W761" s="138"/>
      <c r="X761" s="138"/>
    </row>
    <row r="765" spans="1:24">
      <c r="A765" s="57" t="s">
        <v>651</v>
      </c>
      <c r="B765" s="58" t="s">
        <v>652</v>
      </c>
      <c r="D765" s="58"/>
    </row>
    <row r="766" spans="1:24">
      <c r="A766" s="57"/>
      <c r="B766" s="58"/>
      <c r="D766" s="58"/>
    </row>
    <row r="767" spans="1:24" ht="30" customHeight="1">
      <c r="B767" s="139" t="s">
        <v>761</v>
      </c>
      <c r="C767" s="139"/>
      <c r="D767" s="139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</row>
    <row r="785" spans="1:29">
      <c r="A785" s="59" t="s">
        <v>654</v>
      </c>
      <c r="B785" s="1" t="s">
        <v>655</v>
      </c>
    </row>
    <row r="787" spans="1:29">
      <c r="B787" s="1" t="s">
        <v>656</v>
      </c>
    </row>
    <row r="788" spans="1:29">
      <c r="B788" s="1" t="s">
        <v>657</v>
      </c>
    </row>
    <row r="790" spans="1:29" ht="15.6">
      <c r="C790" s="1" t="s">
        <v>665</v>
      </c>
      <c r="E790" s="68" t="s">
        <v>7</v>
      </c>
      <c r="F790" s="67">
        <f>F650</f>
        <v>18</v>
      </c>
      <c r="G790" s="1" t="s">
        <v>24</v>
      </c>
      <c r="I790" s="1" t="s">
        <v>667</v>
      </c>
    </row>
    <row r="791" spans="1:29" ht="15.6">
      <c r="C791" s="1" t="s">
        <v>664</v>
      </c>
      <c r="E791" s="68" t="s">
        <v>7</v>
      </c>
      <c r="F791" s="67">
        <f>VLOOKUP(F790,VARS!M64:U73,9,FALSE)</f>
        <v>657.26706900619934</v>
      </c>
      <c r="G791" s="1" t="s">
        <v>24</v>
      </c>
      <c r="I791" s="1" t="s">
        <v>666</v>
      </c>
    </row>
    <row r="792" spans="1:29">
      <c r="C792" s="1" t="s">
        <v>668</v>
      </c>
      <c r="E792" s="68" t="s">
        <v>7</v>
      </c>
      <c r="F792" s="67">
        <f>(E316/2)-E311</f>
        <v>280</v>
      </c>
      <c r="G792" s="1" t="s">
        <v>24</v>
      </c>
      <c r="I792" s="1" t="s">
        <v>669</v>
      </c>
    </row>
    <row r="793" spans="1:29" ht="16.8">
      <c r="C793" s="1" t="s">
        <v>663</v>
      </c>
      <c r="E793" s="68"/>
      <c r="F793" s="67">
        <f>F791+F792*SIN(35*PI()/180)</f>
        <v>817.86847118449225</v>
      </c>
      <c r="G793" s="1" t="s">
        <v>24</v>
      </c>
      <c r="I793" s="1" t="s">
        <v>671</v>
      </c>
      <c r="AC793" s="82" t="s">
        <v>670</v>
      </c>
    </row>
    <row r="796" spans="1:29" ht="15.6">
      <c r="A796" s="59" t="s">
        <v>672</v>
      </c>
      <c r="B796" s="1" t="s">
        <v>684</v>
      </c>
      <c r="H796" s="80" t="s">
        <v>674</v>
      </c>
      <c r="I796" s="1">
        <v>0.75</v>
      </c>
    </row>
    <row r="798" spans="1:29" ht="15.6">
      <c r="B798" s="1" t="s">
        <v>676</v>
      </c>
      <c r="E798" s="68" t="s">
        <v>7</v>
      </c>
      <c r="F798" s="1">
        <f>P507</f>
        <v>6.8054179627611147</v>
      </c>
      <c r="G798" s="1" t="s">
        <v>16</v>
      </c>
      <c r="I798" s="1" t="s">
        <v>673</v>
      </c>
    </row>
    <row r="799" spans="1:29" ht="19.2">
      <c r="B799" s="1" t="s">
        <v>678</v>
      </c>
      <c r="E799" s="68" t="s">
        <v>7</v>
      </c>
      <c r="F799" s="1">
        <f>F798*1.5</f>
        <v>10.208126944141672</v>
      </c>
      <c r="G799" s="1" t="s">
        <v>16</v>
      </c>
      <c r="I799" s="1" t="s">
        <v>675</v>
      </c>
    </row>
    <row r="800" spans="1:29" ht="15.6">
      <c r="B800" s="1" t="s">
        <v>472</v>
      </c>
      <c r="E800" s="68" t="s">
        <v>7</v>
      </c>
      <c r="F800" s="128">
        <f>E498</f>
        <v>1.5</v>
      </c>
      <c r="G800" s="1" t="s">
        <v>390</v>
      </c>
      <c r="I800" s="1" t="s">
        <v>679</v>
      </c>
    </row>
    <row r="801" spans="2:9" ht="16.2">
      <c r="B801" s="1" t="s">
        <v>680</v>
      </c>
      <c r="E801" s="68" t="s">
        <v>7</v>
      </c>
      <c r="F801" s="1">
        <f>H516</f>
        <v>4.0778035619131598</v>
      </c>
      <c r="G801" s="1" t="s">
        <v>470</v>
      </c>
      <c r="I801" s="1" t="s">
        <v>681</v>
      </c>
    </row>
    <row r="802" spans="2:9" ht="15.6">
      <c r="B802" s="1" t="s">
        <v>479</v>
      </c>
      <c r="E802" s="68" t="s">
        <v>7</v>
      </c>
      <c r="F802" s="63">
        <f>H518</f>
        <v>6</v>
      </c>
      <c r="I802" s="1" t="s">
        <v>419</v>
      </c>
    </row>
    <row r="803" spans="2:9" ht="15.6">
      <c r="B803" s="80" t="s">
        <v>478</v>
      </c>
      <c r="E803" s="68" t="s">
        <v>7</v>
      </c>
      <c r="F803" s="1">
        <v>0.75</v>
      </c>
      <c r="I803" s="1" t="s">
        <v>682</v>
      </c>
    </row>
    <row r="804" spans="2:9" ht="16.2">
      <c r="B804" s="1" t="s">
        <v>569</v>
      </c>
      <c r="E804" s="68" t="s">
        <v>7</v>
      </c>
      <c r="F804" s="1">
        <f>H520</f>
        <v>9.0661031813521156</v>
      </c>
      <c r="G804" s="1" t="s">
        <v>480</v>
      </c>
      <c r="I804" s="1" t="s">
        <v>421</v>
      </c>
    </row>
    <row r="805" spans="2:9" ht="15.6">
      <c r="B805" s="80" t="s">
        <v>683</v>
      </c>
      <c r="E805" s="68" t="s">
        <v>7</v>
      </c>
      <c r="F805" s="1">
        <f>H522</f>
        <v>27.727340884192415</v>
      </c>
      <c r="G805" s="1" t="s">
        <v>16</v>
      </c>
      <c r="H805" s="105">
        <f>F799/F805</f>
        <v>0.36816105037902891</v>
      </c>
      <c r="I805" s="1" t="s">
        <v>422</v>
      </c>
    </row>
    <row r="807" spans="2:9">
      <c r="B807" s="1" t="s">
        <v>685</v>
      </c>
      <c r="E807" s="68" t="s">
        <v>7</v>
      </c>
      <c r="F807" s="67">
        <f>E316-F792</f>
        <v>520</v>
      </c>
      <c r="G807" s="1" t="s">
        <v>8</v>
      </c>
      <c r="I807" s="1" t="s">
        <v>686</v>
      </c>
    </row>
    <row r="808" spans="2:9">
      <c r="B808" s="1" t="s">
        <v>668</v>
      </c>
      <c r="E808" s="68" t="s">
        <v>7</v>
      </c>
      <c r="F808" s="67">
        <f>F792</f>
        <v>280</v>
      </c>
      <c r="G808" s="1" t="s">
        <v>8</v>
      </c>
      <c r="I808" s="1" t="s">
        <v>687</v>
      </c>
    </row>
    <row r="809" spans="2:9">
      <c r="B809" s="1" t="s">
        <v>688</v>
      </c>
      <c r="E809" s="68" t="s">
        <v>7</v>
      </c>
      <c r="F809" s="67">
        <f>MIN(F808,F807)</f>
        <v>280</v>
      </c>
      <c r="G809" s="1" t="s">
        <v>8</v>
      </c>
      <c r="I809" s="1" t="s">
        <v>689</v>
      </c>
    </row>
    <row r="811" spans="2:9" ht="15.6">
      <c r="B811" s="1" t="s">
        <v>690</v>
      </c>
      <c r="E811" s="68" t="s">
        <v>7</v>
      </c>
      <c r="F811" s="67">
        <f>E51</f>
        <v>100</v>
      </c>
      <c r="G811" s="1" t="s">
        <v>8</v>
      </c>
      <c r="I811" s="1" t="s">
        <v>691</v>
      </c>
    </row>
    <row r="812" spans="2:9" ht="15.6">
      <c r="B812" s="1" t="s">
        <v>693</v>
      </c>
      <c r="E812" s="68" t="s">
        <v>7</v>
      </c>
      <c r="F812" s="67">
        <f>E52</f>
        <v>100</v>
      </c>
      <c r="G812" s="1" t="s">
        <v>8</v>
      </c>
      <c r="I812" s="1" t="s">
        <v>692</v>
      </c>
    </row>
    <row r="813" spans="2:9" ht="16.2">
      <c r="B813" s="1" t="s">
        <v>694</v>
      </c>
      <c r="E813" s="68" t="s">
        <v>7</v>
      </c>
      <c r="F813" s="63">
        <f>F811*F812/100</f>
        <v>100</v>
      </c>
      <c r="G813" s="1" t="s">
        <v>480</v>
      </c>
      <c r="I813" s="1" t="s">
        <v>695</v>
      </c>
    </row>
    <row r="815" spans="2:9" ht="16.2">
      <c r="E815" s="68" t="s">
        <v>7</v>
      </c>
      <c r="F815" s="63">
        <f>F813-PI()/4*(F800*2.54)^2</f>
        <v>88.599081720306302</v>
      </c>
      <c r="G815" s="1" t="s">
        <v>480</v>
      </c>
      <c r="I815" s="1" t="s">
        <v>696</v>
      </c>
    </row>
    <row r="817" spans="2:24" ht="15.6">
      <c r="B817" s="1" t="s">
        <v>618</v>
      </c>
      <c r="E817" s="68" t="s">
        <v>7</v>
      </c>
      <c r="F817" s="63">
        <f>E103*VARS!Q4</f>
        <v>35</v>
      </c>
      <c r="G817" s="7" t="s">
        <v>620</v>
      </c>
    </row>
    <row r="820" spans="2:24">
      <c r="H820" s="68" t="s">
        <v>7</v>
      </c>
      <c r="I820" s="1">
        <f>(I796*(13*F809*SQRT(F815*100)*SQRT(F817))*((1+F808/F809)/4))*VARS!Q5</f>
        <v>77.510512475801278</v>
      </c>
      <c r="J820" s="1" t="s">
        <v>16</v>
      </c>
      <c r="K820" s="105">
        <f>F805/I820</f>
        <v>0.3577236170751531</v>
      </c>
    </row>
    <row r="823" spans="2:24">
      <c r="B823" s="1" t="s">
        <v>697</v>
      </c>
    </row>
    <row r="824" spans="2:24" ht="15.6">
      <c r="D824" s="1" t="s">
        <v>677</v>
      </c>
      <c r="E824" s="11" t="s">
        <v>698</v>
      </c>
      <c r="F824" s="1" t="s">
        <v>699</v>
      </c>
      <c r="G824" s="11" t="s">
        <v>698</v>
      </c>
      <c r="H824" s="1" t="s">
        <v>700</v>
      </c>
      <c r="J824" s="108" t="str">
        <f>IF(F825&lt;H825,"","Falla el hormigón antes que los pernos de anclaje")</f>
        <v/>
      </c>
    </row>
    <row r="825" spans="2:24">
      <c r="D825" s="1">
        <f>F799</f>
        <v>10.208126944141672</v>
      </c>
      <c r="E825" s="11" t="str">
        <f>IF(D825&lt;F825,"&lt;","&gt;")</f>
        <v>&lt;</v>
      </c>
      <c r="F825" s="1">
        <f>0.75*F805</f>
        <v>20.795505663144311</v>
      </c>
      <c r="G825" s="11" t="str">
        <f>IF(F825&lt;H825,"&lt;","&gt;")</f>
        <v>&lt;</v>
      </c>
      <c r="H825" s="1">
        <f>0.75*I820</f>
        <v>58.132884356850958</v>
      </c>
      <c r="J825" s="105">
        <f>IF(AND(D825/F825&lt;1,F825/H825&lt;1),0.5,1)</f>
        <v>0.5</v>
      </c>
      <c r="S825" s="138" t="s">
        <v>750</v>
      </c>
      <c r="T825" s="138"/>
      <c r="U825" s="138"/>
      <c r="V825" s="138"/>
      <c r="W825" s="138"/>
      <c r="X825" s="138"/>
    </row>
  </sheetData>
  <mergeCells count="2">
    <mergeCell ref="B767:O767"/>
    <mergeCell ref="L5:Q5"/>
  </mergeCells>
  <conditionalFormatting sqref="G750">
    <cfRule type="iconSet" priority="21">
      <iconSet iconSet="3Symbols" showValue="0" reverse="1">
        <cfvo type="percent" val="0"/>
        <cfvo type="num" val="0.95"/>
        <cfvo type="num" val="1" gte="0"/>
      </iconSet>
    </cfRule>
  </conditionalFormatting>
  <conditionalFormatting sqref="G753">
    <cfRule type="iconSet" priority="20">
      <iconSet iconSet="3Symbols" showValue="0" reverse="1">
        <cfvo type="percent" val="0"/>
        <cfvo type="num" val="0.95"/>
        <cfvo type="num" val="1" gte="0"/>
      </iconSet>
    </cfRule>
  </conditionalFormatting>
  <conditionalFormatting sqref="H498">
    <cfRule type="iconSet" priority="34">
      <iconSet iconSet="3Symbols" showValue="0">
        <cfvo type="percent" val="0"/>
        <cfvo type="num" val="0.98"/>
        <cfvo type="num" val="1"/>
      </iconSet>
    </cfRule>
  </conditionalFormatting>
  <conditionalFormatting sqref="H499">
    <cfRule type="iconSet" priority="35">
      <iconSet iconSet="3Symbols" showValue="0">
        <cfvo type="percent" val="0"/>
        <cfvo type="num" val="0.98"/>
        <cfvo type="num" val="1"/>
      </iconSet>
    </cfRule>
  </conditionalFormatting>
  <conditionalFormatting sqref="H500">
    <cfRule type="iconSet" priority="33">
      <iconSet iconSet="3Symbols" showValue="0" reverse="1">
        <cfvo type="percent" val="0"/>
        <cfvo type="num" val="1.0000100000000001"/>
        <cfvo type="num" val="1.03"/>
      </iconSet>
    </cfRule>
  </conditionalFormatting>
  <conditionalFormatting sqref="H619">
    <cfRule type="iconSet" priority="8">
      <iconSet iconSet="3Symbols" showValue="0" reverse="1">
        <cfvo type="percent" val="0"/>
        <cfvo type="num" val="0.95"/>
        <cfvo type="num" val="1" gte="0"/>
      </iconSet>
    </cfRule>
  </conditionalFormatting>
  <conditionalFormatting sqref="H652">
    <cfRule type="iconSet" priority="29">
      <iconSet iconSet="3Symbols" showValue="0" reverse="1">
        <cfvo type="percent" val="0"/>
        <cfvo type="num" val="0.95"/>
        <cfvo type="num" val="1" gte="0"/>
      </iconSet>
    </cfRule>
  </conditionalFormatting>
  <conditionalFormatting sqref="H654">
    <cfRule type="iconSet" priority="28">
      <iconSet iconSet="3Symbols" showValue="0" reverse="1">
        <cfvo type="percent" val="0"/>
        <cfvo type="num" val="0.95"/>
        <cfvo type="num" val="1" gte="0"/>
      </iconSet>
    </cfRule>
  </conditionalFormatting>
  <conditionalFormatting sqref="H656">
    <cfRule type="iconSet" priority="27">
      <iconSet iconSet="3Symbols" showValue="0" reverse="1">
        <cfvo type="percent" val="0"/>
        <cfvo type="num" val="0.95"/>
        <cfvo type="num" val="1" gte="0"/>
      </iconSet>
    </cfRule>
  </conditionalFormatting>
  <conditionalFormatting sqref="H678">
    <cfRule type="iconSet" priority="26">
      <iconSet iconSet="3Symbols" showValue="0" reverse="1">
        <cfvo type="percent" val="0"/>
        <cfvo type="num" val="0.95"/>
        <cfvo type="num" val="1" gte="0"/>
      </iconSet>
    </cfRule>
  </conditionalFormatting>
  <conditionalFormatting sqref="H680">
    <cfRule type="iconSet" priority="25">
      <iconSet iconSet="3Symbols" showValue="0" reverse="1">
        <cfvo type="percent" val="0"/>
        <cfvo type="num" val="0.95"/>
        <cfvo type="num" val="1" gte="0"/>
      </iconSet>
    </cfRule>
  </conditionalFormatting>
  <conditionalFormatting sqref="H682">
    <cfRule type="iconSet" priority="24">
      <iconSet iconSet="3Symbols" showValue="0" reverse="1">
        <cfvo type="percent" val="0"/>
        <cfvo type="num" val="0.95"/>
        <cfvo type="num" val="1"/>
      </iconSet>
    </cfRule>
  </conditionalFormatting>
  <conditionalFormatting sqref="H761">
    <cfRule type="iconSet" priority="22">
      <iconSet iconSet="3Symbols" showValue="0" reverse="1">
        <cfvo type="percent" val="0"/>
        <cfvo type="num" val="0.95"/>
        <cfvo type="num" val="1"/>
      </iconSet>
    </cfRule>
  </conditionalFormatting>
  <conditionalFormatting sqref="H805">
    <cfRule type="iconSet" priority="19">
      <iconSet iconSet="3Symbols" showValue="0" reverse="1">
        <cfvo type="percent" val="0"/>
        <cfvo type="num" val="0.95"/>
        <cfvo type="num" val="1"/>
      </iconSet>
    </cfRule>
  </conditionalFormatting>
  <conditionalFormatting sqref="I524">
    <cfRule type="iconSet" priority="32">
      <iconSet iconSet="3Symbols" showValue="0" reverse="1">
        <cfvo type="percent" val="0"/>
        <cfvo type="num" val="0.95"/>
        <cfvo type="num" val="1"/>
      </iconSet>
    </cfRule>
  </conditionalFormatting>
  <conditionalFormatting sqref="I548">
    <cfRule type="iconSet" priority="31">
      <iconSet iconSet="3Symbols" showValue="0" reverse="1">
        <cfvo type="percent" val="0"/>
        <cfvo type="num" val="0.95"/>
        <cfvo type="num" val="1"/>
      </iconSet>
    </cfRule>
  </conditionalFormatting>
  <conditionalFormatting sqref="I553">
    <cfRule type="iconSet" priority="30">
      <iconSet iconSet="3Symbols" showValue="0" reverse="1">
        <cfvo type="percent" val="0"/>
        <cfvo type="num" val="1.1499999999999999"/>
        <cfvo type="num" val="1.2" gte="0"/>
      </iconSet>
    </cfRule>
  </conditionalFormatting>
  <conditionalFormatting sqref="I713">
    <cfRule type="iconSet" priority="23">
      <iconSet iconSet="3Symbols" showValue="0" reverse="1">
        <cfvo type="percent" val="0"/>
        <cfvo type="num" val="0.95"/>
        <cfvo type="num" val="1"/>
      </iconSet>
    </cfRule>
  </conditionalFormatting>
  <conditionalFormatting sqref="J410">
    <cfRule type="iconSet" priority="42">
      <iconSet iconSet="3Symbols" showValue="0">
        <cfvo type="percent" val="0"/>
        <cfvo type="num" val="0.8"/>
        <cfvo type="num" val="0.85"/>
      </iconSet>
    </cfRule>
  </conditionalFormatting>
  <conditionalFormatting sqref="J412">
    <cfRule type="iconSet" priority="41">
      <iconSet iconSet="3Symbols" showValue="0" reverse="1">
        <cfvo type="percent" val="0"/>
        <cfvo type="num" val="0.9"/>
        <cfvo type="num" val="1"/>
      </iconSet>
    </cfRule>
  </conditionalFormatting>
  <conditionalFormatting sqref="J421">
    <cfRule type="iconSet" priority="39">
      <iconSet iconSet="3Symbols" showValue="0">
        <cfvo type="percent" val="0"/>
        <cfvo type="num" val="1.5"/>
        <cfvo type="num" val="1.6"/>
      </iconSet>
    </cfRule>
  </conditionalFormatting>
  <conditionalFormatting sqref="J464">
    <cfRule type="iconSet" priority="38">
      <iconSet iconSet="3Symbols" showValue="0">
        <cfvo type="percent" val="0"/>
        <cfvo type="num" val="0.8"/>
        <cfvo type="num" val="0.85"/>
      </iconSet>
    </cfRule>
  </conditionalFormatting>
  <conditionalFormatting sqref="J466">
    <cfRule type="iconSet" priority="37">
      <iconSet iconSet="3Symbols" showValue="0" reverse="1">
        <cfvo type="percent" val="0"/>
        <cfvo type="num" val="0.9"/>
        <cfvo type="num" val="1"/>
      </iconSet>
    </cfRule>
  </conditionalFormatting>
  <conditionalFormatting sqref="J473">
    <cfRule type="iconSet" priority="36">
      <iconSet iconSet="3Symbols" showValue="0">
        <cfvo type="percent" val="0"/>
        <cfvo type="num" val="1.5"/>
        <cfvo type="num" val="1.6"/>
      </iconSet>
    </cfRule>
  </conditionalFormatting>
  <conditionalFormatting sqref="J825">
    <cfRule type="iconSet" priority="17">
      <iconSet iconSet="3Symbols" showValue="0" reverse="1">
        <cfvo type="percent" val="0"/>
        <cfvo type="num" val="0.95"/>
        <cfvo type="num" val="1"/>
      </iconSet>
    </cfRule>
  </conditionalFormatting>
  <conditionalFormatting sqref="K820">
    <cfRule type="iconSet" priority="18">
      <iconSet iconSet="3Symbols" showValue="0" reverse="1">
        <cfvo type="percent" val="0"/>
        <cfvo type="num" val="0.95"/>
        <cfvo type="num" val="1"/>
      </iconSet>
    </cfRule>
  </conditionalFormatting>
  <conditionalFormatting sqref="N41">
    <cfRule type="iconSet" priority="13">
      <iconSet iconSet="3Symbols" showValue="0">
        <cfvo type="percent" val="0"/>
        <cfvo type="num" val="0.98"/>
        <cfvo type="num" val="1"/>
      </iconSet>
    </cfRule>
  </conditionalFormatting>
  <conditionalFormatting sqref="N42">
    <cfRule type="iconSet" priority="12">
      <iconSet iconSet="3Symbols" showValue="0">
        <cfvo type="percent" val="0"/>
        <cfvo type="num" val="0.98"/>
        <cfvo type="num" val="1"/>
      </iconSet>
    </cfRule>
  </conditionalFormatting>
  <conditionalFormatting sqref="N46">
    <cfRule type="iconSet" priority="7">
      <iconSet iconSet="3Symbols" showValue="0" reverse="1">
        <cfvo type="percent" val="0"/>
        <cfvo type="num" val="0.95"/>
        <cfvo type="num" val="1" gte="0"/>
      </iconSet>
    </cfRule>
  </conditionalFormatting>
  <conditionalFormatting sqref="N47">
    <cfRule type="iconSet" priority="6">
      <iconSet iconSet="3Symbols" showValue="0" reverse="1">
        <cfvo type="percent" val="0"/>
        <cfvo type="num" val="0.95"/>
        <cfvo type="num" val="1" gte="0"/>
      </iconSet>
    </cfRule>
  </conditionalFormatting>
  <conditionalFormatting sqref="N48">
    <cfRule type="iconSet" priority="3">
      <iconSet iconSet="3Symbols" showValue="0" reverse="1">
        <cfvo type="percent" val="0"/>
        <cfvo type="num" val="0.95"/>
        <cfvo type="num" val="1" gte="0"/>
      </iconSet>
    </cfRule>
  </conditionalFormatting>
  <conditionalFormatting sqref="O283">
    <cfRule type="iconSet" priority="40">
      <iconSet iconSet="3Symbols" showValue="0" reverse="1">
        <cfvo type="percent" val="0"/>
        <cfvo type="num" val="1.57"/>
        <cfvo type="num" val="9999999"/>
      </iconSet>
    </cfRule>
  </conditionalFormatting>
  <conditionalFormatting sqref="Q8">
    <cfRule type="iconSet" priority="15">
      <iconSet iconSet="3Symbols" showValue="0">
        <cfvo type="percent" val="0"/>
        <cfvo type="num" val="0.8"/>
        <cfvo type="num" val="0.85"/>
      </iconSet>
    </cfRule>
  </conditionalFormatting>
  <conditionalFormatting sqref="Q9">
    <cfRule type="iconSet" priority="14">
      <iconSet iconSet="3Symbols" showValue="0" reverse="1">
        <cfvo type="percent" val="0"/>
        <cfvo type="num" val="0.9"/>
        <cfvo type="num" val="1"/>
      </iconSet>
    </cfRule>
  </conditionalFormatting>
  <conditionalFormatting sqref="Q10">
    <cfRule type="iconSet" priority="16">
      <iconSet iconSet="3Symbols" showValue="0">
        <cfvo type="percent" val="0"/>
        <cfvo type="num" val="1.5"/>
        <cfvo type="num" val="1.6"/>
      </iconSet>
    </cfRule>
  </conditionalFormatting>
  <conditionalFormatting sqref="Q12">
    <cfRule type="iconSet" priority="11">
      <iconSet iconSet="3Symbols" showValue="0" reverse="1">
        <cfvo type="percent" val="0"/>
        <cfvo type="num" val="0.95"/>
        <cfvo type="num" val="1"/>
      </iconSet>
    </cfRule>
  </conditionalFormatting>
  <conditionalFormatting sqref="Q13">
    <cfRule type="iconSet" priority="10">
      <iconSet iconSet="3Symbols" showValue="0" reverse="1">
        <cfvo type="percent" val="0"/>
        <cfvo type="num" val="0.95"/>
        <cfvo type="num" val="1"/>
      </iconSet>
    </cfRule>
  </conditionalFormatting>
  <conditionalFormatting sqref="Q14">
    <cfRule type="iconSet" priority="9">
      <iconSet iconSet="3Symbols" showValue="0" reverse="1">
        <cfvo type="percent" val="0"/>
        <cfvo type="num" val="1.1499999999999999"/>
        <cfvo type="num" val="1.2" gte="0"/>
      </iconSet>
    </cfRule>
  </conditionalFormatting>
  <conditionalFormatting sqref="Q16">
    <cfRule type="iconSet" priority="5">
      <iconSet iconSet="3Symbols" showValue="0" reverse="1">
        <cfvo type="percent" val="0"/>
        <cfvo type="num" val="0.95"/>
        <cfvo type="num" val="1"/>
      </iconSet>
    </cfRule>
  </conditionalFormatting>
  <conditionalFormatting sqref="Q17">
    <cfRule type="iconSet" priority="4">
      <iconSet iconSet="3Symbols" showValue="0" reverse="1">
        <cfvo type="percent" val="0"/>
        <cfvo type="num" val="0.95"/>
        <cfvo type="num" val="1"/>
      </iconSet>
    </cfRule>
  </conditionalFormatting>
  <conditionalFormatting sqref="Q18">
    <cfRule type="iconSet" priority="1">
      <iconSet iconSet="3Symbols" showValue="0" reverse="1">
        <cfvo type="percent" val="0"/>
        <cfvo type="num" val="0.95"/>
        <cfvo type="num" val="1"/>
      </iconSet>
    </cfRule>
  </conditionalFormatting>
  <conditionalFormatting sqref="Q20">
    <cfRule type="iconSet" priority="2">
      <iconSet iconSet="3Symbols" showValue="0" reverse="1">
        <cfvo type="percent" val="0"/>
        <cfvo type="num" val="0.95"/>
        <cfvo type="num" val="1"/>
      </iconSet>
    </cfRule>
  </conditionalFormatting>
  <dataValidations disablePrompts="1" count="1">
    <dataValidation type="whole" allowBlank="1" showInputMessage="1" showErrorMessage="1" errorTitle="Entrada incorrecta" error="El valor debe ser un entero entre 1 y 999" sqref="E42" xr:uid="{2F9EBE80-8068-42B1-8B23-1C096243D163}">
      <formula1>1</formula1>
      <formula2>999</formula2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scale="22" fitToHeight="50" orientation="portrait" r:id="rId1"/>
  <headerFooter alignWithMargins="0"/>
  <rowBreaks count="12" manualBreakCount="12">
    <brk id="53" max="16" man="1"/>
    <brk id="106" max="16" man="1"/>
    <brk id="150" max="16" man="1"/>
    <brk id="204" max="16" man="1"/>
    <brk id="255" max="16" man="1"/>
    <brk id="308" max="16" man="1"/>
    <brk id="367" max="16" man="1"/>
    <brk id="475" max="16" man="1"/>
    <brk id="525" max="16" man="1"/>
    <brk id="561" max="16" man="1"/>
    <brk id="608" max="16" man="1"/>
    <brk id="657" max="16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0">
        <x14:dataValidation type="list" allowBlank="1" showInputMessage="1" showErrorMessage="1" xr:uid="{D8056F27-C35B-45EA-AF65-FADE34F01051}">
          <x14:formula1>
            <xm:f>VARS!$H$63</xm:f>
          </x14:formula1>
          <xm:sqref>E45</xm:sqref>
        </x14:dataValidation>
        <x14:dataValidation type="list" allowBlank="1" showInputMessage="1" showErrorMessage="1" xr:uid="{5844ED29-CC5A-45B0-AE97-9C697B0D65A7}">
          <x14:formula1>
            <xm:f>VARS!$A$5:$A$15</xm:f>
          </x14:formula1>
          <xm:sqref>E41</xm:sqref>
        </x14:dataValidation>
        <x14:dataValidation type="list" allowBlank="1" showInputMessage="1" showErrorMessage="1" xr:uid="{B76BB3AF-8FDC-4F4B-9A46-3B77D14759B8}">
          <x14:formula1>
            <xm:f>VARS!$K$4</xm:f>
          </x14:formula1>
          <xm:sqref>E40</xm:sqref>
        </x14:dataValidation>
        <x14:dataValidation type="list" allowBlank="1" showInputMessage="1" showErrorMessage="1" xr:uid="{61FAD8DB-AF96-47AA-ADA6-40024A8AA040}">
          <x14:formula1>
            <xm:f>VARS!$A$95:$A$96</xm:f>
          </x14:formula1>
          <xm:sqref>F64 F66</xm:sqref>
        </x14:dataValidation>
        <x14:dataValidation type="list" allowBlank="1" showInputMessage="1" showErrorMessage="1" xr:uid="{B27AAA6E-B885-44C6-B51D-AA0062666B7F}">
          <x14:formula1>
            <xm:f>VARS!$A$90:$A$92</xm:f>
          </x14:formula1>
          <xm:sqref>F63</xm:sqref>
        </x14:dataValidation>
        <x14:dataValidation type="list" allowBlank="1" showInputMessage="1" showErrorMessage="1" xr:uid="{8BA0F4D7-1340-42A1-AE8A-A7785CB9C98E}">
          <x14:formula1>
            <xm:f>VARS!$A$84:$A$87</xm:f>
          </x14:formula1>
          <xm:sqref>F61</xm:sqref>
        </x14:dataValidation>
        <x14:dataValidation type="list" allowBlank="1" showInputMessage="1" showErrorMessage="1" xr:uid="{3B9E648E-00A5-4320-A763-6A5B61DD89DB}">
          <x14:formula1>
            <xm:f>VARS!$A$78:$A$80</xm:f>
          </x14:formula1>
          <xm:sqref>F62</xm:sqref>
        </x14:dataValidation>
        <x14:dataValidation type="list" allowBlank="1" showInputMessage="1" showErrorMessage="1" xr:uid="{08AD0004-11D0-48E1-AB9A-F12155AF68B6}">
          <x14:formula1>
            <xm:f>VARS!$H$21:$H$25</xm:f>
          </x14:formula1>
          <xm:sqref>E27</xm:sqref>
        </x14:dataValidation>
        <x14:dataValidation type="list" allowBlank="1" showInputMessage="1" showErrorMessage="1" xr:uid="{7EEF85C6-5462-4F5B-92A7-20D453214422}">
          <x14:formula1>
            <xm:f>VARS!$A$63:$A$72</xm:f>
          </x14:formula1>
          <xm:sqref>E37 E39</xm:sqref>
        </x14:dataValidation>
        <x14:dataValidation type="list" allowBlank="1" showInputMessage="1" showErrorMessage="1" xr:uid="{6D5C7594-A6DC-40B6-91E1-74247608769C}">
          <x14:formula1>
            <xm:f>VARS!$M$64:$M$73</xm:f>
          </x14:formula1>
          <xm:sqref>E46:E48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27408-AA92-4F3A-A1F5-B722CD3EFE5C}">
  <sheetPr codeName="Hoja6">
    <tabColor rgb="FFFFFF00"/>
    <pageSetUpPr fitToPage="1"/>
  </sheetPr>
  <dimension ref="A1:BA761"/>
  <sheetViews>
    <sheetView topLeftCell="C370" zoomScale="85" zoomScaleNormal="85" zoomScaleSheetLayoutView="100" workbookViewId="0">
      <selection activeCell="N19" sqref="N19"/>
    </sheetView>
  </sheetViews>
  <sheetFormatPr baseColWidth="10" defaultColWidth="5.69921875" defaultRowHeight="14.4"/>
  <cols>
    <col min="1" max="3" width="5.69921875" style="1"/>
    <col min="4" max="4" width="6.3984375" style="1" customWidth="1"/>
    <col min="5" max="5" width="10.69921875" style="1" customWidth="1"/>
    <col min="6" max="6" width="8.296875" style="1" bestFit="1" customWidth="1"/>
    <col min="7" max="7" width="7" style="1" bestFit="1" customWidth="1"/>
    <col min="8" max="8" width="7.19921875" style="1" customWidth="1"/>
    <col min="9" max="9" width="6.8984375" style="1" customWidth="1"/>
    <col min="10" max="11" width="5.69921875" style="1" customWidth="1"/>
    <col min="12" max="12" width="6.296875" style="1" customWidth="1"/>
    <col min="13" max="13" width="8.3984375" style="1" customWidth="1"/>
    <col min="14" max="14" width="7" style="1" customWidth="1"/>
    <col min="15" max="15" width="6" style="1" bestFit="1" customWidth="1"/>
    <col min="16" max="16" width="10.69921875" style="1" customWidth="1"/>
    <col min="17" max="17" width="8.3984375" style="1" customWidth="1"/>
    <col min="18" max="19" width="8" style="1" bestFit="1" customWidth="1"/>
    <col min="20" max="20" width="5.69921875" style="1"/>
    <col min="21" max="21" width="6.8984375" style="1" bestFit="1" customWidth="1"/>
    <col min="22" max="24" width="5.69921875" style="1"/>
    <col min="25" max="25" width="7" style="1" bestFit="1" customWidth="1"/>
    <col min="26" max="26" width="8.796875" style="1" bestFit="1" customWidth="1"/>
    <col min="27" max="34" width="6.8984375" style="1" customWidth="1"/>
    <col min="35" max="35" width="5.69921875" style="1"/>
    <col min="36" max="37" width="7.19921875" style="1" customWidth="1"/>
    <col min="38" max="44" width="5.69921875" style="1"/>
    <col min="45" max="45" width="7.296875" style="1" customWidth="1"/>
    <col min="46" max="46" width="7.796875" style="1" bestFit="1" customWidth="1"/>
    <col min="47" max="47" width="5.69921875" style="1"/>
    <col min="48" max="49" width="6" style="1" bestFit="1" customWidth="1"/>
    <col min="50" max="52" width="5.69921875" style="1"/>
    <col min="53" max="53" width="6" style="1" bestFit="1" customWidth="1"/>
    <col min="54" max="16384" width="5.69921875" style="1"/>
  </cols>
  <sheetData>
    <row r="1" spans="1:17">
      <c r="A1" s="1" t="s">
        <v>0</v>
      </c>
      <c r="D1" s="11" t="s">
        <v>1</v>
      </c>
      <c r="E1" s="1" t="s">
        <v>78</v>
      </c>
      <c r="I1" s="9"/>
      <c r="J1" s="9"/>
      <c r="N1" s="1" t="s">
        <v>20</v>
      </c>
      <c r="P1" s="1" t="s">
        <v>82</v>
      </c>
    </row>
    <row r="2" spans="1:17">
      <c r="A2" s="1" t="s">
        <v>2</v>
      </c>
      <c r="D2" s="11" t="s">
        <v>1</v>
      </c>
      <c r="E2" s="1" t="s">
        <v>79</v>
      </c>
      <c r="I2" s="9"/>
      <c r="J2" s="9"/>
      <c r="N2" s="3" t="s">
        <v>3</v>
      </c>
      <c r="P2" s="4" t="s">
        <v>21</v>
      </c>
    </row>
    <row r="3" spans="1:17" ht="15" thickBot="1">
      <c r="A3" s="5" t="s">
        <v>4</v>
      </c>
      <c r="B3" s="5"/>
      <c r="C3" s="5"/>
      <c r="D3" s="56" t="s">
        <v>1</v>
      </c>
      <c r="E3" s="5" t="s">
        <v>80</v>
      </c>
      <c r="F3" s="5"/>
      <c r="G3" s="5"/>
      <c r="H3" s="5"/>
      <c r="I3" s="5"/>
      <c r="J3" s="5"/>
      <c r="K3" s="5"/>
      <c r="L3" s="5"/>
      <c r="M3" s="5"/>
      <c r="N3" s="5" t="s">
        <v>5</v>
      </c>
      <c r="O3" s="5"/>
      <c r="P3" s="6" t="s">
        <v>81</v>
      </c>
      <c r="Q3" s="5"/>
    </row>
    <row r="4" spans="1:17" ht="15" thickTop="1"/>
    <row r="5" spans="1:17">
      <c r="A5" s="57" t="s">
        <v>143</v>
      </c>
      <c r="B5" s="58"/>
      <c r="C5" s="58" t="s">
        <v>144</v>
      </c>
      <c r="D5" s="58"/>
      <c r="E5" s="58"/>
    </row>
    <row r="7" spans="1:17">
      <c r="A7" s="59" t="s">
        <v>134</v>
      </c>
      <c r="B7" s="1" t="s">
        <v>135</v>
      </c>
    </row>
    <row r="9" spans="1:17">
      <c r="B9" s="9" t="s">
        <v>83</v>
      </c>
      <c r="C9" s="10"/>
      <c r="D9" s="11" t="s">
        <v>7</v>
      </c>
      <c r="E9" s="60">
        <v>13</v>
      </c>
      <c r="F9" s="7" t="s">
        <v>84</v>
      </c>
      <c r="H9" s="1" t="s">
        <v>153</v>
      </c>
      <c r="I9" s="7"/>
    </row>
    <row r="10" spans="1:17">
      <c r="B10" s="9" t="s">
        <v>6</v>
      </c>
      <c r="C10" s="10"/>
      <c r="D10" s="11" t="s">
        <v>7</v>
      </c>
      <c r="E10" s="60">
        <v>5.16</v>
      </c>
      <c r="F10" s="7" t="s">
        <v>84</v>
      </c>
      <c r="H10" s="1" t="s">
        <v>85</v>
      </c>
      <c r="I10" s="7"/>
    </row>
    <row r="11" spans="1:17">
      <c r="B11" s="9" t="s">
        <v>86</v>
      </c>
      <c r="C11" s="10"/>
      <c r="D11" s="11" t="s">
        <v>7</v>
      </c>
      <c r="E11" s="60">
        <v>0.5</v>
      </c>
      <c r="F11" s="7" t="s">
        <v>84</v>
      </c>
      <c r="H11" s="1" t="s">
        <v>87</v>
      </c>
      <c r="I11" s="7"/>
    </row>
    <row r="12" spans="1:17">
      <c r="B12" s="9" t="s">
        <v>88</v>
      </c>
      <c r="C12" s="10"/>
      <c r="D12" s="11" t="s">
        <v>7</v>
      </c>
      <c r="E12" s="61">
        <f>E10+E11</f>
        <v>5.66</v>
      </c>
      <c r="F12" s="7" t="s">
        <v>84</v>
      </c>
      <c r="H12" s="1" t="s">
        <v>89</v>
      </c>
      <c r="I12" s="7"/>
    </row>
    <row r="13" spans="1:17">
      <c r="B13" s="9"/>
    </row>
    <row r="14" spans="1:17">
      <c r="B14" s="9" t="s">
        <v>10</v>
      </c>
      <c r="C14" s="10"/>
      <c r="D14" s="11" t="s">
        <v>7</v>
      </c>
      <c r="E14" s="62">
        <v>8</v>
      </c>
      <c r="F14" s="7" t="s">
        <v>8</v>
      </c>
      <c r="H14" s="1" t="s">
        <v>90</v>
      </c>
      <c r="I14" s="7"/>
    </row>
    <row r="15" spans="1:17">
      <c r="B15" s="9" t="s">
        <v>91</v>
      </c>
      <c r="C15" s="10"/>
      <c r="D15" s="11" t="s">
        <v>7</v>
      </c>
      <c r="E15" s="62">
        <v>8</v>
      </c>
      <c r="F15" s="7" t="s">
        <v>8</v>
      </c>
      <c r="H15" s="1" t="s">
        <v>92</v>
      </c>
      <c r="I15" s="7"/>
    </row>
    <row r="16" spans="1:17">
      <c r="B16" s="9" t="s">
        <v>93</v>
      </c>
      <c r="C16" s="10"/>
      <c r="D16" s="11" t="s">
        <v>7</v>
      </c>
      <c r="E16" s="62">
        <v>6</v>
      </c>
      <c r="F16" s="7" t="s">
        <v>8</v>
      </c>
      <c r="H16" s="1" t="s">
        <v>94</v>
      </c>
      <c r="I16" s="7"/>
    </row>
    <row r="17" spans="1:22">
      <c r="B17" s="9"/>
      <c r="C17" s="10"/>
      <c r="D17" s="11"/>
      <c r="E17" s="63"/>
      <c r="F17" s="7"/>
      <c r="I17" s="7"/>
    </row>
    <row r="18" spans="1:22">
      <c r="B18" s="64" t="s">
        <v>95</v>
      </c>
      <c r="C18" s="65"/>
      <c r="D18" s="11" t="s">
        <v>7</v>
      </c>
      <c r="E18" s="62">
        <v>16</v>
      </c>
      <c r="F18" s="7" t="s">
        <v>96</v>
      </c>
      <c r="H18" s="1" t="s">
        <v>97</v>
      </c>
      <c r="I18" s="7"/>
    </row>
    <row r="19" spans="1:22">
      <c r="B19" s="9" t="s">
        <v>163</v>
      </c>
      <c r="C19" s="10"/>
      <c r="D19" s="11" t="s">
        <v>7</v>
      </c>
      <c r="E19" s="1">
        <f>E9/2*1/COS(E18*PI()/180)</f>
        <v>6.761946333100413</v>
      </c>
      <c r="F19" s="7" t="s">
        <v>84</v>
      </c>
      <c r="H19" s="1" t="s">
        <v>98</v>
      </c>
      <c r="I19" s="7"/>
    </row>
    <row r="20" spans="1:22">
      <c r="B20" s="9" t="s">
        <v>99</v>
      </c>
      <c r="C20" s="10"/>
      <c r="D20" s="11" t="s">
        <v>7</v>
      </c>
      <c r="E20" s="66">
        <f>SIN(E18*PI()/180)*(E19)</f>
        <v>1.8638450074322512</v>
      </c>
      <c r="F20" s="7" t="s">
        <v>84</v>
      </c>
      <c r="H20" s="1" t="s">
        <v>100</v>
      </c>
      <c r="I20" s="7"/>
    </row>
    <row r="23" spans="1:22">
      <c r="A23" s="59" t="s">
        <v>136</v>
      </c>
      <c r="B23" s="1" t="s">
        <v>137</v>
      </c>
      <c r="L23" s="10"/>
    </row>
    <row r="25" spans="1:22">
      <c r="B25" s="39" t="s">
        <v>138</v>
      </c>
      <c r="C25" s="7" t="s">
        <v>102</v>
      </c>
      <c r="E25" s="67"/>
      <c r="K25" s="8"/>
      <c r="L25" s="59"/>
      <c r="R25" s="68"/>
      <c r="S25" s="7"/>
      <c r="T25" s="7"/>
      <c r="V25" s="69"/>
    </row>
    <row r="26" spans="1:22">
      <c r="L26" s="59"/>
      <c r="Q26" s="7"/>
      <c r="R26" s="68"/>
      <c r="S26" s="7"/>
      <c r="T26" s="7"/>
      <c r="V26" s="69"/>
    </row>
    <row r="27" spans="1:22" ht="16.2">
      <c r="A27" s="70"/>
      <c r="B27" s="71" t="s">
        <v>423</v>
      </c>
      <c r="C27" s="70"/>
      <c r="D27" s="68" t="s">
        <v>7</v>
      </c>
      <c r="E27" s="60">
        <v>1</v>
      </c>
      <c r="F27" s="7" t="s">
        <v>424</v>
      </c>
      <c r="G27" s="7"/>
      <c r="H27" s="7" t="s">
        <v>104</v>
      </c>
      <c r="P27" s="9"/>
      <c r="Q27" s="7"/>
      <c r="R27" s="68"/>
      <c r="S27" s="7"/>
      <c r="T27" s="7"/>
      <c r="V27" s="69"/>
    </row>
    <row r="28" spans="1:22">
      <c r="B28" s="9"/>
      <c r="Q28" s="7"/>
      <c r="R28" s="68"/>
      <c r="S28" s="7"/>
      <c r="T28" s="7"/>
      <c r="V28" s="69"/>
    </row>
    <row r="29" spans="1:22">
      <c r="B29" s="39" t="s">
        <v>139</v>
      </c>
      <c r="C29" s="40" t="s">
        <v>154</v>
      </c>
      <c r="D29" s="68"/>
      <c r="F29" s="72"/>
      <c r="G29" s="72"/>
      <c r="H29" s="7"/>
      <c r="R29" s="68"/>
      <c r="S29" s="7"/>
      <c r="T29" s="7"/>
      <c r="V29" s="69"/>
    </row>
    <row r="30" spans="1:22">
      <c r="B30" s="9"/>
      <c r="Q30" s="7"/>
      <c r="R30" s="68"/>
      <c r="S30" s="7"/>
      <c r="T30" s="7"/>
      <c r="V30" s="69"/>
    </row>
    <row r="31" spans="1:22">
      <c r="B31" s="9" t="s">
        <v>155</v>
      </c>
      <c r="F31" s="73" t="s">
        <v>22</v>
      </c>
      <c r="Q31" s="7"/>
      <c r="R31" s="68"/>
      <c r="S31" s="7"/>
      <c r="T31" s="7"/>
      <c r="V31" s="69"/>
    </row>
    <row r="32" spans="1:22">
      <c r="B32" s="9"/>
      <c r="Q32" s="7"/>
      <c r="R32" s="68"/>
      <c r="S32" s="7"/>
      <c r="T32" s="7"/>
      <c r="V32" s="69"/>
    </row>
    <row r="33" spans="1:22">
      <c r="B33" s="69" t="s">
        <v>425</v>
      </c>
      <c r="C33" s="70"/>
      <c r="D33" s="68" t="s">
        <v>7</v>
      </c>
      <c r="E33" s="74">
        <f>VLOOKUP(F31,VARS!H21:K25,2,FALSE)</f>
        <v>2531.0504867047202</v>
      </c>
      <c r="F33" s="7" t="s">
        <v>15</v>
      </c>
      <c r="G33" s="7"/>
      <c r="H33" s="7" t="s">
        <v>108</v>
      </c>
      <c r="Q33" s="7"/>
      <c r="R33" s="68"/>
      <c r="S33" s="7"/>
      <c r="T33" s="7"/>
      <c r="V33" s="69"/>
    </row>
    <row r="34" spans="1:22">
      <c r="B34" s="69" t="s">
        <v>426</v>
      </c>
      <c r="C34" s="70"/>
      <c r="D34" s="68" t="s">
        <v>7</v>
      </c>
      <c r="E34" s="74">
        <f>VLOOKUP(F31,VARS!H21:K25,3,FALSE)</f>
        <v>4078.7623066104074</v>
      </c>
      <c r="F34" s="7" t="s">
        <v>15</v>
      </c>
      <c r="G34" s="7"/>
      <c r="H34" s="7" t="s">
        <v>109</v>
      </c>
      <c r="Q34" s="7"/>
      <c r="R34" s="68"/>
      <c r="S34" s="7"/>
      <c r="T34" s="7"/>
      <c r="V34" s="69"/>
    </row>
    <row r="35" spans="1:22" ht="16.2">
      <c r="B35" s="71" t="s">
        <v>427</v>
      </c>
      <c r="D35" s="68" t="s">
        <v>7</v>
      </c>
      <c r="E35" s="74">
        <f>VLOOKUP(F31,VARS!H21:K25,4,FALSE)</f>
        <v>7850</v>
      </c>
      <c r="F35" s="7" t="s">
        <v>428</v>
      </c>
      <c r="G35" s="7"/>
      <c r="H35" s="7" t="s">
        <v>105</v>
      </c>
      <c r="Q35" s="7"/>
      <c r="R35" s="68"/>
      <c r="S35" s="7"/>
      <c r="T35" s="7"/>
      <c r="V35" s="69"/>
    </row>
    <row r="36" spans="1:22">
      <c r="B36" s="1" t="s">
        <v>111</v>
      </c>
      <c r="D36" s="68" t="s">
        <v>7</v>
      </c>
      <c r="E36" s="67">
        <f>VLOOKUP(F31,VARS!H21:L25,5,FALSE)</f>
        <v>2038901.7809565801</v>
      </c>
      <c r="F36" s="7" t="s">
        <v>15</v>
      </c>
      <c r="H36" s="1" t="s">
        <v>110</v>
      </c>
      <c r="Q36" s="70"/>
      <c r="R36" s="68"/>
      <c r="S36" s="7"/>
      <c r="T36" s="7"/>
      <c r="V36" s="69"/>
    </row>
    <row r="37" spans="1:22">
      <c r="Q37" s="70"/>
      <c r="R37" s="68"/>
      <c r="S37" s="7"/>
    </row>
    <row r="38" spans="1:22">
      <c r="B38" s="39" t="s">
        <v>140</v>
      </c>
      <c r="C38" s="40" t="s">
        <v>112</v>
      </c>
      <c r="D38" s="68"/>
      <c r="F38" s="73" t="s">
        <v>118</v>
      </c>
      <c r="G38" s="72"/>
      <c r="H38" s="7"/>
      <c r="L38" s="10"/>
      <c r="R38" s="70"/>
    </row>
    <row r="39" spans="1:22">
      <c r="R39" s="70"/>
    </row>
    <row r="40" spans="1:22" ht="16.2">
      <c r="A40" s="70"/>
      <c r="B40" s="71" t="s">
        <v>429</v>
      </c>
      <c r="C40" s="70"/>
      <c r="D40" s="68" t="s">
        <v>7</v>
      </c>
      <c r="E40" s="74">
        <f>VLOOKUP(F38,VARS!A63:E72,5,FALSE)</f>
        <v>2500</v>
      </c>
      <c r="F40" s="7" t="s">
        <v>428</v>
      </c>
      <c r="G40" s="7"/>
      <c r="H40" s="7" t="s">
        <v>131</v>
      </c>
    </row>
    <row r="41" spans="1:22">
      <c r="A41" s="70"/>
      <c r="B41" s="1" t="s">
        <v>121</v>
      </c>
      <c r="D41" s="68" t="s">
        <v>7</v>
      </c>
      <c r="E41" s="63">
        <f>VLOOKUP(F38,VARS!A63:D72,2,FALSE)*VARS!Q2</f>
        <v>305.81039755351679</v>
      </c>
      <c r="F41" s="7" t="s">
        <v>15</v>
      </c>
      <c r="H41" s="1" t="s">
        <v>129</v>
      </c>
    </row>
    <row r="42" spans="1:22">
      <c r="A42" s="70"/>
      <c r="B42" s="69" t="s">
        <v>123</v>
      </c>
      <c r="C42" s="70"/>
      <c r="D42" s="68" t="s">
        <v>7</v>
      </c>
      <c r="E42" s="74">
        <f>VLOOKUP(F38,VARS!A63:C72,3,FALSE)*VARS!Q2</f>
        <v>262415.4964601713</v>
      </c>
      <c r="F42" s="7" t="s">
        <v>15</v>
      </c>
      <c r="G42" s="7"/>
      <c r="H42" s="7" t="s">
        <v>130</v>
      </c>
      <c r="Q42" s="70"/>
    </row>
    <row r="43" spans="1:22">
      <c r="A43" s="70"/>
      <c r="B43" s="42" t="s">
        <v>124</v>
      </c>
      <c r="C43" s="70"/>
      <c r="D43" s="68" t="s">
        <v>7</v>
      </c>
      <c r="E43" s="72">
        <f>VLOOKUP(F38,VARS!A63:D72,4,FALSE)</f>
        <v>3.0000000000000001E-3</v>
      </c>
      <c r="F43" s="7"/>
      <c r="G43" s="7"/>
      <c r="H43" s="7" t="s">
        <v>132</v>
      </c>
      <c r="Q43" s="70"/>
    </row>
    <row r="44" spans="1:22">
      <c r="A44" s="70"/>
      <c r="B44" s="70"/>
      <c r="C44" s="70"/>
      <c r="D44" s="68"/>
      <c r="E44" s="74"/>
      <c r="F44" s="7"/>
      <c r="G44" s="7"/>
      <c r="H44" s="7"/>
      <c r="Q44" s="70"/>
    </row>
    <row r="45" spans="1:22">
      <c r="A45" s="70"/>
      <c r="B45" s="70"/>
      <c r="C45" s="70"/>
      <c r="D45" s="68"/>
      <c r="E45" s="74"/>
      <c r="F45" s="7"/>
      <c r="G45" s="7"/>
      <c r="H45" s="7"/>
      <c r="Q45" s="70"/>
    </row>
    <row r="46" spans="1:22">
      <c r="A46" s="57" t="s">
        <v>141</v>
      </c>
      <c r="B46" s="58" t="s">
        <v>142</v>
      </c>
      <c r="D46" s="58"/>
      <c r="E46" s="74"/>
      <c r="F46" s="7"/>
      <c r="G46" s="7"/>
      <c r="H46" s="7"/>
      <c r="Q46" s="70"/>
    </row>
    <row r="47" spans="1:22">
      <c r="E47" s="74"/>
      <c r="F47" s="7"/>
      <c r="G47" s="7"/>
      <c r="H47" s="7"/>
      <c r="Q47" s="70"/>
    </row>
    <row r="48" spans="1:22">
      <c r="A48" s="59" t="s">
        <v>101</v>
      </c>
      <c r="B48" s="1" t="s">
        <v>145</v>
      </c>
    </row>
    <row r="49" spans="1:17">
      <c r="A49" s="59"/>
    </row>
    <row r="50" spans="1:17" ht="16.2">
      <c r="A50" s="59"/>
      <c r="H50" s="1" t="s">
        <v>152</v>
      </c>
      <c r="N50" s="1" t="s">
        <v>146</v>
      </c>
      <c r="O50" s="11" t="s">
        <v>7</v>
      </c>
      <c r="P50" s="63">
        <f>PI()*(E9^2)*E10/4</f>
        <v>684.89861440911079</v>
      </c>
      <c r="Q50" s="7" t="s">
        <v>430</v>
      </c>
    </row>
    <row r="51" spans="1:17">
      <c r="A51" s="59"/>
    </row>
    <row r="52" spans="1:17">
      <c r="A52" s="59"/>
      <c r="H52" s="1" t="s">
        <v>145</v>
      </c>
      <c r="N52" s="1" t="s">
        <v>147</v>
      </c>
      <c r="O52" s="11" t="s">
        <v>7</v>
      </c>
      <c r="P52" s="63">
        <f>E27*P50</f>
        <v>684.89861440911079</v>
      </c>
      <c r="Q52" s="1" t="s">
        <v>16</v>
      </c>
    </row>
    <row r="53" spans="1:17">
      <c r="A53" s="59"/>
    </row>
    <row r="54" spans="1:17">
      <c r="A54" s="59" t="s">
        <v>103</v>
      </c>
      <c r="B54" s="1" t="s">
        <v>156</v>
      </c>
    </row>
    <row r="55" spans="1:17">
      <c r="A55" s="59"/>
    </row>
    <row r="56" spans="1:17">
      <c r="A56" s="59"/>
      <c r="B56" s="39" t="s">
        <v>138</v>
      </c>
      <c r="C56" s="7" t="s">
        <v>148</v>
      </c>
    </row>
    <row r="57" spans="1:17">
      <c r="A57" s="59"/>
    </row>
    <row r="58" spans="1:17">
      <c r="A58" s="59"/>
      <c r="H58" s="1" t="s">
        <v>151</v>
      </c>
      <c r="N58" s="1" t="s">
        <v>157</v>
      </c>
      <c r="O58" s="11" t="s">
        <v>7</v>
      </c>
      <c r="P58" s="1">
        <f>E35*PI()*E9*E12*E14/1000000</f>
        <v>14.516746731931404</v>
      </c>
      <c r="Q58" s="1" t="s">
        <v>16</v>
      </c>
    </row>
    <row r="59" spans="1:17">
      <c r="A59" s="59"/>
    </row>
    <row r="60" spans="1:17">
      <c r="A60" s="59"/>
      <c r="B60" s="1" t="s">
        <v>139</v>
      </c>
      <c r="C60" s="1" t="s">
        <v>149</v>
      </c>
    </row>
    <row r="61" spans="1:17">
      <c r="A61" s="59"/>
    </row>
    <row r="62" spans="1:17">
      <c r="A62" s="59"/>
      <c r="B62" s="1" t="s">
        <v>160</v>
      </c>
      <c r="D62" s="68" t="s">
        <v>7</v>
      </c>
      <c r="E62" s="75">
        <v>10</v>
      </c>
      <c r="F62" s="1" t="s">
        <v>16</v>
      </c>
      <c r="H62" s="1" t="s">
        <v>161</v>
      </c>
    </row>
    <row r="63" spans="1:17">
      <c r="A63" s="59"/>
      <c r="D63" s="68"/>
      <c r="H63" s="1" t="s">
        <v>162</v>
      </c>
    </row>
    <row r="65" spans="1:17">
      <c r="H65" s="1" t="s">
        <v>158</v>
      </c>
      <c r="N65" s="1" t="s">
        <v>159</v>
      </c>
      <c r="O65" s="11" t="s">
        <v>7</v>
      </c>
      <c r="P65" s="1">
        <f>E62+E35*PI()*(E9/2)*E19*E16/1000000</f>
        <v>16.503630454893834</v>
      </c>
      <c r="Q65" s="1" t="s">
        <v>16</v>
      </c>
    </row>
    <row r="68" spans="1:17">
      <c r="B68" s="1" t="s">
        <v>140</v>
      </c>
      <c r="C68" s="1" t="s">
        <v>150</v>
      </c>
    </row>
    <row r="70" spans="1:17">
      <c r="H70" s="1" t="s">
        <v>164</v>
      </c>
      <c r="N70" s="1" t="s">
        <v>165</v>
      </c>
      <c r="O70" s="11" t="s">
        <v>7</v>
      </c>
      <c r="P70" s="1">
        <f>E35*PI()*(E9^2)/4*E15/1000000</f>
        <v>8.3355877877697981</v>
      </c>
      <c r="Q70" s="1" t="s">
        <v>16</v>
      </c>
    </row>
    <row r="73" spans="1:17">
      <c r="A73" s="57" t="s">
        <v>166</v>
      </c>
      <c r="B73" s="58" t="s">
        <v>167</v>
      </c>
      <c r="D73" s="58"/>
      <c r="E73" s="74"/>
    </row>
    <row r="74" spans="1:17">
      <c r="E74" s="74"/>
    </row>
    <row r="75" spans="1:17">
      <c r="A75" s="59" t="s">
        <v>168</v>
      </c>
      <c r="B75" s="1" t="s">
        <v>169</v>
      </c>
    </row>
    <row r="77" spans="1:17">
      <c r="B77" s="1" t="s">
        <v>170</v>
      </c>
      <c r="D77" s="68" t="s">
        <v>7</v>
      </c>
      <c r="E77" s="62">
        <v>100</v>
      </c>
      <c r="F77" s="7" t="s">
        <v>171</v>
      </c>
      <c r="H77" s="1" t="s">
        <v>172</v>
      </c>
    </row>
    <row r="79" spans="1:17" ht="15.6">
      <c r="H79" s="1" t="s">
        <v>173</v>
      </c>
      <c r="N79" s="1" t="s">
        <v>431</v>
      </c>
      <c r="O79" s="11" t="s">
        <v>7</v>
      </c>
      <c r="P79" s="1">
        <f>E77*PI()*(E9^2)/4/1000</f>
        <v>13.273228961416876</v>
      </c>
      <c r="Q79" s="1" t="s">
        <v>16</v>
      </c>
    </row>
    <row r="82" spans="1:17">
      <c r="A82" s="59" t="s">
        <v>174</v>
      </c>
      <c r="C82" s="1" t="s">
        <v>176</v>
      </c>
    </row>
    <row r="84" spans="1:17">
      <c r="B84" s="1" t="s">
        <v>177</v>
      </c>
      <c r="D84" s="68" t="s">
        <v>7</v>
      </c>
      <c r="E84" s="75">
        <v>0</v>
      </c>
      <c r="F84" s="1" t="s">
        <v>16</v>
      </c>
      <c r="H84" s="1" t="s">
        <v>178</v>
      </c>
    </row>
    <row r="85" spans="1:17">
      <c r="B85" s="1" t="s">
        <v>180</v>
      </c>
      <c r="D85" s="68" t="s">
        <v>7</v>
      </c>
      <c r="E85" s="75">
        <v>1</v>
      </c>
      <c r="F85" s="1" t="s">
        <v>16</v>
      </c>
      <c r="H85" s="1" t="s">
        <v>179</v>
      </c>
    </row>
    <row r="87" spans="1:17" ht="15.6">
      <c r="H87" s="1" t="s">
        <v>175</v>
      </c>
      <c r="N87" s="1" t="s">
        <v>432</v>
      </c>
      <c r="O87" s="11" t="s">
        <v>7</v>
      </c>
      <c r="P87" s="1">
        <f>E85+E84</f>
        <v>1</v>
      </c>
      <c r="Q87" s="1" t="s">
        <v>16</v>
      </c>
    </row>
    <row r="90" spans="1:17">
      <c r="A90" s="57" t="s">
        <v>181</v>
      </c>
      <c r="B90" s="58" t="s">
        <v>182</v>
      </c>
      <c r="D90" s="58"/>
    </row>
    <row r="91" spans="1:17">
      <c r="B91" s="1" t="s">
        <v>183</v>
      </c>
    </row>
    <row r="93" spans="1:17">
      <c r="B93" s="1" t="s">
        <v>186</v>
      </c>
      <c r="F93" s="75" t="s">
        <v>198</v>
      </c>
    </row>
    <row r="95" spans="1:17">
      <c r="B95" s="1" t="s">
        <v>185</v>
      </c>
      <c r="F95" s="75" t="s">
        <v>188</v>
      </c>
    </row>
    <row r="97" spans="1:17">
      <c r="B97" s="1" t="s">
        <v>187</v>
      </c>
      <c r="F97" s="76">
        <v>2</v>
      </c>
    </row>
    <row r="99" spans="1:17">
      <c r="B99" s="1" t="s">
        <v>284</v>
      </c>
      <c r="F99" s="75" t="s">
        <v>206</v>
      </c>
    </row>
    <row r="101" spans="1:17">
      <c r="A101" s="59" t="s">
        <v>189</v>
      </c>
      <c r="B101" s="1" t="s">
        <v>190</v>
      </c>
    </row>
    <row r="103" spans="1:17">
      <c r="B103" s="1" t="s">
        <v>138</v>
      </c>
      <c r="C103" s="1" t="s">
        <v>191</v>
      </c>
      <c r="N103" s="1" t="s">
        <v>192</v>
      </c>
      <c r="O103" s="11" t="s">
        <v>7</v>
      </c>
      <c r="P103" s="63">
        <f>VLOOKUP(F95,VARS!A78:B80,2,FALSE)</f>
        <v>1</v>
      </c>
    </row>
    <row r="105" spans="1:17">
      <c r="B105" s="1" t="s">
        <v>139</v>
      </c>
      <c r="C105" s="1" t="s">
        <v>212</v>
      </c>
      <c r="N105" s="1" t="s">
        <v>213</v>
      </c>
      <c r="O105" s="11" t="s">
        <v>7</v>
      </c>
      <c r="P105" s="63">
        <f>VLOOKUP(F97,VARS!A90:B92,2,FALSE)</f>
        <v>0.3</v>
      </c>
      <c r="Q105" s="1" t="s">
        <v>106</v>
      </c>
    </row>
    <row r="107" spans="1:17">
      <c r="B107" s="1" t="s">
        <v>140</v>
      </c>
      <c r="C107" s="1" t="s">
        <v>214</v>
      </c>
      <c r="N107" s="1" t="s">
        <v>215</v>
      </c>
      <c r="O107" s="11" t="s">
        <v>7</v>
      </c>
      <c r="P107" s="1">
        <f>2/3*P105</f>
        <v>0.19999999999999998</v>
      </c>
    </row>
    <row r="109" spans="1:17">
      <c r="B109" s="1" t="s">
        <v>216</v>
      </c>
      <c r="C109" s="1" t="s">
        <v>217</v>
      </c>
      <c r="N109" s="1" t="s">
        <v>19</v>
      </c>
      <c r="O109" s="11" t="s">
        <v>7</v>
      </c>
      <c r="P109" s="1">
        <f>VLOOKUP(F93,VARS!A84:C87,2,FALSE)</f>
        <v>1.33</v>
      </c>
    </row>
    <row r="110" spans="1:17">
      <c r="N110" s="1" t="s">
        <v>201</v>
      </c>
      <c r="O110" s="11" t="s">
        <v>7</v>
      </c>
      <c r="P110" s="1">
        <f>VLOOKUP(F93,VARS!A84:C87,3,FALSE)</f>
        <v>0.35</v>
      </c>
      <c r="Q110" s="1" t="s">
        <v>218</v>
      </c>
    </row>
    <row r="112" spans="1:17">
      <c r="B112" s="1" t="s">
        <v>219</v>
      </c>
      <c r="C112" s="1" t="s">
        <v>220</v>
      </c>
      <c r="N112" s="1" t="s">
        <v>208</v>
      </c>
      <c r="O112" s="11" t="s">
        <v>7</v>
      </c>
      <c r="P112" s="67">
        <f>VLOOKUP(F99,VARS!A95:C96,3,FALSE)</f>
        <v>4</v>
      </c>
    </row>
    <row r="114" spans="2:18">
      <c r="B114" s="1" t="s">
        <v>221</v>
      </c>
      <c r="C114" s="1" t="s">
        <v>222</v>
      </c>
      <c r="N114" s="77" t="s">
        <v>205</v>
      </c>
      <c r="O114" s="11" t="s">
        <v>7</v>
      </c>
      <c r="P114" s="1">
        <f>VLOOKUP(F99,VARS!A95:C96,2,FALSE)</f>
        <v>0.02</v>
      </c>
    </row>
    <row r="116" spans="2:18">
      <c r="B116" s="1" t="s">
        <v>223</v>
      </c>
      <c r="C116" s="1" t="s">
        <v>224</v>
      </c>
    </row>
    <row r="118" spans="2:18">
      <c r="I118" s="1" t="s">
        <v>225</v>
      </c>
    </row>
    <row r="119" spans="2:18">
      <c r="R119" s="77"/>
    </row>
    <row r="120" spans="2:18" ht="15.6">
      <c r="B120" s="1" t="s">
        <v>433</v>
      </c>
      <c r="D120" s="68" t="s">
        <v>7</v>
      </c>
      <c r="E120" s="1">
        <f>IF(P114=0.02,VLOOKUP(P112,VARS!A101:C102,2,FALSE),VLOOKUP(P112,VARS!A101:C102,2,FALSE))*VLOOKUP(F97,VARS!A90:C92,3,FALSE)</f>
        <v>0.24</v>
      </c>
      <c r="I120" s="1" t="s">
        <v>227</v>
      </c>
    </row>
    <row r="122" spans="2:18">
      <c r="B122" s="1" t="s">
        <v>228</v>
      </c>
      <c r="C122" s="1" t="s">
        <v>229</v>
      </c>
      <c r="H122" s="10"/>
      <c r="I122" s="10" t="s">
        <v>381</v>
      </c>
      <c r="J122" s="4">
        <f>P112</f>
        <v>4</v>
      </c>
      <c r="K122" s="78" t="s">
        <v>434</v>
      </c>
      <c r="L122" s="1">
        <f>P114</f>
        <v>0.02</v>
      </c>
      <c r="M122" s="1" t="s">
        <v>237</v>
      </c>
    </row>
    <row r="124" spans="2:18">
      <c r="B124" s="1" t="s">
        <v>230</v>
      </c>
      <c r="D124" s="68" t="s">
        <v>7</v>
      </c>
      <c r="E124" s="63">
        <v>0.2</v>
      </c>
      <c r="F124" s="1" t="s">
        <v>218</v>
      </c>
      <c r="I124" s="1" t="s">
        <v>231</v>
      </c>
    </row>
    <row r="126" spans="2:18">
      <c r="B126" s="1" t="s">
        <v>234</v>
      </c>
      <c r="D126" s="68" t="s">
        <v>7</v>
      </c>
      <c r="E126" s="1">
        <f>2.75*(P105/P112)*((P110/E124)^P109)*(0.05/P114)^0.4</f>
        <v>0.62634060208233067</v>
      </c>
      <c r="I126" s="1" t="s">
        <v>233</v>
      </c>
    </row>
    <row r="128" spans="2:18">
      <c r="B128" s="1" t="s">
        <v>232</v>
      </c>
      <c r="D128" s="68" t="s">
        <v>7</v>
      </c>
      <c r="E128" s="1">
        <f>MIN(E126,E120)</f>
        <v>0.24</v>
      </c>
      <c r="I128" s="1" t="s">
        <v>235</v>
      </c>
    </row>
    <row r="130" spans="1:17">
      <c r="B130" s="1" t="s">
        <v>228</v>
      </c>
      <c r="C130" s="1" t="s">
        <v>236</v>
      </c>
      <c r="H130" s="10"/>
      <c r="I130" s="10" t="s">
        <v>381</v>
      </c>
      <c r="J130" s="79">
        <v>1</v>
      </c>
      <c r="K130" s="80" t="s">
        <v>434</v>
      </c>
      <c r="L130" s="81">
        <v>5.0000000000000001E-3</v>
      </c>
      <c r="M130" s="1" t="s">
        <v>237</v>
      </c>
    </row>
    <row r="132" spans="1:17">
      <c r="I132" s="1" t="s">
        <v>239</v>
      </c>
      <c r="N132" s="1" t="s">
        <v>238</v>
      </c>
      <c r="O132" s="11" t="s">
        <v>7</v>
      </c>
      <c r="P132" s="1">
        <f>0.578/SQRT(TANH(3.68*E10/E9))</f>
        <v>0.61001696070090883</v>
      </c>
    </row>
    <row r="136" spans="1:17">
      <c r="D136" s="68"/>
      <c r="E136" s="63"/>
      <c r="I136" s="1" t="s">
        <v>241</v>
      </c>
      <c r="N136" s="1" t="s">
        <v>240</v>
      </c>
      <c r="O136" s="11" t="s">
        <v>7</v>
      </c>
      <c r="P136" s="1">
        <f>1.8*P132*SQRT(E9)</f>
        <v>3.9590053752776906</v>
      </c>
      <c r="Q136" s="1" t="s">
        <v>218</v>
      </c>
    </row>
    <row r="139" spans="1:17">
      <c r="B139" s="1" t="s">
        <v>242</v>
      </c>
      <c r="D139" s="68" t="s">
        <v>7</v>
      </c>
      <c r="E139" s="1">
        <f>2.75*(P105/J130)*((P110/P136)^P109)*(0.05/L130)^0.4</f>
        <v>8.227633654575317E-2</v>
      </c>
      <c r="I139" s="1" t="s">
        <v>243</v>
      </c>
    </row>
    <row r="141" spans="1:17">
      <c r="D141" s="68"/>
      <c r="E141" s="10" t="s">
        <v>7</v>
      </c>
      <c r="F141" s="1">
        <f>MAX(E139,0.1*P105)</f>
        <v>8.227633654575317E-2</v>
      </c>
      <c r="I141" s="1" t="s">
        <v>244</v>
      </c>
    </row>
    <row r="144" spans="1:17">
      <c r="A144" s="59" t="s">
        <v>245</v>
      </c>
      <c r="B144" s="1" t="s">
        <v>246</v>
      </c>
    </row>
    <row r="146" spans="1:26">
      <c r="X146" s="1" t="s">
        <v>249</v>
      </c>
      <c r="Y146" s="1">
        <f>TANH(0.866*Y148)/(0.866*Y148)*P52</f>
        <v>306.0232961703843</v>
      </c>
      <c r="Z146" s="1" t="s">
        <v>9</v>
      </c>
    </row>
    <row r="147" spans="1:26">
      <c r="I147" s="1" t="s">
        <v>247</v>
      </c>
      <c r="N147" s="1" t="s">
        <v>248</v>
      </c>
      <c r="O147" s="11" t="s">
        <v>7</v>
      </c>
      <c r="P147" s="63">
        <f>IF(Y148&gt;=4/3,Y146,Y147)</f>
        <v>306.0232961703843</v>
      </c>
      <c r="Q147" s="1" t="s">
        <v>16</v>
      </c>
      <c r="X147" s="1" t="s">
        <v>250</v>
      </c>
      <c r="Y147" s="1">
        <f>(1-0.218*Y148)*P52</f>
        <v>308.73530564255657</v>
      </c>
      <c r="Z147" s="1" t="s">
        <v>9</v>
      </c>
    </row>
    <row r="148" spans="1:26">
      <c r="X148" s="1" t="s">
        <v>251</v>
      </c>
      <c r="Y148" s="1">
        <f>E9/E10</f>
        <v>2.5193798449612403</v>
      </c>
    </row>
    <row r="153" spans="1:26">
      <c r="I153" s="1" t="s">
        <v>252</v>
      </c>
      <c r="N153" s="1" t="s">
        <v>253</v>
      </c>
      <c r="O153" s="11" t="s">
        <v>7</v>
      </c>
      <c r="P153" s="63">
        <f>(0.23*Y148*TANH(3.67/Y148))*P52</f>
        <v>355.99645692648568</v>
      </c>
      <c r="Q153" s="1" t="s">
        <v>16</v>
      </c>
    </row>
    <row r="156" spans="1:26">
      <c r="A156" s="59" t="s">
        <v>254</v>
      </c>
      <c r="B156" s="1" t="s">
        <v>255</v>
      </c>
    </row>
    <row r="158" spans="1:26">
      <c r="I158" s="1" t="s">
        <v>256</v>
      </c>
      <c r="N158" s="1" t="s">
        <v>259</v>
      </c>
      <c r="O158" s="11" t="s">
        <v>7</v>
      </c>
      <c r="P158" s="1">
        <f>P103*E128*(P58+P65+P70+P147)</f>
        <v>82.891022674795039</v>
      </c>
      <c r="Q158" s="1" t="s">
        <v>16</v>
      </c>
    </row>
    <row r="160" spans="1:26">
      <c r="I160" s="1" t="s">
        <v>257</v>
      </c>
      <c r="N160" s="1" t="s">
        <v>260</v>
      </c>
      <c r="O160" s="11" t="s">
        <v>7</v>
      </c>
      <c r="P160" s="1">
        <f>P103*F141*P153</f>
        <v>29.290084299179259</v>
      </c>
      <c r="Q160" s="1" t="s">
        <v>16</v>
      </c>
    </row>
    <row r="162" spans="1:26">
      <c r="I162" s="1" t="s">
        <v>258</v>
      </c>
      <c r="N162" s="1" t="s">
        <v>17</v>
      </c>
      <c r="O162" s="11" t="s">
        <v>7</v>
      </c>
      <c r="P162" s="1">
        <f>SQRT(P158^2+P160^2)</f>
        <v>87.913768422963258</v>
      </c>
      <c r="Q162" s="1" t="s">
        <v>16</v>
      </c>
    </row>
    <row r="165" spans="1:26">
      <c r="A165" s="59" t="s">
        <v>261</v>
      </c>
      <c r="B165" s="1" t="s">
        <v>262</v>
      </c>
    </row>
    <row r="166" spans="1:26">
      <c r="B166" s="1" t="s">
        <v>263</v>
      </c>
    </row>
    <row r="168" spans="1:26">
      <c r="B168" s="1" t="s">
        <v>138</v>
      </c>
      <c r="C168" s="1" t="s">
        <v>264</v>
      </c>
    </row>
    <row r="170" spans="1:26">
      <c r="N170" s="1" t="s">
        <v>265</v>
      </c>
      <c r="O170" s="11" t="s">
        <v>7</v>
      </c>
      <c r="P170" s="1">
        <f>IF(Y172&gt;4/3,Y170,Y171)</f>
        <v>1.9350000000000001</v>
      </c>
      <c r="Q170" s="1" t="s">
        <v>84</v>
      </c>
      <c r="X170" s="1" t="s">
        <v>266</v>
      </c>
      <c r="Y170" s="1">
        <f>0.375*E10</f>
        <v>1.9350000000000001</v>
      </c>
      <c r="Z170" s="1" t="s">
        <v>18</v>
      </c>
    </row>
    <row r="171" spans="1:26">
      <c r="X171" s="1" t="s">
        <v>267</v>
      </c>
      <c r="Y171" s="1">
        <f>(0.5-0.094*Y172)*E10</f>
        <v>1.3579999999999999</v>
      </c>
      <c r="Z171" s="1" t="s">
        <v>18</v>
      </c>
    </row>
    <row r="172" spans="1:26">
      <c r="X172" s="1" t="s">
        <v>251</v>
      </c>
      <c r="Y172" s="1">
        <f>E9/E10</f>
        <v>2.5193798449612403</v>
      </c>
    </row>
    <row r="175" spans="1:26">
      <c r="B175" s="1" t="s">
        <v>139</v>
      </c>
      <c r="C175" s="1" t="s">
        <v>270</v>
      </c>
    </row>
    <row r="178" spans="2:26">
      <c r="N178" s="1" t="s">
        <v>268</v>
      </c>
      <c r="O178" s="11" t="s">
        <v>7</v>
      </c>
      <c r="P178" s="1">
        <f>(1-(COSH(Z178)-1)/(Z178*SINH(Z178)))*E10</f>
        <v>2.9565275701801919</v>
      </c>
      <c r="Q178" s="1" t="s">
        <v>84</v>
      </c>
      <c r="X178" s="1" t="s">
        <v>269</v>
      </c>
      <c r="Z178" s="1">
        <f>3.67/Y172</f>
        <v>1.4567076923076923</v>
      </c>
    </row>
    <row r="182" spans="2:26">
      <c r="B182" s="1" t="s">
        <v>140</v>
      </c>
      <c r="C182" s="1" t="s">
        <v>271</v>
      </c>
    </row>
    <row r="184" spans="2:26">
      <c r="C184" s="1" t="s">
        <v>273</v>
      </c>
      <c r="N184" s="1" t="s">
        <v>274</v>
      </c>
      <c r="O184" s="11" t="s">
        <v>7</v>
      </c>
      <c r="P184" s="1">
        <f>0.5*E12</f>
        <v>2.83</v>
      </c>
      <c r="Q184" s="1" t="s">
        <v>84</v>
      </c>
    </row>
    <row r="186" spans="2:26">
      <c r="B186" s="82" t="s">
        <v>216</v>
      </c>
      <c r="C186" s="82" t="s">
        <v>272</v>
      </c>
      <c r="D186" s="82"/>
      <c r="E186" s="82"/>
      <c r="F186" s="82"/>
      <c r="G186" s="82"/>
      <c r="H186" s="82"/>
      <c r="I186" s="82"/>
    </row>
    <row r="188" spans="2:26">
      <c r="C188" s="1" t="s">
        <v>275</v>
      </c>
      <c r="N188" s="1" t="s">
        <v>276</v>
      </c>
      <c r="O188" s="11" t="s">
        <v>7</v>
      </c>
      <c r="P188" s="1">
        <f>E12</f>
        <v>5.66</v>
      </c>
      <c r="Q188" s="1" t="s">
        <v>84</v>
      </c>
    </row>
    <row r="190" spans="2:26">
      <c r="B190" s="1" t="s">
        <v>219</v>
      </c>
      <c r="C190" s="1" t="s">
        <v>277</v>
      </c>
    </row>
    <row r="192" spans="2:26">
      <c r="N192" s="1" t="s">
        <v>278</v>
      </c>
      <c r="O192" s="11" t="s">
        <v>7</v>
      </c>
      <c r="P192" s="1">
        <f>SQRT((P103*E128*(P147*P170+P58*P184+P65*P188))^2+(P103*F141*P153*P178)^2)</f>
        <v>194.71217057300683</v>
      </c>
      <c r="Q192" s="1" t="s">
        <v>279</v>
      </c>
    </row>
    <row r="196" spans="1:17">
      <c r="A196" s="57" t="s">
        <v>280</v>
      </c>
      <c r="B196" s="58" t="s">
        <v>281</v>
      </c>
      <c r="D196" s="58"/>
    </row>
    <row r="198" spans="1:17">
      <c r="A198" s="59" t="s">
        <v>282</v>
      </c>
      <c r="B198" s="1" t="s">
        <v>283</v>
      </c>
    </row>
    <row r="200" spans="1:17">
      <c r="N200" s="1" t="s">
        <v>285</v>
      </c>
      <c r="O200" s="11" t="s">
        <v>7</v>
      </c>
      <c r="P200" s="1">
        <f>(P58+P65+P87)/(PI()*E9)</f>
        <v>0.78403097060772209</v>
      </c>
      <c r="Q200" s="1" t="s">
        <v>286</v>
      </c>
    </row>
    <row r="202" spans="1:17">
      <c r="A202" s="59" t="s">
        <v>287</v>
      </c>
      <c r="B202" s="1" t="s">
        <v>288</v>
      </c>
    </row>
    <row r="204" spans="1:17" ht="15.6">
      <c r="B204" s="1" t="s">
        <v>435</v>
      </c>
      <c r="D204" s="68" t="s">
        <v>7</v>
      </c>
      <c r="E204" s="62">
        <v>6</v>
      </c>
      <c r="F204" s="1" t="s">
        <v>8</v>
      </c>
      <c r="I204" s="1" t="s">
        <v>289</v>
      </c>
    </row>
    <row r="205" spans="1:17" ht="15.6">
      <c r="B205" s="1" t="s">
        <v>436</v>
      </c>
      <c r="D205" s="68" t="s">
        <v>7</v>
      </c>
      <c r="E205" s="63">
        <f>E15</f>
        <v>8</v>
      </c>
      <c r="F205" s="1" t="s">
        <v>8</v>
      </c>
      <c r="I205" s="1" t="s">
        <v>92</v>
      </c>
    </row>
    <row r="206" spans="1:17" ht="15.6">
      <c r="B206" s="1" t="s">
        <v>437</v>
      </c>
      <c r="D206" s="68" t="s">
        <v>7</v>
      </c>
      <c r="E206" s="63">
        <f>MIN(E204:E205)</f>
        <v>6</v>
      </c>
      <c r="F206" s="1" t="s">
        <v>8</v>
      </c>
      <c r="I206" s="1" t="s">
        <v>438</v>
      </c>
    </row>
    <row r="207" spans="1:17">
      <c r="B207" s="1" t="s">
        <v>30</v>
      </c>
      <c r="D207" s="68" t="s">
        <v>7</v>
      </c>
      <c r="E207" s="63">
        <f>E33*0.0980665</f>
        <v>248.21126255442846</v>
      </c>
      <c r="F207" s="1" t="s">
        <v>290</v>
      </c>
      <c r="I207" s="7" t="s">
        <v>108</v>
      </c>
    </row>
    <row r="208" spans="1:17">
      <c r="B208" s="1" t="s">
        <v>83</v>
      </c>
      <c r="D208" s="68" t="s">
        <v>7</v>
      </c>
      <c r="E208" s="1">
        <f>E9</f>
        <v>13</v>
      </c>
      <c r="F208" s="1" t="s">
        <v>84</v>
      </c>
      <c r="I208" s="1" t="s">
        <v>153</v>
      </c>
    </row>
    <row r="209" spans="1:17">
      <c r="B209" s="1" t="s">
        <v>6</v>
      </c>
      <c r="D209" s="68" t="s">
        <v>7</v>
      </c>
      <c r="E209" s="1">
        <f>E10</f>
        <v>5.16</v>
      </c>
      <c r="F209" s="1" t="s">
        <v>84</v>
      </c>
      <c r="I209" s="1" t="s">
        <v>85</v>
      </c>
    </row>
    <row r="210" spans="1:17" ht="16.2">
      <c r="B210" s="71" t="s">
        <v>423</v>
      </c>
      <c r="D210" s="68" t="s">
        <v>7</v>
      </c>
      <c r="E210" s="1">
        <f>E27</f>
        <v>1</v>
      </c>
      <c r="F210" s="7" t="s">
        <v>424</v>
      </c>
      <c r="G210" s="7"/>
      <c r="I210" s="7" t="s">
        <v>104</v>
      </c>
    </row>
    <row r="213" spans="1:17">
      <c r="N213" s="1" t="s">
        <v>291</v>
      </c>
      <c r="O213" s="11" t="s">
        <v>7</v>
      </c>
      <c r="P213" s="1">
        <f>MIN(99*E206*SQRT(E207*E209*E210),196*E209*E208*E210)/9807</f>
        <v>1.340642398286938</v>
      </c>
      <c r="Q213" s="1" t="s">
        <v>286</v>
      </c>
    </row>
    <row r="217" spans="1:17">
      <c r="A217" s="59" t="s">
        <v>292</v>
      </c>
      <c r="B217" s="1" t="s">
        <v>293</v>
      </c>
    </row>
    <row r="219" spans="1:17">
      <c r="B219" s="1" t="s">
        <v>294</v>
      </c>
    </row>
    <row r="221" spans="1:17">
      <c r="E221" s="1">
        <f>P192/((E208^2)*(P200+P213))</f>
        <v>0.54226830251157287</v>
      </c>
      <c r="N221" s="77" t="s">
        <v>295</v>
      </c>
      <c r="O221" s="11">
        <f>E221</f>
        <v>0.54226830251157287</v>
      </c>
      <c r="P221" s="1" t="str">
        <f>IF(E221&lt;1.57,"No requiere anclaje","Tanque requiere anclaje")</f>
        <v>No requiere anclaje</v>
      </c>
    </row>
    <row r="225" spans="1:4">
      <c r="A225" s="57" t="s">
        <v>296</v>
      </c>
      <c r="B225" s="58" t="s">
        <v>297</v>
      </c>
      <c r="D225" s="58"/>
    </row>
    <row r="227" spans="1:4">
      <c r="A227" s="59" t="s">
        <v>298</v>
      </c>
      <c r="B227" s="1" t="s">
        <v>299</v>
      </c>
    </row>
    <row r="247" spans="2:9" ht="16.2">
      <c r="B247" s="71" t="s">
        <v>439</v>
      </c>
      <c r="D247" s="68" t="s">
        <v>7</v>
      </c>
      <c r="E247" s="75">
        <v>1.8</v>
      </c>
      <c r="F247" s="7" t="s">
        <v>424</v>
      </c>
      <c r="G247" s="7"/>
      <c r="I247" s="7" t="s">
        <v>300</v>
      </c>
    </row>
    <row r="248" spans="2:9" ht="15.6">
      <c r="B248" s="71" t="s">
        <v>440</v>
      </c>
      <c r="D248" s="68" t="s">
        <v>7</v>
      </c>
      <c r="E248" s="83">
        <v>30</v>
      </c>
      <c r="F248" s="7" t="s">
        <v>301</v>
      </c>
      <c r="G248" s="7"/>
      <c r="I248" s="7" t="s">
        <v>302</v>
      </c>
    </row>
    <row r="249" spans="2:9">
      <c r="B249" s="1" t="s">
        <v>12</v>
      </c>
      <c r="D249" s="68" t="s">
        <v>7</v>
      </c>
      <c r="E249" s="62">
        <v>130</v>
      </c>
      <c r="F249" s="1" t="s">
        <v>8</v>
      </c>
      <c r="I249" s="1" t="s">
        <v>303</v>
      </c>
    </row>
    <row r="250" spans="2:9">
      <c r="B250" s="1" t="s">
        <v>83</v>
      </c>
      <c r="D250" s="68" t="s">
        <v>7</v>
      </c>
      <c r="E250" s="1">
        <f>E9</f>
        <v>13</v>
      </c>
      <c r="F250" s="1" t="s">
        <v>84</v>
      </c>
      <c r="I250" s="1" t="s">
        <v>306</v>
      </c>
    </row>
    <row r="251" spans="2:9">
      <c r="B251" s="1" t="s">
        <v>10</v>
      </c>
      <c r="D251" s="68" t="s">
        <v>7</v>
      </c>
      <c r="E251" s="1">
        <f>E14</f>
        <v>8</v>
      </c>
      <c r="F251" s="1" t="s">
        <v>8</v>
      </c>
      <c r="I251" s="1" t="s">
        <v>90</v>
      </c>
    </row>
    <row r="252" spans="2:9">
      <c r="B252" s="1" t="s">
        <v>304</v>
      </c>
      <c r="D252" s="68" t="s">
        <v>7</v>
      </c>
      <c r="E252" s="1">
        <f>E250+(2*E251+2*E249)/1000</f>
        <v>13.276</v>
      </c>
      <c r="F252" s="1" t="s">
        <v>84</v>
      </c>
      <c r="I252" s="1" t="s">
        <v>305</v>
      </c>
    </row>
    <row r="254" spans="2:9">
      <c r="B254" s="1" t="s">
        <v>307</v>
      </c>
      <c r="D254" s="68" t="s">
        <v>7</v>
      </c>
      <c r="E254" s="83">
        <v>500</v>
      </c>
      <c r="F254" s="1" t="s">
        <v>8</v>
      </c>
      <c r="I254" s="1" t="s">
        <v>312</v>
      </c>
    </row>
    <row r="255" spans="2:9">
      <c r="B255" s="1" t="s">
        <v>308</v>
      </c>
      <c r="D255" s="68" t="s">
        <v>7</v>
      </c>
      <c r="E255" s="83">
        <v>1750</v>
      </c>
      <c r="F255" s="1" t="s">
        <v>8</v>
      </c>
      <c r="I255" s="1" t="s">
        <v>313</v>
      </c>
    </row>
    <row r="256" spans="2:9">
      <c r="B256" s="1" t="s">
        <v>309</v>
      </c>
      <c r="D256" s="68" t="s">
        <v>7</v>
      </c>
      <c r="E256" s="83">
        <v>2000</v>
      </c>
      <c r="F256" s="1" t="s">
        <v>8</v>
      </c>
      <c r="I256" s="1" t="s">
        <v>314</v>
      </c>
    </row>
    <row r="257" spans="1:17">
      <c r="B257" s="1" t="s">
        <v>310</v>
      </c>
      <c r="D257" s="68" t="s">
        <v>7</v>
      </c>
      <c r="E257" s="83">
        <v>400</v>
      </c>
      <c r="F257" s="1" t="s">
        <v>8</v>
      </c>
      <c r="I257" s="1" t="s">
        <v>315</v>
      </c>
    </row>
    <row r="258" spans="1:17">
      <c r="B258" s="1" t="s">
        <v>311</v>
      </c>
      <c r="D258" s="68" t="s">
        <v>7</v>
      </c>
      <c r="E258" s="83">
        <v>1850</v>
      </c>
      <c r="F258" s="1" t="s">
        <v>8</v>
      </c>
      <c r="I258" s="1" t="s">
        <v>316</v>
      </c>
    </row>
    <row r="260" spans="1:17">
      <c r="B260" s="1" t="s">
        <v>317</v>
      </c>
      <c r="D260" s="68" t="s">
        <v>7</v>
      </c>
      <c r="E260" s="1">
        <f>(E255+E257)/1000</f>
        <v>2.15</v>
      </c>
      <c r="F260" s="1" t="s">
        <v>84</v>
      </c>
      <c r="I260" s="1" t="s">
        <v>320</v>
      </c>
    </row>
    <row r="261" spans="1:17">
      <c r="B261" s="1" t="s">
        <v>318</v>
      </c>
      <c r="D261" s="68" t="s">
        <v>7</v>
      </c>
      <c r="E261" s="1">
        <f>(E250+E256/1000)/2</f>
        <v>7.5</v>
      </c>
      <c r="F261" s="1" t="s">
        <v>84</v>
      </c>
      <c r="I261" s="1" t="s">
        <v>321</v>
      </c>
    </row>
    <row r="262" spans="1:17">
      <c r="B262" s="1" t="s">
        <v>319</v>
      </c>
      <c r="D262" s="68" t="s">
        <v>7</v>
      </c>
      <c r="E262" s="1">
        <f>(E250-E256/1000)/2</f>
        <v>5.5</v>
      </c>
      <c r="F262" s="1" t="s">
        <v>84</v>
      </c>
      <c r="I262" s="1" t="s">
        <v>322</v>
      </c>
    </row>
    <row r="265" spans="1:17">
      <c r="A265" s="59" t="s">
        <v>323</v>
      </c>
      <c r="B265" s="1" t="s">
        <v>324</v>
      </c>
    </row>
    <row r="266" spans="1:17">
      <c r="B266" s="1" t="s">
        <v>325</v>
      </c>
    </row>
    <row r="268" spans="1:17">
      <c r="B268" s="1" t="s">
        <v>138</v>
      </c>
      <c r="C268" s="1" t="s">
        <v>326</v>
      </c>
    </row>
    <row r="270" spans="1:17" ht="15.6">
      <c r="N270" s="1" t="s">
        <v>441</v>
      </c>
      <c r="O270" s="11" t="s">
        <v>7</v>
      </c>
      <c r="P270" s="1">
        <f>E40*(E254*E255+E256*E257)*(PI()*E250)/(1000000000)</f>
        <v>171.02045007979439</v>
      </c>
      <c r="Q270" s="1" t="s">
        <v>16</v>
      </c>
    </row>
    <row r="273" spans="2:17">
      <c r="B273" s="1" t="s">
        <v>139</v>
      </c>
      <c r="C273" s="1" t="s">
        <v>327</v>
      </c>
    </row>
    <row r="274" spans="2:17">
      <c r="C274" s="1" t="s">
        <v>329</v>
      </c>
      <c r="D274" s="1" t="s">
        <v>331</v>
      </c>
    </row>
    <row r="276" spans="2:17">
      <c r="G276" s="11"/>
      <c r="H276" s="11" t="s">
        <v>7</v>
      </c>
      <c r="I276" s="1">
        <f>E9+E254/1000+(E256-E254)/2000</f>
        <v>14.25</v>
      </c>
      <c r="J276" s="1" t="s">
        <v>84</v>
      </c>
      <c r="K276" s="1" t="s">
        <v>328</v>
      </c>
    </row>
    <row r="279" spans="2:17" ht="15.6">
      <c r="N279" s="1" t="s">
        <v>442</v>
      </c>
      <c r="O279" s="11" t="s">
        <v>7</v>
      </c>
      <c r="P279" s="1">
        <f>E247*(((E256-E254)/2*(E258-E257))*PI()*I276)/1000000</f>
        <v>87.632763576478794</v>
      </c>
      <c r="Q279" s="1" t="s">
        <v>16</v>
      </c>
    </row>
    <row r="282" spans="2:17">
      <c r="C282" s="1" t="s">
        <v>330</v>
      </c>
      <c r="D282" s="1" t="s">
        <v>332</v>
      </c>
    </row>
    <row r="284" spans="2:17">
      <c r="H284" s="11" t="s">
        <v>7</v>
      </c>
      <c r="I284" s="1">
        <f>E9-E254/1000-(E256-E254)/2000</f>
        <v>11.75</v>
      </c>
      <c r="J284" s="1" t="s">
        <v>84</v>
      </c>
      <c r="K284" s="1" t="s">
        <v>328</v>
      </c>
    </row>
    <row r="287" spans="2:17" ht="15.6">
      <c r="N287" s="1" t="s">
        <v>443</v>
      </c>
      <c r="O287" s="11" t="s">
        <v>7</v>
      </c>
      <c r="P287" s="1">
        <f>E247*(((E256-E254)/2*(E255))*PI()*I284)/1000000</f>
        <v>87.208648568244158</v>
      </c>
      <c r="Q287" s="1" t="s">
        <v>16</v>
      </c>
    </row>
    <row r="290" spans="2:17" ht="15.6">
      <c r="N290" s="1" t="s">
        <v>444</v>
      </c>
      <c r="O290" s="11" t="s">
        <v>7</v>
      </c>
      <c r="P290" s="1">
        <f>P287+P279</f>
        <v>174.84141214472294</v>
      </c>
      <c r="Q290" s="1" t="s">
        <v>16</v>
      </c>
    </row>
    <row r="293" spans="2:17">
      <c r="B293" s="1" t="s">
        <v>140</v>
      </c>
      <c r="C293" s="1" t="s">
        <v>333</v>
      </c>
    </row>
    <row r="295" spans="2:17">
      <c r="I295" s="1">
        <f>(E254/2+(E256-E254)/2)/1000</f>
        <v>1</v>
      </c>
      <c r="J295" s="1" t="s">
        <v>84</v>
      </c>
      <c r="K295" s="1" t="s">
        <v>334</v>
      </c>
    </row>
    <row r="297" spans="2:17" ht="15.6">
      <c r="N297" s="1" t="s">
        <v>445</v>
      </c>
      <c r="O297" s="11" t="s">
        <v>7</v>
      </c>
      <c r="P297" s="1">
        <f>(I295*E10*PI()*(E9-I295))*E27</f>
        <v>194.52741711028</v>
      </c>
      <c r="Q297" s="1" t="s">
        <v>16</v>
      </c>
    </row>
    <row r="300" spans="2:17" ht="15.6">
      <c r="B300" s="1" t="s">
        <v>216</v>
      </c>
      <c r="C300" s="1" t="s">
        <v>335</v>
      </c>
      <c r="N300" s="1" t="s">
        <v>446</v>
      </c>
      <c r="O300" s="11" t="s">
        <v>7</v>
      </c>
      <c r="P300" s="1">
        <f>P58+P65</f>
        <v>31.020377186825236</v>
      </c>
      <c r="Q300" s="1" t="s">
        <v>16</v>
      </c>
    </row>
    <row r="302" spans="2:17">
      <c r="B302" s="1" t="s">
        <v>219</v>
      </c>
      <c r="C302" s="1" t="s">
        <v>336</v>
      </c>
    </row>
    <row r="304" spans="2:17" ht="15.6">
      <c r="B304" s="1" t="s">
        <v>447</v>
      </c>
      <c r="N304" s="1" t="s">
        <v>448</v>
      </c>
      <c r="O304" s="11" t="s">
        <v>7</v>
      </c>
      <c r="P304" s="1">
        <f>P270+P290+P297+P300+E62</f>
        <v>581.40965652162254</v>
      </c>
      <c r="Q304" s="1" t="s">
        <v>16</v>
      </c>
    </row>
    <row r="307" spans="1:17">
      <c r="A307" s="59" t="s">
        <v>337</v>
      </c>
      <c r="B307" s="1" t="s">
        <v>338</v>
      </c>
    </row>
    <row r="309" spans="1:17">
      <c r="B309" s="1" t="s">
        <v>138</v>
      </c>
      <c r="C309" s="1" t="s">
        <v>339</v>
      </c>
    </row>
    <row r="311" spans="1:17">
      <c r="C311" s="1" t="s">
        <v>340</v>
      </c>
      <c r="D311" s="1" t="s">
        <v>341</v>
      </c>
    </row>
    <row r="313" spans="1:17" ht="15.6">
      <c r="C313" s="1" t="s">
        <v>449</v>
      </c>
      <c r="I313" s="1" t="s">
        <v>342</v>
      </c>
      <c r="N313" s="1" t="s">
        <v>450</v>
      </c>
      <c r="O313" s="11" t="s">
        <v>7</v>
      </c>
      <c r="P313" s="63">
        <f>P297+P300+E62</f>
        <v>235.54779429710524</v>
      </c>
      <c r="Q313" s="1" t="s">
        <v>16</v>
      </c>
    </row>
    <row r="314" spans="1:17">
      <c r="P314" s="63"/>
    </row>
    <row r="315" spans="1:17" ht="15.6">
      <c r="N315" s="1" t="s">
        <v>451</v>
      </c>
      <c r="O315" s="11" t="s">
        <v>7</v>
      </c>
      <c r="P315" s="63">
        <f>(1-P103*P107)*(P313+P270+P290)</f>
        <v>465.12772521729806</v>
      </c>
      <c r="Q315" s="1" t="s">
        <v>16</v>
      </c>
    </row>
    <row r="318" spans="1:17" ht="15.6">
      <c r="I318" s="10"/>
      <c r="N318" s="1" t="s">
        <v>452</v>
      </c>
      <c r="O318" s="11" t="s">
        <v>7</v>
      </c>
      <c r="P318" s="63">
        <f>(P105/2)*(E247*(PI()/4)*((E250-E254/1000)^2))*(E260-E258/1000)</f>
        <v>9.9401955054989504</v>
      </c>
      <c r="Q318" s="1" t="s">
        <v>16</v>
      </c>
    </row>
    <row r="320" spans="1:17" ht="15.6">
      <c r="C320" s="1" t="s">
        <v>453</v>
      </c>
      <c r="N320" s="1" t="s">
        <v>454</v>
      </c>
      <c r="O320" s="11" t="s">
        <v>7</v>
      </c>
      <c r="P320" s="63">
        <f>P318+P162</f>
        <v>97.853963928462207</v>
      </c>
      <c r="Q320" s="1" t="s">
        <v>16</v>
      </c>
    </row>
    <row r="322" spans="3:53" ht="15.6">
      <c r="N322" s="1" t="s">
        <v>455</v>
      </c>
      <c r="O322" s="11" t="s">
        <v>7</v>
      </c>
      <c r="P322" s="63">
        <f>P192+P162*E260+P318*(E260-(E260-E258/1000)/2)</f>
        <v>403.60716369337575</v>
      </c>
      <c r="Q322" s="1" t="s">
        <v>279</v>
      </c>
    </row>
    <row r="323" spans="3:53">
      <c r="AA323" s="84">
        <v>0</v>
      </c>
      <c r="AB323" s="85">
        <f>AB327</f>
        <v>0.5</v>
      </c>
      <c r="AC323" s="85">
        <f t="shared" ref="AC323:AG323" si="0">AC327</f>
        <v>0.6</v>
      </c>
      <c r="AD323" s="85">
        <f t="shared" si="0"/>
        <v>0.7</v>
      </c>
      <c r="AE323" s="85">
        <f t="shared" si="0"/>
        <v>0.8</v>
      </c>
      <c r="AF323" s="85">
        <f t="shared" si="0"/>
        <v>0.9</v>
      </c>
      <c r="AG323" s="86">
        <f t="shared" si="0"/>
        <v>1</v>
      </c>
    </row>
    <row r="324" spans="3:53" ht="15.6">
      <c r="N324" s="1" t="s">
        <v>456</v>
      </c>
      <c r="O324" s="11" t="s">
        <v>7</v>
      </c>
      <c r="P324" s="1">
        <f>P322/P315</f>
        <v>0.86773404768511453</v>
      </c>
      <c r="Q324" s="1" t="s">
        <v>84</v>
      </c>
      <c r="AA324" s="38">
        <f>AB327</f>
        <v>0.5</v>
      </c>
      <c r="AB324" s="87">
        <f t="shared" ref="AB324:AF324" si="1">AC327</f>
        <v>0.6</v>
      </c>
      <c r="AC324" s="87">
        <f t="shared" si="1"/>
        <v>0.7</v>
      </c>
      <c r="AD324" s="87">
        <f t="shared" si="1"/>
        <v>0.8</v>
      </c>
      <c r="AE324" s="87">
        <f t="shared" si="1"/>
        <v>0.9</v>
      </c>
      <c r="AF324" s="87">
        <f t="shared" si="1"/>
        <v>1</v>
      </c>
      <c r="AG324" s="88">
        <v>1</v>
      </c>
      <c r="AM324" s="84">
        <f>VLOOKUP(Z327,Z328:Z343,1,TRUE)</f>
        <v>0</v>
      </c>
      <c r="AN324" s="85">
        <f>VLOOKUP(AM324,AM328:AN344,2,FALSE)</f>
        <v>0.25</v>
      </c>
      <c r="AO324" s="85"/>
      <c r="AP324" s="89" t="s">
        <v>345</v>
      </c>
    </row>
    <row r="325" spans="3:53">
      <c r="Z325" s="11" t="s">
        <v>345</v>
      </c>
      <c r="AM325" s="38">
        <f>VLOOKUP(AM324,Z328:AH344,9,FALSE)</f>
        <v>2</v>
      </c>
      <c r="AN325" s="87">
        <f>VLOOKUP(AN324,Z328:AH344,9,FALSE)</f>
        <v>2</v>
      </c>
      <c r="AO325" s="87"/>
      <c r="AP325" s="90">
        <f>(AN325-AM325)/(AN324-AM324)*(Z327-AM324)+AM325</f>
        <v>2</v>
      </c>
    </row>
    <row r="326" spans="3:53">
      <c r="Z326" s="91" t="s">
        <v>346</v>
      </c>
      <c r="AA326" s="84"/>
      <c r="AB326" s="85"/>
      <c r="AC326" s="85"/>
      <c r="AD326" s="85" t="s">
        <v>349</v>
      </c>
      <c r="AE326" s="85"/>
      <c r="AF326" s="85"/>
      <c r="AG326" s="86"/>
      <c r="AH326" s="91" t="s">
        <v>348</v>
      </c>
      <c r="AJ326" s="84" t="s">
        <v>350</v>
      </c>
      <c r="AK326" s="86" t="s">
        <v>351</v>
      </c>
      <c r="AR326" s="1" t="s">
        <v>358</v>
      </c>
    </row>
    <row r="327" spans="3:53">
      <c r="D327" s="1">
        <f>P324/E261</f>
        <v>0.11569787302468194</v>
      </c>
      <c r="F327" s="1" t="s">
        <v>457</v>
      </c>
      <c r="Z327" s="92">
        <f>D327</f>
        <v>0.11569787302468194</v>
      </c>
      <c r="AA327" s="38">
        <v>0</v>
      </c>
      <c r="AB327" s="87">
        <v>0.5</v>
      </c>
      <c r="AC327" s="87">
        <v>0.6</v>
      </c>
      <c r="AD327" s="87">
        <v>0.7</v>
      </c>
      <c r="AE327" s="87">
        <v>0.8</v>
      </c>
      <c r="AF327" s="87">
        <v>0.9</v>
      </c>
      <c r="AG327" s="88">
        <v>1</v>
      </c>
      <c r="AH327" s="92">
        <f>D330</f>
        <v>0.73333333333333328</v>
      </c>
      <c r="AJ327" s="38">
        <f>HLOOKUP(AH327,AA327:AG327,1,TRUE)</f>
        <v>0.7</v>
      </c>
      <c r="AK327" s="88">
        <f>LOOKUP(AJ327,AA323:AG323,AA324:AG324)</f>
        <v>0.8</v>
      </c>
      <c r="AR327" s="1" t="s">
        <v>359</v>
      </c>
      <c r="AT327" s="1">
        <f>PI()*(BA327^2-BA328^2)</f>
        <v>81.681408993334628</v>
      </c>
      <c r="AZ327" s="1" t="s">
        <v>318</v>
      </c>
      <c r="BA327" s="1">
        <f>E261</f>
        <v>7.5</v>
      </c>
    </row>
    <row r="328" spans="3:53">
      <c r="Z328" s="93">
        <v>0</v>
      </c>
      <c r="AA328" s="84">
        <v>2</v>
      </c>
      <c r="AB328" s="85">
        <v>2</v>
      </c>
      <c r="AC328" s="85">
        <v>2</v>
      </c>
      <c r="AD328" s="85">
        <v>2</v>
      </c>
      <c r="AE328" s="85">
        <v>2</v>
      </c>
      <c r="AF328" s="85">
        <v>2</v>
      </c>
      <c r="AG328" s="85">
        <v>2</v>
      </c>
      <c r="AH328" s="94">
        <f t="shared" ref="AH328:AH335" si="2">(AK328-AJ328)/($AK$327-$AJ$327)*($AH$327-$AJ$327)+AJ328</f>
        <v>2</v>
      </c>
      <c r="AJ328" s="37">
        <f t="shared" ref="AJ328:AJ344" si="3">LOOKUP($AJ$327,$AA$327:$AG$327,AA328:AG328)</f>
        <v>2</v>
      </c>
      <c r="AK328" s="95">
        <f t="shared" ref="AK328:AK344" si="4">LOOKUP($AK$327,$AA$327:$AG$327,AA328:AG328)</f>
        <v>2</v>
      </c>
      <c r="AM328" s="84">
        <f>Z328</f>
        <v>0</v>
      </c>
      <c r="AN328" s="86">
        <f>Z329</f>
        <v>0.25</v>
      </c>
      <c r="AR328" s="1" t="s">
        <v>360</v>
      </c>
      <c r="AT328" s="1">
        <f>2*BA327-BA329</f>
        <v>0</v>
      </c>
      <c r="AZ328" s="1" t="s">
        <v>319</v>
      </c>
      <c r="BA328" s="1">
        <f>E262</f>
        <v>5.5</v>
      </c>
    </row>
    <row r="329" spans="3:53">
      <c r="Z329" s="93">
        <v>0.25</v>
      </c>
      <c r="AA329" s="1">
        <v>2</v>
      </c>
      <c r="AB329" s="1">
        <v>2</v>
      </c>
      <c r="AC329" s="1">
        <v>2</v>
      </c>
      <c r="AD329" s="1">
        <v>2</v>
      </c>
      <c r="AE329" s="1">
        <v>2</v>
      </c>
      <c r="AF329" s="1">
        <v>2</v>
      </c>
      <c r="AG329" s="1">
        <v>2</v>
      </c>
      <c r="AH329" s="93">
        <f t="shared" si="2"/>
        <v>2</v>
      </c>
      <c r="AJ329" s="37">
        <f t="shared" si="3"/>
        <v>2</v>
      </c>
      <c r="AK329" s="95">
        <f t="shared" si="4"/>
        <v>2</v>
      </c>
      <c r="AM329" s="37">
        <f t="shared" ref="AM329:AM344" si="5">Z329</f>
        <v>0.25</v>
      </c>
      <c r="AN329" s="95">
        <f t="shared" ref="AN329:AN343" si="6">Z330</f>
        <v>0.3</v>
      </c>
      <c r="AR329" s="1" t="s">
        <v>361</v>
      </c>
      <c r="AT329" s="1">
        <f>2*ACOS((BA327-AT328)/BA327)</f>
        <v>0</v>
      </c>
      <c r="AZ329" s="1" t="s">
        <v>370</v>
      </c>
      <c r="BA329" s="1">
        <f>G340</f>
        <v>15</v>
      </c>
    </row>
    <row r="330" spans="3:53">
      <c r="D330" s="1">
        <f>E262/E261</f>
        <v>0.73333333333333328</v>
      </c>
      <c r="F330" s="1" t="s">
        <v>457</v>
      </c>
      <c r="Z330" s="93">
        <v>0.3</v>
      </c>
      <c r="AA330" s="37">
        <v>1.82</v>
      </c>
      <c r="AB330" s="1">
        <v>2</v>
      </c>
      <c r="AC330" s="1">
        <v>2</v>
      </c>
      <c r="AD330" s="1">
        <v>2</v>
      </c>
      <c r="AE330" s="1">
        <v>2</v>
      </c>
      <c r="AF330" s="1">
        <v>2</v>
      </c>
      <c r="AG330" s="1">
        <v>2</v>
      </c>
      <c r="AH330" s="93">
        <f t="shared" si="2"/>
        <v>2</v>
      </c>
      <c r="AJ330" s="37">
        <f t="shared" si="3"/>
        <v>2</v>
      </c>
      <c r="AK330" s="95">
        <f t="shared" si="4"/>
        <v>2</v>
      </c>
      <c r="AM330" s="37">
        <f t="shared" si="5"/>
        <v>0.3</v>
      </c>
      <c r="AN330" s="95">
        <f t="shared" si="6"/>
        <v>0.35</v>
      </c>
      <c r="AR330" s="1" t="s">
        <v>362</v>
      </c>
      <c r="AT330" s="1">
        <f>BA329-BA327</f>
        <v>7.5</v>
      </c>
    </row>
    <row r="331" spans="3:53">
      <c r="Z331" s="93">
        <v>0.35</v>
      </c>
      <c r="AA331" s="37">
        <v>1.66</v>
      </c>
      <c r="AB331" s="1">
        <v>1.89</v>
      </c>
      <c r="AC331" s="1">
        <v>1.95</v>
      </c>
      <c r="AD331" s="1">
        <v>2</v>
      </c>
      <c r="AE331" s="1">
        <v>2</v>
      </c>
      <c r="AF331" s="1">
        <v>2</v>
      </c>
      <c r="AG331" s="1">
        <v>2</v>
      </c>
      <c r="AH331" s="93">
        <f t="shared" si="2"/>
        <v>2</v>
      </c>
      <c r="AJ331" s="37">
        <f t="shared" si="3"/>
        <v>2</v>
      </c>
      <c r="AK331" s="95">
        <f t="shared" si="4"/>
        <v>2</v>
      </c>
      <c r="AM331" s="37">
        <f t="shared" si="5"/>
        <v>0.35</v>
      </c>
      <c r="AN331" s="95">
        <f t="shared" si="6"/>
        <v>0.4</v>
      </c>
      <c r="AR331" s="1" t="s">
        <v>363</v>
      </c>
      <c r="AT331" s="1" t="e">
        <f>2*ACOS(AT330/BA328)</f>
        <v>#NUM!</v>
      </c>
    </row>
    <row r="332" spans="3:53">
      <c r="Z332" s="93">
        <v>0.4</v>
      </c>
      <c r="AA332" s="37">
        <v>1.51</v>
      </c>
      <c r="AB332" s="1">
        <v>1.75</v>
      </c>
      <c r="AC332" s="1">
        <v>1.84</v>
      </c>
      <c r="AD332" s="1">
        <v>1.93</v>
      </c>
      <c r="AE332" s="1">
        <v>2</v>
      </c>
      <c r="AF332" s="1">
        <v>2</v>
      </c>
      <c r="AG332" s="1">
        <v>2</v>
      </c>
      <c r="AH332" s="93">
        <f t="shared" si="2"/>
        <v>1.9533333333333334</v>
      </c>
      <c r="AJ332" s="37">
        <f t="shared" si="3"/>
        <v>1.93</v>
      </c>
      <c r="AK332" s="95">
        <f t="shared" si="4"/>
        <v>2</v>
      </c>
      <c r="AM332" s="37">
        <f t="shared" si="5"/>
        <v>0.4</v>
      </c>
      <c r="AN332" s="95">
        <f t="shared" si="6"/>
        <v>0.45</v>
      </c>
      <c r="AR332" s="1" t="s">
        <v>364</v>
      </c>
      <c r="AT332" s="1">
        <f>ACOS(AT330/BA327)</f>
        <v>0</v>
      </c>
    </row>
    <row r="333" spans="3:53">
      <c r="C333" s="58" t="s">
        <v>343</v>
      </c>
      <c r="Z333" s="93">
        <v>0.45</v>
      </c>
      <c r="AA333" s="37">
        <v>1.37</v>
      </c>
      <c r="AB333" s="1">
        <v>1.61</v>
      </c>
      <c r="AC333" s="1">
        <v>1.71</v>
      </c>
      <c r="AD333" s="1">
        <v>1.81</v>
      </c>
      <c r="AE333" s="1">
        <v>1.9</v>
      </c>
      <c r="AF333" s="1">
        <v>2</v>
      </c>
      <c r="AG333" s="1">
        <v>2</v>
      </c>
      <c r="AH333" s="93">
        <f t="shared" si="2"/>
        <v>1.84</v>
      </c>
      <c r="AJ333" s="37">
        <f t="shared" si="3"/>
        <v>1.81</v>
      </c>
      <c r="AK333" s="95">
        <f t="shared" si="4"/>
        <v>1.9</v>
      </c>
      <c r="AM333" s="37">
        <f t="shared" si="5"/>
        <v>0.45</v>
      </c>
      <c r="AN333" s="95">
        <f t="shared" si="6"/>
        <v>0.5</v>
      </c>
      <c r="AR333" s="1" t="s">
        <v>365</v>
      </c>
      <c r="AT333" s="1">
        <f>BA327-BA329</f>
        <v>-7.5</v>
      </c>
    </row>
    <row r="334" spans="3:53">
      <c r="Z334" s="93">
        <v>0.5</v>
      </c>
      <c r="AA334" s="37">
        <v>1.23</v>
      </c>
      <c r="AB334" s="1">
        <v>1.46</v>
      </c>
      <c r="AC334" s="1">
        <v>1.56</v>
      </c>
      <c r="AD334" s="1">
        <v>1.66</v>
      </c>
      <c r="AE334" s="1">
        <v>1.78</v>
      </c>
      <c r="AF334" s="1">
        <v>1.89</v>
      </c>
      <c r="AG334" s="1">
        <v>2</v>
      </c>
      <c r="AH334" s="93">
        <f t="shared" si="2"/>
        <v>1.7</v>
      </c>
      <c r="AJ334" s="37">
        <f t="shared" si="3"/>
        <v>1.66</v>
      </c>
      <c r="AK334" s="95">
        <f t="shared" si="4"/>
        <v>1.78</v>
      </c>
      <c r="AM334" s="37">
        <f t="shared" si="5"/>
        <v>0.5</v>
      </c>
      <c r="AN334" s="95">
        <f t="shared" si="6"/>
        <v>0.55000000000000004</v>
      </c>
      <c r="AR334" s="1" t="s">
        <v>366</v>
      </c>
      <c r="AT334" s="1">
        <f>ACOS(AT333/BA327)</f>
        <v>3.1415926535897931</v>
      </c>
    </row>
    <row r="335" spans="3:53">
      <c r="Z335" s="93">
        <v>0.55000000000000004</v>
      </c>
      <c r="AA335" s="37">
        <v>1.1000000000000001</v>
      </c>
      <c r="AB335" s="1">
        <v>1.29</v>
      </c>
      <c r="AC335" s="1">
        <v>1.39</v>
      </c>
      <c r="AD335" s="1">
        <v>1.5</v>
      </c>
      <c r="AE335" s="1">
        <v>1.62</v>
      </c>
      <c r="AF335" s="1">
        <v>1.74</v>
      </c>
      <c r="AG335" s="1">
        <v>1.87</v>
      </c>
      <c r="AH335" s="93">
        <f t="shared" si="2"/>
        <v>1.54</v>
      </c>
      <c r="AJ335" s="37">
        <f t="shared" si="3"/>
        <v>1.5</v>
      </c>
      <c r="AK335" s="95">
        <f t="shared" si="4"/>
        <v>1.62</v>
      </c>
      <c r="AM335" s="37">
        <f t="shared" si="5"/>
        <v>0.55000000000000004</v>
      </c>
      <c r="AN335" s="95">
        <f t="shared" si="6"/>
        <v>0.6</v>
      </c>
      <c r="AR335" s="1" t="s">
        <v>367</v>
      </c>
      <c r="AT335" s="1" t="e">
        <f>2*ACOS(AT333/BA328)</f>
        <v>#NUM!</v>
      </c>
    </row>
    <row r="336" spans="3:53" ht="16.2">
      <c r="F336" s="11" t="s">
        <v>7</v>
      </c>
      <c r="G336" s="1">
        <f>PI()*(E261^2-E262^2)</f>
        <v>81.681408993334628</v>
      </c>
      <c r="H336" s="1" t="s">
        <v>458</v>
      </c>
      <c r="J336" s="1" t="s">
        <v>344</v>
      </c>
      <c r="Z336" s="93">
        <v>0.6</v>
      </c>
      <c r="AA336" s="37">
        <v>0.97</v>
      </c>
      <c r="AB336" s="1">
        <v>1.1200000000000001</v>
      </c>
      <c r="AC336" s="1">
        <v>1.21</v>
      </c>
      <c r="AD336" s="1">
        <v>1.32</v>
      </c>
      <c r="AE336" s="1">
        <v>1.45</v>
      </c>
      <c r="AF336" s="1">
        <v>1.58</v>
      </c>
      <c r="AG336" s="1">
        <v>1.71</v>
      </c>
      <c r="AH336" s="93">
        <f t="shared" ref="AH336:AH338" si="7">(AK336-AJ336)/($AK$327-$AJ$327)*($AH$327-$AJ$327)+AJ336</f>
        <v>1.3633333333333333</v>
      </c>
      <c r="AJ336" s="37">
        <f t="shared" si="3"/>
        <v>1.32</v>
      </c>
      <c r="AK336" s="95">
        <f t="shared" si="4"/>
        <v>1.45</v>
      </c>
      <c r="AM336" s="37">
        <f t="shared" si="5"/>
        <v>0.6</v>
      </c>
      <c r="AN336" s="95">
        <f t="shared" si="6"/>
        <v>0.65</v>
      </c>
      <c r="AR336" s="1" t="s">
        <v>368</v>
      </c>
      <c r="AT336" s="1">
        <f>2*ACOS((BA327-BA329)/BA327)</f>
        <v>6.2831853071795862</v>
      </c>
    </row>
    <row r="337" spans="3:50">
      <c r="Z337" s="93">
        <v>0.65</v>
      </c>
      <c r="AA337" s="37">
        <v>0.84</v>
      </c>
      <c r="AB337" s="1">
        <v>0.94</v>
      </c>
      <c r="AC337" s="1">
        <v>1.02</v>
      </c>
      <c r="AD337" s="1">
        <v>1.1299999999999999</v>
      </c>
      <c r="AE337" s="1">
        <v>1.25</v>
      </c>
      <c r="AF337" s="1">
        <v>1.4</v>
      </c>
      <c r="AG337" s="1">
        <v>1.54</v>
      </c>
      <c r="AH337" s="93">
        <f t="shared" si="7"/>
        <v>1.17</v>
      </c>
      <c r="AJ337" s="37">
        <f t="shared" si="3"/>
        <v>1.1299999999999999</v>
      </c>
      <c r="AK337" s="95">
        <f t="shared" si="4"/>
        <v>1.25</v>
      </c>
      <c r="AM337" s="37">
        <f t="shared" si="5"/>
        <v>0.65</v>
      </c>
      <c r="AN337" s="95">
        <f t="shared" si="6"/>
        <v>0.7</v>
      </c>
    </row>
    <row r="338" spans="3:50">
      <c r="C338" s="1" t="s">
        <v>352</v>
      </c>
      <c r="F338" s="11" t="s">
        <v>7</v>
      </c>
      <c r="G338" s="1">
        <f>AP325</f>
        <v>2</v>
      </c>
      <c r="J338" s="1" t="s">
        <v>353</v>
      </c>
      <c r="Z338" s="93">
        <v>0.7</v>
      </c>
      <c r="AA338" s="37">
        <v>0.72</v>
      </c>
      <c r="AB338" s="1">
        <v>0.75</v>
      </c>
      <c r="AC338" s="1">
        <v>0.82</v>
      </c>
      <c r="AD338" s="1">
        <v>0.93</v>
      </c>
      <c r="AE338" s="1">
        <v>1.05</v>
      </c>
      <c r="AF338" s="1">
        <v>1.2</v>
      </c>
      <c r="AG338" s="1">
        <v>1.35</v>
      </c>
      <c r="AH338" s="93">
        <f t="shared" si="7"/>
        <v>0.97</v>
      </c>
      <c r="AJ338" s="37">
        <f t="shared" si="3"/>
        <v>0.93</v>
      </c>
      <c r="AK338" s="95">
        <f t="shared" si="4"/>
        <v>1.05</v>
      </c>
      <c r="AM338" s="37">
        <f t="shared" si="5"/>
        <v>0.7</v>
      </c>
      <c r="AN338" s="95">
        <f t="shared" si="6"/>
        <v>0.75</v>
      </c>
      <c r="AR338" s="58" t="s">
        <v>369</v>
      </c>
      <c r="AT338" s="96">
        <f>IF(BA329&lt;=AW339,AT339,IF(BA329&lt;AW340,AT340,IF(BA329=AX341,AT341,IF(BA329&lt;AW342,AT342,IF(BA329&gt;=AV343,AT343,"CASO NO CONSIDERADO")))))</f>
        <v>0</v>
      </c>
      <c r="AV338" s="1" t="s">
        <v>376</v>
      </c>
      <c r="AW338" s="1" t="s">
        <v>377</v>
      </c>
      <c r="AX338" s="1" t="s">
        <v>378</v>
      </c>
    </row>
    <row r="339" spans="3:50">
      <c r="Z339" s="93">
        <v>0.75</v>
      </c>
      <c r="AA339" s="37">
        <v>0.59</v>
      </c>
      <c r="AB339" s="1">
        <v>0.6</v>
      </c>
      <c r="AC339" s="1">
        <v>0.64</v>
      </c>
      <c r="AD339" s="1">
        <v>0.72</v>
      </c>
      <c r="AE339" s="1">
        <v>0.85</v>
      </c>
      <c r="AF339" s="1">
        <v>0.98</v>
      </c>
      <c r="AG339" s="1">
        <v>1.1499999999999999</v>
      </c>
      <c r="AH339" s="93">
        <f t="shared" ref="AH339:AH344" si="8">(AK339-AJ339)/($AK$327-$AJ$327)*($AH$327-$AJ$327)+AJ339</f>
        <v>0.76333333333333331</v>
      </c>
      <c r="AJ339" s="37">
        <f t="shared" si="3"/>
        <v>0.72</v>
      </c>
      <c r="AK339" s="95">
        <f t="shared" si="4"/>
        <v>0.85</v>
      </c>
      <c r="AM339" s="37">
        <f t="shared" si="5"/>
        <v>0.75</v>
      </c>
      <c r="AN339" s="95">
        <f t="shared" si="6"/>
        <v>0.8</v>
      </c>
      <c r="AS339" s="1" t="s">
        <v>374</v>
      </c>
      <c r="AT339" s="1">
        <f>AT327-((BA327^2)/2*(AT336-SIN(AT336)))</f>
        <v>-95.033177771091232</v>
      </c>
      <c r="AW339" s="1">
        <f>BA327-BA328</f>
        <v>2</v>
      </c>
    </row>
    <row r="340" spans="3:50" ht="15.6">
      <c r="C340" s="1" t="s">
        <v>459</v>
      </c>
      <c r="F340" s="11" t="s">
        <v>7</v>
      </c>
      <c r="G340" s="63">
        <f>G338*E261</f>
        <v>15</v>
      </c>
      <c r="H340" s="1" t="s">
        <v>84</v>
      </c>
      <c r="J340" s="1" t="s">
        <v>354</v>
      </c>
      <c r="Z340" s="93">
        <v>0.8</v>
      </c>
      <c r="AA340" s="37">
        <v>0.47</v>
      </c>
      <c r="AB340" s="1">
        <v>0.47</v>
      </c>
      <c r="AC340" s="1">
        <v>0.48</v>
      </c>
      <c r="AD340" s="1">
        <v>0.52</v>
      </c>
      <c r="AE340" s="1">
        <v>0.61</v>
      </c>
      <c r="AF340" s="1">
        <v>0.77</v>
      </c>
      <c r="AG340" s="1">
        <v>0.94</v>
      </c>
      <c r="AH340" s="93">
        <f t="shared" si="8"/>
        <v>0.54999999999999993</v>
      </c>
      <c r="AJ340" s="37">
        <f t="shared" si="3"/>
        <v>0.52</v>
      </c>
      <c r="AK340" s="95">
        <f t="shared" si="4"/>
        <v>0.61</v>
      </c>
      <c r="AM340" s="37">
        <f t="shared" si="5"/>
        <v>0.8</v>
      </c>
      <c r="AN340" s="95">
        <f t="shared" si="6"/>
        <v>0.85</v>
      </c>
      <c r="AS340" s="1" t="s">
        <v>373</v>
      </c>
      <c r="AT340" s="1" t="e">
        <f>AT327-((2*AT334*(BA327^2)/2)-((1/2)*AT333*TAN(AT334)*AT333)*2-(BA328^2)/2*(AT335-SIN(AT335)))</f>
        <v>#NUM!</v>
      </c>
      <c r="AV340" s="1">
        <f>BA327-BA328</f>
        <v>2</v>
      </c>
      <c r="AW340" s="1">
        <f>BA327</f>
        <v>7.5</v>
      </c>
    </row>
    <row r="341" spans="3:50">
      <c r="Z341" s="93">
        <v>0.85</v>
      </c>
      <c r="AA341" s="37">
        <v>0.35</v>
      </c>
      <c r="AB341" s="1">
        <v>0.35</v>
      </c>
      <c r="AC341" s="1">
        <v>0.35</v>
      </c>
      <c r="AD341" s="1">
        <v>0.36</v>
      </c>
      <c r="AE341" s="1">
        <v>0.42</v>
      </c>
      <c r="AF341" s="1">
        <v>0.55000000000000004</v>
      </c>
      <c r="AG341" s="1">
        <v>0.72</v>
      </c>
      <c r="AH341" s="93">
        <f t="shared" si="8"/>
        <v>0.37999999999999995</v>
      </c>
      <c r="AJ341" s="37">
        <f t="shared" si="3"/>
        <v>0.36</v>
      </c>
      <c r="AK341" s="95">
        <f t="shared" si="4"/>
        <v>0.42</v>
      </c>
      <c r="AM341" s="37">
        <f t="shared" si="5"/>
        <v>0.85</v>
      </c>
      <c r="AN341" s="95">
        <f t="shared" si="6"/>
        <v>0.9</v>
      </c>
      <c r="AS341" s="1" t="s">
        <v>375</v>
      </c>
      <c r="AT341" s="1">
        <f>AT327/2</f>
        <v>40.840704496667314</v>
      </c>
      <c r="AX341" s="1">
        <f>BA327</f>
        <v>7.5</v>
      </c>
    </row>
    <row r="342" spans="3:50">
      <c r="C342" s="1" t="s">
        <v>355</v>
      </c>
      <c r="F342" s="11" t="s">
        <v>7</v>
      </c>
      <c r="G342" s="1">
        <f>AP348</f>
        <v>1.300814469864173</v>
      </c>
      <c r="J342" s="1" t="s">
        <v>353</v>
      </c>
      <c r="Z342" s="93">
        <v>0.9</v>
      </c>
      <c r="AA342" s="37">
        <v>0.24</v>
      </c>
      <c r="AB342" s="1">
        <v>0.24</v>
      </c>
      <c r="AC342" s="1">
        <v>0.24</v>
      </c>
      <c r="AD342" s="1">
        <v>0.24</v>
      </c>
      <c r="AE342" s="1">
        <v>0.24</v>
      </c>
      <c r="AF342" s="1">
        <v>0.32</v>
      </c>
      <c r="AG342" s="1">
        <v>0.49</v>
      </c>
      <c r="AH342" s="93">
        <f t="shared" si="8"/>
        <v>0.24</v>
      </c>
      <c r="AJ342" s="37">
        <f t="shared" si="3"/>
        <v>0.24</v>
      </c>
      <c r="AK342" s="95">
        <f t="shared" si="4"/>
        <v>0.24</v>
      </c>
      <c r="AM342" s="37">
        <f t="shared" si="5"/>
        <v>0.9</v>
      </c>
      <c r="AN342" s="95">
        <f t="shared" si="6"/>
        <v>0.95</v>
      </c>
      <c r="AS342" s="1" t="s">
        <v>372</v>
      </c>
      <c r="AT342" s="1" t="e">
        <f>(2*AT332*(BA327^2)/2)-((1/2)*AT330*TAN(AT332)*AT330)*2-(BA328^2)/2*(AT331-SIN(AT331))</f>
        <v>#NUM!</v>
      </c>
      <c r="AV342" s="1">
        <f>BA327</f>
        <v>7.5</v>
      </c>
      <c r="AW342" s="1">
        <f>2*BA327-(BA327-BA328)</f>
        <v>13</v>
      </c>
    </row>
    <row r="343" spans="3:50">
      <c r="Z343" s="97">
        <v>0.95</v>
      </c>
      <c r="AA343" s="38">
        <v>0.12</v>
      </c>
      <c r="AB343" s="87">
        <v>0.12</v>
      </c>
      <c r="AC343" s="87">
        <v>0.12</v>
      </c>
      <c r="AD343" s="87">
        <v>0.12</v>
      </c>
      <c r="AE343" s="87">
        <v>0.12</v>
      </c>
      <c r="AF343" s="87">
        <v>0.12</v>
      </c>
      <c r="AG343" s="87">
        <v>0.25</v>
      </c>
      <c r="AH343" s="97">
        <f t="shared" si="8"/>
        <v>0.12</v>
      </c>
      <c r="AJ343" s="37">
        <f t="shared" si="3"/>
        <v>0.12</v>
      </c>
      <c r="AK343" s="95">
        <f t="shared" si="4"/>
        <v>0.12</v>
      </c>
      <c r="AM343" s="37">
        <f t="shared" si="5"/>
        <v>0.95</v>
      </c>
      <c r="AN343" s="95">
        <f t="shared" si="6"/>
        <v>1</v>
      </c>
      <c r="AS343" s="1" t="s">
        <v>371</v>
      </c>
      <c r="AT343" s="1">
        <f>(BA327^2)/2*(AT329-SIN(AT329))</f>
        <v>0</v>
      </c>
      <c r="AV343" s="1">
        <f>BA327+BA328</f>
        <v>13</v>
      </c>
    </row>
    <row r="344" spans="3:50" ht="16.2">
      <c r="F344" s="11" t="s">
        <v>7</v>
      </c>
      <c r="G344" s="1">
        <f>P315/G336</f>
        <v>5.694413587493985</v>
      </c>
      <c r="H344" s="1" t="s">
        <v>460</v>
      </c>
      <c r="Z344" s="98">
        <v>1</v>
      </c>
      <c r="AA344" s="99">
        <f>AA343</f>
        <v>0.12</v>
      </c>
      <c r="AB344" s="99">
        <f t="shared" ref="AB344:AG344" si="9">AB343</f>
        <v>0.12</v>
      </c>
      <c r="AC344" s="99">
        <f t="shared" si="9"/>
        <v>0.12</v>
      </c>
      <c r="AD344" s="99">
        <f t="shared" si="9"/>
        <v>0.12</v>
      </c>
      <c r="AE344" s="99">
        <f t="shared" si="9"/>
        <v>0.12</v>
      </c>
      <c r="AF344" s="99">
        <f t="shared" si="9"/>
        <v>0.12</v>
      </c>
      <c r="AG344" s="99">
        <f t="shared" si="9"/>
        <v>0.25</v>
      </c>
      <c r="AH344" s="98">
        <f t="shared" si="8"/>
        <v>0.12</v>
      </c>
      <c r="AJ344" s="100">
        <f t="shared" si="3"/>
        <v>0.12</v>
      </c>
      <c r="AK344" s="101">
        <f t="shared" si="4"/>
        <v>0.12</v>
      </c>
      <c r="AM344" s="38">
        <f t="shared" si="5"/>
        <v>1</v>
      </c>
      <c r="AN344" s="88">
        <v>1</v>
      </c>
    </row>
    <row r="346" spans="3:50" ht="16.2">
      <c r="F346" s="11" t="s">
        <v>7</v>
      </c>
      <c r="G346" s="1">
        <f>G344*G342</f>
        <v>7.4073755920033317</v>
      </c>
      <c r="H346" s="1" t="s">
        <v>460</v>
      </c>
      <c r="J346" s="1" t="s">
        <v>356</v>
      </c>
    </row>
    <row r="347" spans="3:50">
      <c r="Z347" s="11" t="s">
        <v>347</v>
      </c>
      <c r="AM347" s="84">
        <f>VLOOKUP(Z349,Z350:Z370,1,TRUE)</f>
        <v>0.1</v>
      </c>
      <c r="AN347" s="85">
        <f>VLOOKUP(AM347,AM350:AN370,2,FALSE)</f>
        <v>0.15</v>
      </c>
      <c r="AO347" s="85"/>
      <c r="AP347" s="86" t="s">
        <v>347</v>
      </c>
    </row>
    <row r="348" spans="3:50" ht="15.6">
      <c r="C348" s="1" t="s">
        <v>461</v>
      </c>
      <c r="F348" s="11" t="s">
        <v>7</v>
      </c>
      <c r="G348" s="63">
        <f>(AT327-AT338)/AT327*100</f>
        <v>100</v>
      </c>
      <c r="H348" s="1" t="s">
        <v>357</v>
      </c>
      <c r="J348" s="11">
        <f>G348/100</f>
        <v>1</v>
      </c>
      <c r="L348" s="1" t="s">
        <v>379</v>
      </c>
      <c r="Z348" s="91" t="s">
        <v>346</v>
      </c>
      <c r="AA348" s="84"/>
      <c r="AB348" s="85"/>
      <c r="AC348" s="85"/>
      <c r="AD348" s="85" t="s">
        <v>349</v>
      </c>
      <c r="AE348" s="85"/>
      <c r="AF348" s="85"/>
      <c r="AG348" s="86"/>
      <c r="AH348" s="91" t="s">
        <v>348</v>
      </c>
      <c r="AJ348" s="102" t="s">
        <v>350</v>
      </c>
      <c r="AK348" s="89" t="s">
        <v>351</v>
      </c>
      <c r="AM348" s="38">
        <f>VLOOKUP(AM347,Z350:AH370,9,FALSE)</f>
        <v>1.26</v>
      </c>
      <c r="AN348" s="87">
        <f>VLOOKUP(AN347,Z350:AH370,9,FALSE)</f>
        <v>1.39</v>
      </c>
      <c r="AO348" s="87"/>
      <c r="AP348" s="90">
        <f>(AN348-AM348)/(AN347-AM347)*(Z349-AM347)+AM348</f>
        <v>1.300814469864173</v>
      </c>
    </row>
    <row r="349" spans="3:50">
      <c r="Z349" s="103">
        <f>D327</f>
        <v>0.11569787302468194</v>
      </c>
      <c r="AA349" s="38">
        <v>0</v>
      </c>
      <c r="AB349" s="87">
        <v>0.5</v>
      </c>
      <c r="AC349" s="87">
        <v>0.6</v>
      </c>
      <c r="AD349" s="87">
        <v>0.7</v>
      </c>
      <c r="AE349" s="87">
        <v>0.8</v>
      </c>
      <c r="AF349" s="87">
        <v>0.9</v>
      </c>
      <c r="AG349" s="88">
        <v>1</v>
      </c>
      <c r="AH349" s="104">
        <f>D330</f>
        <v>0.73333333333333328</v>
      </c>
      <c r="AJ349" s="38">
        <f>HLOOKUP(AH349,AA349:AG349,1,TRUE)</f>
        <v>0.7</v>
      </c>
      <c r="AK349" s="88">
        <f>LOOKUP(AJ349,AA323:AG323,AA324:AG324)</f>
        <v>0.8</v>
      </c>
    </row>
    <row r="350" spans="3:50" ht="16.2">
      <c r="C350" s="80" t="s">
        <v>462</v>
      </c>
      <c r="F350" s="11" t="s">
        <v>7</v>
      </c>
      <c r="G350" s="62">
        <v>125</v>
      </c>
      <c r="H350" s="1" t="s">
        <v>460</v>
      </c>
      <c r="J350" s="105">
        <f>G346/G350</f>
        <v>5.9259004736026653E-2</v>
      </c>
      <c r="L350" s="1" t="s">
        <v>380</v>
      </c>
      <c r="Z350" s="94">
        <v>0</v>
      </c>
      <c r="AA350" s="84">
        <v>1</v>
      </c>
      <c r="AB350" s="85">
        <v>1</v>
      </c>
      <c r="AC350" s="85">
        <v>1</v>
      </c>
      <c r="AD350" s="85">
        <v>1</v>
      </c>
      <c r="AE350" s="85">
        <v>1</v>
      </c>
      <c r="AF350" s="85">
        <v>1</v>
      </c>
      <c r="AG350" s="85">
        <v>1</v>
      </c>
      <c r="AH350" s="94">
        <f>(AK350-AJ350)/($AK$349-$AJ$349)*($AH$349-$AJ$349)+AJ350</f>
        <v>1</v>
      </c>
      <c r="AJ350" s="37">
        <f>LOOKUP($AJ$349,$AA$349:$AG$349,AA350:AG350)</f>
        <v>1</v>
      </c>
      <c r="AK350" s="95">
        <f>LOOKUP($AK$349,$AA$349:$AG$349,AA350:AG350)</f>
        <v>1</v>
      </c>
      <c r="AM350" s="84">
        <f>Z350</f>
        <v>0</v>
      </c>
      <c r="AN350" s="86">
        <f>Z351</f>
        <v>0.05</v>
      </c>
    </row>
    <row r="351" spans="3:50">
      <c r="Z351" s="93">
        <v>0.05</v>
      </c>
      <c r="AA351" s="37">
        <v>1.2</v>
      </c>
      <c r="AB351" s="1">
        <v>1.1599999999999999</v>
      </c>
      <c r="AC351" s="1">
        <v>1.1499999999999999</v>
      </c>
      <c r="AD351" s="1">
        <v>1.1299999999999999</v>
      </c>
      <c r="AE351" s="1">
        <v>1.1200000000000001</v>
      </c>
      <c r="AF351" s="1">
        <v>1.1100000000000001</v>
      </c>
      <c r="AG351" s="1">
        <v>1.1000000000000001</v>
      </c>
      <c r="AH351" s="93">
        <f>(AK351-AJ351)/($AK$349-$AJ$349)*($AH$349-$AJ$349)+AJ351</f>
        <v>1.1266666666666667</v>
      </c>
      <c r="AJ351" s="37">
        <f t="shared" ref="AJ351:AJ370" si="10">LOOKUP($AJ$349,$AA$349:$AG$349,AA351:AG351)</f>
        <v>1.1299999999999999</v>
      </c>
      <c r="AK351" s="95">
        <f t="shared" ref="AK351:AK370" si="11">LOOKUP($AK$349,$AA$349:$AG$349,AA351:AG351)</f>
        <v>1.1200000000000001</v>
      </c>
      <c r="AM351" s="37">
        <f t="shared" ref="AM351:AM370" si="12">Z351</f>
        <v>0.05</v>
      </c>
      <c r="AN351" s="95">
        <f t="shared" ref="AN351:AN369" si="13">Z352</f>
        <v>0.1</v>
      </c>
    </row>
    <row r="352" spans="3:50">
      <c r="Z352" s="93">
        <v>0.1</v>
      </c>
      <c r="AA352" s="37">
        <v>1.4</v>
      </c>
      <c r="AB352" s="1">
        <v>1.3199999999999998</v>
      </c>
      <c r="AC352" s="1">
        <v>1.2999999999999998</v>
      </c>
      <c r="AD352" s="1">
        <v>1.27</v>
      </c>
      <c r="AE352" s="1">
        <v>1.2400000000000002</v>
      </c>
      <c r="AF352" s="1">
        <v>1.2200000000000002</v>
      </c>
      <c r="AG352" s="1">
        <v>1.2000000000000002</v>
      </c>
      <c r="AH352" s="93">
        <f>(AK352-AJ352)/($AK$349-$AJ$349)*($AH$349-$AJ$349)+AJ352</f>
        <v>1.26</v>
      </c>
      <c r="AJ352" s="37">
        <f t="shared" si="10"/>
        <v>1.27</v>
      </c>
      <c r="AK352" s="95">
        <f t="shared" si="11"/>
        <v>1.2400000000000002</v>
      </c>
      <c r="AM352" s="37">
        <f t="shared" si="12"/>
        <v>0.1</v>
      </c>
      <c r="AN352" s="95">
        <f t="shared" si="13"/>
        <v>0.15</v>
      </c>
    </row>
    <row r="353" spans="2:40">
      <c r="C353" s="1" t="s">
        <v>382</v>
      </c>
      <c r="D353" s="1" t="s">
        <v>383</v>
      </c>
      <c r="Z353" s="93">
        <v>0.15</v>
      </c>
      <c r="AA353" s="37">
        <v>1.6</v>
      </c>
      <c r="AB353" s="1">
        <v>1.4799999999999998</v>
      </c>
      <c r="AC353" s="1">
        <v>1.4499999999999997</v>
      </c>
      <c r="AD353" s="1">
        <v>1.4</v>
      </c>
      <c r="AE353" s="1">
        <v>1.37</v>
      </c>
      <c r="AF353" s="1">
        <v>1.3300000000000003</v>
      </c>
      <c r="AG353" s="1">
        <v>1.3000000000000003</v>
      </c>
      <c r="AH353" s="93">
        <f t="shared" ref="AH353:AH370" si="14">(AK353-AJ353)/($AK$349-$AJ$349)*($AH$349-$AJ$349)+AJ353</f>
        <v>1.39</v>
      </c>
      <c r="AJ353" s="37">
        <f t="shared" si="10"/>
        <v>1.4</v>
      </c>
      <c r="AK353" s="95">
        <f t="shared" si="11"/>
        <v>1.37</v>
      </c>
      <c r="AM353" s="37">
        <f t="shared" si="12"/>
        <v>0.15</v>
      </c>
      <c r="AN353" s="95">
        <f t="shared" si="13"/>
        <v>0.2</v>
      </c>
    </row>
    <row r="354" spans="2:40">
      <c r="Z354" s="93">
        <v>0.2</v>
      </c>
      <c r="AA354" s="37">
        <v>1.8</v>
      </c>
      <c r="AB354" s="1">
        <v>1.6399999999999997</v>
      </c>
      <c r="AC354" s="1">
        <v>1.59</v>
      </c>
      <c r="AD354" s="1">
        <v>1.54</v>
      </c>
      <c r="AE354" s="1">
        <v>1.4900000000000002</v>
      </c>
      <c r="AF354" s="1">
        <v>1.4400000000000004</v>
      </c>
      <c r="AG354" s="1">
        <v>1.4000000000000004</v>
      </c>
      <c r="AH354" s="93">
        <f t="shared" si="14"/>
        <v>1.5233333333333334</v>
      </c>
      <c r="AJ354" s="37">
        <f t="shared" si="10"/>
        <v>1.54</v>
      </c>
      <c r="AK354" s="95">
        <f t="shared" si="11"/>
        <v>1.4900000000000002</v>
      </c>
      <c r="AM354" s="37">
        <f t="shared" si="12"/>
        <v>0.2</v>
      </c>
      <c r="AN354" s="95">
        <f t="shared" si="13"/>
        <v>0.25</v>
      </c>
    </row>
    <row r="355" spans="2:40">
      <c r="C355" s="77" t="s">
        <v>18</v>
      </c>
      <c r="F355" s="11" t="s">
        <v>7</v>
      </c>
      <c r="G355" s="75">
        <v>0.24</v>
      </c>
      <c r="J355" s="1" t="s">
        <v>409</v>
      </c>
      <c r="Z355" s="93">
        <v>0.25</v>
      </c>
      <c r="AA355" s="37">
        <v>2</v>
      </c>
      <c r="AB355" s="1">
        <v>1.7999999999999996</v>
      </c>
      <c r="AC355" s="1">
        <v>1.73</v>
      </c>
      <c r="AD355" s="1">
        <v>1.67</v>
      </c>
      <c r="AE355" s="1">
        <v>1.6100000000000003</v>
      </c>
      <c r="AF355" s="1">
        <v>1.5500000000000005</v>
      </c>
      <c r="AG355" s="1">
        <v>1.5000000000000004</v>
      </c>
      <c r="AH355" s="93">
        <f t="shared" si="14"/>
        <v>1.6500000000000001</v>
      </c>
      <c r="AJ355" s="37">
        <f t="shared" si="10"/>
        <v>1.67</v>
      </c>
      <c r="AK355" s="95">
        <f t="shared" si="11"/>
        <v>1.6100000000000003</v>
      </c>
      <c r="AM355" s="37">
        <f t="shared" si="12"/>
        <v>0.25</v>
      </c>
      <c r="AN355" s="95">
        <f t="shared" si="13"/>
        <v>0.3</v>
      </c>
    </row>
    <row r="356" spans="2:40">
      <c r="Z356" s="93">
        <v>0.3</v>
      </c>
      <c r="AA356" s="37">
        <v>2.23</v>
      </c>
      <c r="AB356" s="1">
        <v>1.9599999999999995</v>
      </c>
      <c r="AC356" s="1">
        <v>1.88</v>
      </c>
      <c r="AD356" s="1">
        <v>1.81</v>
      </c>
      <c r="AE356" s="1">
        <v>1.7300000000000004</v>
      </c>
      <c r="AF356" s="1">
        <v>1.6600000000000006</v>
      </c>
      <c r="AG356" s="1">
        <v>1.6000000000000005</v>
      </c>
      <c r="AH356" s="93">
        <f t="shared" si="14"/>
        <v>1.7833333333333334</v>
      </c>
      <c r="AJ356" s="37">
        <f t="shared" si="10"/>
        <v>1.81</v>
      </c>
      <c r="AK356" s="95">
        <f t="shared" si="11"/>
        <v>1.7300000000000004</v>
      </c>
      <c r="AM356" s="37">
        <f t="shared" si="12"/>
        <v>0.3</v>
      </c>
      <c r="AN356" s="95">
        <f t="shared" si="13"/>
        <v>0.35</v>
      </c>
    </row>
    <row r="357" spans="2:40">
      <c r="G357" s="63">
        <f>E247*PI()*E262^2*E260</f>
        <v>367.7783979741231</v>
      </c>
      <c r="H357" s="1" t="s">
        <v>16</v>
      </c>
      <c r="J357" s="1" t="s">
        <v>384</v>
      </c>
      <c r="Z357" s="93">
        <v>0.35</v>
      </c>
      <c r="AA357" s="37">
        <v>2.4300000000000002</v>
      </c>
      <c r="AB357" s="1">
        <v>2.1199999999999997</v>
      </c>
      <c r="AC357" s="1">
        <v>2.04</v>
      </c>
      <c r="AD357" s="1">
        <v>1.94</v>
      </c>
      <c r="AE357" s="1">
        <v>1.8500000000000005</v>
      </c>
      <c r="AF357" s="1">
        <v>1.7700000000000007</v>
      </c>
      <c r="AG357" s="1">
        <v>1.7000000000000006</v>
      </c>
      <c r="AH357" s="93">
        <f t="shared" si="14"/>
        <v>1.9100000000000001</v>
      </c>
      <c r="AJ357" s="37">
        <f t="shared" si="10"/>
        <v>1.94</v>
      </c>
      <c r="AK357" s="95">
        <f t="shared" si="11"/>
        <v>1.8500000000000005</v>
      </c>
      <c r="AM357" s="37">
        <f t="shared" si="12"/>
        <v>0.35</v>
      </c>
      <c r="AN357" s="95">
        <f t="shared" si="13"/>
        <v>0.4</v>
      </c>
    </row>
    <row r="358" spans="2:40">
      <c r="Z358" s="93">
        <v>0.4</v>
      </c>
      <c r="AA358" s="37">
        <v>2.76</v>
      </c>
      <c r="AB358" s="1">
        <v>2.29</v>
      </c>
      <c r="AC358" s="1">
        <v>2.2000000000000002</v>
      </c>
      <c r="AD358" s="1">
        <v>2.0699999999999998</v>
      </c>
      <c r="AE358" s="1">
        <v>1.98</v>
      </c>
      <c r="AF358" s="1">
        <v>1.8800000000000008</v>
      </c>
      <c r="AG358" s="1">
        <v>1.8000000000000007</v>
      </c>
      <c r="AH358" s="93">
        <f t="shared" si="14"/>
        <v>2.04</v>
      </c>
      <c r="AJ358" s="37">
        <f t="shared" si="10"/>
        <v>2.0699999999999998</v>
      </c>
      <c r="AK358" s="95">
        <f t="shared" si="11"/>
        <v>1.98</v>
      </c>
      <c r="AM358" s="37">
        <f t="shared" si="12"/>
        <v>0.4</v>
      </c>
      <c r="AN358" s="95">
        <f t="shared" si="13"/>
        <v>0.45</v>
      </c>
    </row>
    <row r="359" spans="2:40">
      <c r="H359" s="1">
        <f>(G355*P315+TAN(E248*PI()/180)*G357)/P320</f>
        <v>3.3107254741512855</v>
      </c>
      <c r="I359" s="1" t="str">
        <f>IF(H359&gt;=1.5,"≥ 1.5","&lt; 1.5")</f>
        <v>≥ 1.5</v>
      </c>
      <c r="J359" s="105">
        <f>H359</f>
        <v>3.3107254741512855</v>
      </c>
      <c r="Z359" s="93">
        <v>0.45</v>
      </c>
      <c r="AA359" s="37">
        <v>3.11</v>
      </c>
      <c r="AB359" s="1">
        <v>2.5099999999999998</v>
      </c>
      <c r="AC359" s="1">
        <v>2.39</v>
      </c>
      <c r="AD359" s="1">
        <v>2.23</v>
      </c>
      <c r="AE359" s="1">
        <v>2.1</v>
      </c>
      <c r="AF359" s="1">
        <v>1.9900000000000009</v>
      </c>
      <c r="AG359" s="1">
        <v>1.9000000000000008</v>
      </c>
      <c r="AH359" s="93">
        <f t="shared" si="14"/>
        <v>2.1866666666666665</v>
      </c>
      <c r="AJ359" s="37">
        <f t="shared" si="10"/>
        <v>2.23</v>
      </c>
      <c r="AK359" s="95">
        <f t="shared" si="11"/>
        <v>2.1</v>
      </c>
      <c r="AM359" s="37">
        <f t="shared" si="12"/>
        <v>0.45</v>
      </c>
      <c r="AN359" s="95">
        <f t="shared" si="13"/>
        <v>0.5</v>
      </c>
    </row>
    <row r="360" spans="2:40">
      <c r="Z360" s="93">
        <v>0.5</v>
      </c>
      <c r="AA360" s="37">
        <v>3.55</v>
      </c>
      <c r="AB360" s="1">
        <v>2.8</v>
      </c>
      <c r="AC360" s="1">
        <v>2.61</v>
      </c>
      <c r="AD360" s="1">
        <v>2.42</v>
      </c>
      <c r="AE360" s="1">
        <v>2.2599999999999998</v>
      </c>
      <c r="AF360" s="1">
        <v>2.100000000000001</v>
      </c>
      <c r="AG360" s="1">
        <v>2.0000000000000009</v>
      </c>
      <c r="AH360" s="93">
        <f t="shared" si="14"/>
        <v>2.3666666666666667</v>
      </c>
      <c r="AJ360" s="37">
        <f t="shared" si="10"/>
        <v>2.42</v>
      </c>
      <c r="AK360" s="95">
        <f t="shared" si="11"/>
        <v>2.2599999999999998</v>
      </c>
      <c r="AM360" s="37">
        <f t="shared" si="12"/>
        <v>0.5</v>
      </c>
      <c r="AN360" s="95">
        <f t="shared" si="13"/>
        <v>0.55000000000000004</v>
      </c>
    </row>
    <row r="361" spans="2:40">
      <c r="Z361" s="93">
        <v>0.55000000000000004</v>
      </c>
      <c r="AA361" s="37">
        <v>4.1500000000000004</v>
      </c>
      <c r="AB361" s="1">
        <v>3.14</v>
      </c>
      <c r="AC361" s="1">
        <v>2.89</v>
      </c>
      <c r="AD361" s="1">
        <v>2.67</v>
      </c>
      <c r="AE361" s="1">
        <v>2.42</v>
      </c>
      <c r="AF361" s="1">
        <v>2.25</v>
      </c>
      <c r="AG361" s="1">
        <v>2.17</v>
      </c>
      <c r="AH361" s="93">
        <f t="shared" si="14"/>
        <v>2.5866666666666669</v>
      </c>
      <c r="AJ361" s="37">
        <f t="shared" si="10"/>
        <v>2.67</v>
      </c>
      <c r="AK361" s="95">
        <f t="shared" si="11"/>
        <v>2.42</v>
      </c>
      <c r="AM361" s="37">
        <f t="shared" si="12"/>
        <v>0.55000000000000004</v>
      </c>
      <c r="AN361" s="95">
        <f t="shared" si="13"/>
        <v>0.6</v>
      </c>
    </row>
    <row r="362" spans="2:40">
      <c r="Z362" s="93">
        <v>0.6</v>
      </c>
      <c r="AA362" s="37">
        <v>4.96</v>
      </c>
      <c r="AB362" s="1">
        <v>3.58</v>
      </c>
      <c r="AC362" s="1">
        <v>3.24</v>
      </c>
      <c r="AD362" s="1">
        <v>2.92</v>
      </c>
      <c r="AE362" s="1">
        <v>2.64</v>
      </c>
      <c r="AF362" s="1">
        <v>2.42</v>
      </c>
      <c r="AG362" s="1">
        <v>2.2000000000000002</v>
      </c>
      <c r="AH362" s="93">
        <f t="shared" si="14"/>
        <v>2.8266666666666667</v>
      </c>
      <c r="AJ362" s="37">
        <f t="shared" si="10"/>
        <v>2.92</v>
      </c>
      <c r="AK362" s="95">
        <f t="shared" si="11"/>
        <v>2.64</v>
      </c>
      <c r="AM362" s="37">
        <f t="shared" si="12"/>
        <v>0.6</v>
      </c>
      <c r="AN362" s="95">
        <f t="shared" si="13"/>
        <v>0.65</v>
      </c>
    </row>
    <row r="363" spans="2:40">
      <c r="B363" s="1" t="s">
        <v>139</v>
      </c>
      <c r="C363" s="1" t="s">
        <v>339</v>
      </c>
      <c r="Z363" s="93">
        <v>0.65</v>
      </c>
      <c r="AA363" s="37">
        <v>6</v>
      </c>
      <c r="AB363" s="1">
        <v>4.34</v>
      </c>
      <c r="AC363" s="1">
        <v>3.8</v>
      </c>
      <c r="AD363" s="1">
        <v>3.3</v>
      </c>
      <c r="AE363" s="1">
        <v>2.95</v>
      </c>
      <c r="AF363" s="1">
        <v>2.64</v>
      </c>
      <c r="AG363" s="1">
        <v>2.42</v>
      </c>
      <c r="AH363" s="93">
        <f t="shared" si="14"/>
        <v>3.1833333333333336</v>
      </c>
      <c r="AJ363" s="37">
        <f t="shared" si="10"/>
        <v>3.3</v>
      </c>
      <c r="AK363" s="95">
        <f t="shared" si="11"/>
        <v>2.95</v>
      </c>
      <c r="AM363" s="37">
        <f t="shared" si="12"/>
        <v>0.65</v>
      </c>
      <c r="AN363" s="95">
        <f t="shared" si="13"/>
        <v>0.7</v>
      </c>
    </row>
    <row r="364" spans="2:40">
      <c r="Z364" s="93">
        <v>0.7</v>
      </c>
      <c r="AA364" s="37">
        <v>7.43</v>
      </c>
      <c r="AB364" s="1">
        <v>5.4</v>
      </c>
      <c r="AC364" s="1">
        <v>4.25</v>
      </c>
      <c r="AD364" s="1">
        <v>3.8</v>
      </c>
      <c r="AE364" s="1">
        <v>3.33</v>
      </c>
      <c r="AF364" s="1">
        <v>2.95</v>
      </c>
      <c r="AG364" s="1">
        <v>2.54</v>
      </c>
      <c r="AH364" s="93">
        <f t="shared" si="14"/>
        <v>3.6433333333333335</v>
      </c>
      <c r="AJ364" s="37">
        <f t="shared" si="10"/>
        <v>3.8</v>
      </c>
      <c r="AK364" s="95">
        <f t="shared" si="11"/>
        <v>3.33</v>
      </c>
      <c r="AM364" s="37">
        <f t="shared" si="12"/>
        <v>0.7</v>
      </c>
      <c r="AN364" s="95">
        <f t="shared" si="13"/>
        <v>0.75</v>
      </c>
    </row>
    <row r="365" spans="2:40">
      <c r="C365" s="1" t="s">
        <v>340</v>
      </c>
      <c r="D365" s="1" t="s">
        <v>341</v>
      </c>
      <c r="Z365" s="93">
        <v>0.75</v>
      </c>
      <c r="AA365" s="37">
        <v>9.93</v>
      </c>
      <c r="AB365" s="1">
        <v>7.23</v>
      </c>
      <c r="AC365" s="1">
        <v>5.97</v>
      </c>
      <c r="AD365" s="1">
        <v>4.8099999999999996</v>
      </c>
      <c r="AE365" s="1">
        <v>3.93</v>
      </c>
      <c r="AF365" s="1">
        <v>3.33</v>
      </c>
      <c r="AG365" s="1">
        <v>2.89</v>
      </c>
      <c r="AH365" s="93">
        <f t="shared" si="14"/>
        <v>4.5166666666666666</v>
      </c>
      <c r="AJ365" s="37">
        <f t="shared" si="10"/>
        <v>4.8099999999999996</v>
      </c>
      <c r="AK365" s="95">
        <f t="shared" si="11"/>
        <v>3.93</v>
      </c>
      <c r="AM365" s="37">
        <f t="shared" si="12"/>
        <v>0.75</v>
      </c>
      <c r="AN365" s="95">
        <f t="shared" si="13"/>
        <v>0.8</v>
      </c>
    </row>
    <row r="366" spans="2:40">
      <c r="Z366" s="93">
        <v>0.8</v>
      </c>
      <c r="AA366" s="37">
        <v>13.87</v>
      </c>
      <c r="AB366" s="1">
        <v>10.050000000000001</v>
      </c>
      <c r="AC366" s="1">
        <v>8.82</v>
      </c>
      <c r="AD366" s="1">
        <v>6.53</v>
      </c>
      <c r="AE366" s="1">
        <v>4.93</v>
      </c>
      <c r="AF366" s="1">
        <v>3.96</v>
      </c>
      <c r="AG366" s="1">
        <v>3.27</v>
      </c>
      <c r="AH366" s="93">
        <f t="shared" si="14"/>
        <v>5.996666666666667</v>
      </c>
      <c r="AJ366" s="37">
        <f t="shared" si="10"/>
        <v>6.53</v>
      </c>
      <c r="AK366" s="95">
        <f t="shared" si="11"/>
        <v>4.93</v>
      </c>
      <c r="AM366" s="37">
        <f t="shared" si="12"/>
        <v>0.8</v>
      </c>
      <c r="AN366" s="95">
        <f t="shared" si="13"/>
        <v>0.85</v>
      </c>
    </row>
    <row r="367" spans="2:40" ht="15.6">
      <c r="C367" s="1" t="s">
        <v>449</v>
      </c>
      <c r="I367" s="1" t="s">
        <v>342</v>
      </c>
      <c r="N367" s="1" t="s">
        <v>450</v>
      </c>
      <c r="O367" s="11" t="s">
        <v>7</v>
      </c>
      <c r="P367" s="63">
        <f>P313</f>
        <v>235.54779429710524</v>
      </c>
      <c r="Q367" s="1" t="s">
        <v>16</v>
      </c>
      <c r="Z367" s="93">
        <v>0.85</v>
      </c>
      <c r="AA367" s="37">
        <v>21.08</v>
      </c>
      <c r="AB367" s="1">
        <v>15.55</v>
      </c>
      <c r="AC367" s="1">
        <v>13.32</v>
      </c>
      <c r="AD367" s="1">
        <v>10.43</v>
      </c>
      <c r="AE367" s="1">
        <v>7.16</v>
      </c>
      <c r="AF367" s="1">
        <v>4.9000000000000004</v>
      </c>
      <c r="AG367" s="1">
        <v>3.77</v>
      </c>
      <c r="AH367" s="93">
        <f t="shared" si="14"/>
        <v>9.3400000000000016</v>
      </c>
      <c r="AJ367" s="37">
        <f t="shared" si="10"/>
        <v>10.43</v>
      </c>
      <c r="AK367" s="95">
        <f t="shared" si="11"/>
        <v>7.16</v>
      </c>
      <c r="AM367" s="37">
        <f t="shared" si="12"/>
        <v>0.85</v>
      </c>
      <c r="AN367" s="95">
        <f t="shared" si="13"/>
        <v>0.9</v>
      </c>
    </row>
    <row r="368" spans="2:40">
      <c r="P368" s="63"/>
      <c r="Z368" s="93">
        <v>0.9</v>
      </c>
      <c r="AA368" s="37">
        <v>38.25</v>
      </c>
      <c r="AB368" s="1">
        <v>30.8</v>
      </c>
      <c r="AC368" s="1">
        <v>25.8</v>
      </c>
      <c r="AD368" s="1">
        <v>19.850000000000001</v>
      </c>
      <c r="AE368" s="1">
        <v>14.6</v>
      </c>
      <c r="AF368" s="1">
        <v>7.13</v>
      </c>
      <c r="AG368" s="1">
        <v>4.71</v>
      </c>
      <c r="AH368" s="93">
        <f t="shared" si="14"/>
        <v>18.100000000000001</v>
      </c>
      <c r="AJ368" s="37">
        <f t="shared" si="10"/>
        <v>19.850000000000001</v>
      </c>
      <c r="AK368" s="95">
        <f t="shared" si="11"/>
        <v>14.6</v>
      </c>
      <c r="AM368" s="37">
        <f t="shared" si="12"/>
        <v>0.9</v>
      </c>
      <c r="AN368" s="95">
        <f t="shared" si="13"/>
        <v>0.95</v>
      </c>
    </row>
    <row r="369" spans="3:53" ht="15.6">
      <c r="N369" s="1" t="s">
        <v>463</v>
      </c>
      <c r="O369" s="11" t="s">
        <v>7</v>
      </c>
      <c r="P369" s="63">
        <f>(1+P103*P107)*(P313+P270+P290)</f>
        <v>697.69158782594707</v>
      </c>
      <c r="Q369" s="1" t="s">
        <v>16</v>
      </c>
      <c r="Z369" s="97">
        <v>0.95</v>
      </c>
      <c r="AA369" s="38">
        <v>99.1</v>
      </c>
      <c r="AB369" s="87">
        <v>72.72</v>
      </c>
      <c r="AC369" s="87">
        <v>62.2</v>
      </c>
      <c r="AD369" s="87">
        <v>50.2</v>
      </c>
      <c r="AE369" s="87">
        <v>34.6</v>
      </c>
      <c r="AF369" s="87">
        <v>19.8</v>
      </c>
      <c r="AG369" s="87">
        <v>6.72</v>
      </c>
      <c r="AH369" s="97">
        <f t="shared" si="14"/>
        <v>45.000000000000007</v>
      </c>
      <c r="AJ369" s="37">
        <f t="shared" si="10"/>
        <v>50.2</v>
      </c>
      <c r="AK369" s="95">
        <f t="shared" si="11"/>
        <v>34.6</v>
      </c>
      <c r="AM369" s="37">
        <f t="shared" si="12"/>
        <v>0.95</v>
      </c>
      <c r="AN369" s="95">
        <f t="shared" si="13"/>
        <v>1</v>
      </c>
    </row>
    <row r="370" spans="3:53">
      <c r="Z370" s="98">
        <v>1</v>
      </c>
      <c r="AA370" s="99">
        <f>AA369</f>
        <v>99.1</v>
      </c>
      <c r="AB370" s="99">
        <f t="shared" ref="AB370" si="15">AB369</f>
        <v>72.72</v>
      </c>
      <c r="AC370" s="99">
        <f t="shared" ref="AC370" si="16">AC369</f>
        <v>62.2</v>
      </c>
      <c r="AD370" s="99">
        <f t="shared" ref="AD370" si="17">AD369</f>
        <v>50.2</v>
      </c>
      <c r="AE370" s="99">
        <f t="shared" ref="AE370" si="18">AE369</f>
        <v>34.6</v>
      </c>
      <c r="AF370" s="99">
        <f t="shared" ref="AF370" si="19">AF369</f>
        <v>19.8</v>
      </c>
      <c r="AG370" s="99">
        <f t="shared" ref="AG370" si="20">AG369</f>
        <v>6.72</v>
      </c>
      <c r="AH370" s="98">
        <f t="shared" si="14"/>
        <v>45.000000000000007</v>
      </c>
      <c r="AJ370" s="100">
        <f t="shared" si="10"/>
        <v>50.2</v>
      </c>
      <c r="AK370" s="101">
        <f t="shared" si="11"/>
        <v>34.6</v>
      </c>
      <c r="AM370" s="38">
        <f t="shared" si="12"/>
        <v>1</v>
      </c>
      <c r="AN370" s="88">
        <v>1</v>
      </c>
    </row>
    <row r="372" spans="3:53" ht="15.6">
      <c r="I372" s="10"/>
      <c r="N372" s="1" t="s">
        <v>452</v>
      </c>
      <c r="O372" s="11" t="s">
        <v>7</v>
      </c>
      <c r="P372" s="63">
        <f>P318</f>
        <v>9.9401955054989504</v>
      </c>
      <c r="Q372" s="1" t="s">
        <v>16</v>
      </c>
    </row>
    <row r="374" spans="3:53" ht="15.6">
      <c r="C374" s="1" t="s">
        <v>453</v>
      </c>
      <c r="N374" s="1" t="s">
        <v>454</v>
      </c>
      <c r="O374" s="11" t="s">
        <v>7</v>
      </c>
      <c r="P374" s="63">
        <f>P372+P162</f>
        <v>97.853963928462207</v>
      </c>
      <c r="Q374" s="1" t="s">
        <v>16</v>
      </c>
    </row>
    <row r="376" spans="3:53" ht="15.6">
      <c r="N376" s="1" t="s">
        <v>455</v>
      </c>
      <c r="O376" s="11" t="s">
        <v>7</v>
      </c>
      <c r="P376" s="63">
        <f>P192+P162*E260+P372*(E260-(E260-E258/1000)/2)</f>
        <v>403.60716369337575</v>
      </c>
      <c r="Q376" s="1" t="s">
        <v>279</v>
      </c>
    </row>
    <row r="377" spans="3:53">
      <c r="AA377" s="84">
        <v>0</v>
      </c>
      <c r="AB377" s="85">
        <f>AB381</f>
        <v>0.5</v>
      </c>
      <c r="AC377" s="85">
        <f t="shared" ref="AC377:AG377" si="21">AC381</f>
        <v>0.6</v>
      </c>
      <c r="AD377" s="85">
        <f t="shared" si="21"/>
        <v>0.7</v>
      </c>
      <c r="AE377" s="85">
        <f t="shared" si="21"/>
        <v>0.8</v>
      </c>
      <c r="AF377" s="85">
        <f t="shared" si="21"/>
        <v>0.9</v>
      </c>
      <c r="AG377" s="86">
        <f t="shared" si="21"/>
        <v>1</v>
      </c>
    </row>
    <row r="378" spans="3:53" ht="15.6">
      <c r="N378" s="1" t="s">
        <v>464</v>
      </c>
      <c r="O378" s="11" t="s">
        <v>7</v>
      </c>
      <c r="P378" s="1">
        <f>P376/P369</f>
        <v>0.57848936512340965</v>
      </c>
      <c r="Q378" s="1" t="s">
        <v>84</v>
      </c>
      <c r="AA378" s="38">
        <f>AB381</f>
        <v>0.5</v>
      </c>
      <c r="AB378" s="87">
        <f t="shared" ref="AB378" si="22">AC381</f>
        <v>0.6</v>
      </c>
      <c r="AC378" s="87">
        <f t="shared" ref="AC378" si="23">AD381</f>
        <v>0.7</v>
      </c>
      <c r="AD378" s="87">
        <f t="shared" ref="AD378" si="24">AE381</f>
        <v>0.8</v>
      </c>
      <c r="AE378" s="87">
        <f t="shared" ref="AE378" si="25">AF381</f>
        <v>0.9</v>
      </c>
      <c r="AF378" s="87">
        <f t="shared" ref="AF378" si="26">AG381</f>
        <v>1</v>
      </c>
      <c r="AG378" s="88">
        <v>1</v>
      </c>
      <c r="AM378" s="84">
        <f>VLOOKUP(Z381,Z382:Z397,1,TRUE)</f>
        <v>0</v>
      </c>
      <c r="AN378" s="85">
        <f>VLOOKUP(AM378,AM382:AN398,2,FALSE)</f>
        <v>0.25</v>
      </c>
      <c r="AO378" s="85"/>
      <c r="AP378" s="89" t="s">
        <v>345</v>
      </c>
    </row>
    <row r="379" spans="3:53">
      <c r="Z379" s="11" t="s">
        <v>345</v>
      </c>
      <c r="AM379" s="38">
        <f>VLOOKUP(AM378,Z382:AH398,9,FALSE)</f>
        <v>2</v>
      </c>
      <c r="AN379" s="87">
        <f>VLOOKUP(AN378,Z382:AH398,9,FALSE)</f>
        <v>2</v>
      </c>
      <c r="AO379" s="87"/>
      <c r="AP379" s="90">
        <f>(AN379-AM379)/(AN378-AM378)*(Z381-AM378)+AM379</f>
        <v>2</v>
      </c>
    </row>
    <row r="380" spans="3:53">
      <c r="Z380" s="91" t="s">
        <v>346</v>
      </c>
      <c r="AA380" s="84"/>
      <c r="AB380" s="85"/>
      <c r="AC380" s="85"/>
      <c r="AD380" s="85" t="s">
        <v>349</v>
      </c>
      <c r="AE380" s="85"/>
      <c r="AF380" s="85"/>
      <c r="AG380" s="86"/>
      <c r="AH380" s="91" t="s">
        <v>348</v>
      </c>
      <c r="AJ380" s="84" t="s">
        <v>350</v>
      </c>
      <c r="AK380" s="86" t="s">
        <v>351</v>
      </c>
      <c r="AR380" s="1" t="s">
        <v>358</v>
      </c>
    </row>
    <row r="381" spans="3:53">
      <c r="D381" s="1">
        <f>P378/E261</f>
        <v>7.7131915349787958E-2</v>
      </c>
      <c r="F381" s="1" t="s">
        <v>457</v>
      </c>
      <c r="Z381" s="92">
        <f>D381</f>
        <v>7.7131915349787958E-2</v>
      </c>
      <c r="AA381" s="38">
        <v>0</v>
      </c>
      <c r="AB381" s="87">
        <v>0.5</v>
      </c>
      <c r="AC381" s="87">
        <v>0.6</v>
      </c>
      <c r="AD381" s="87">
        <v>0.7</v>
      </c>
      <c r="AE381" s="87">
        <v>0.8</v>
      </c>
      <c r="AF381" s="87">
        <v>0.9</v>
      </c>
      <c r="AG381" s="88">
        <v>1</v>
      </c>
      <c r="AH381" s="92">
        <f>D384</f>
        <v>0.73333333333333328</v>
      </c>
      <c r="AJ381" s="38">
        <f>HLOOKUP(AH381,AA381:AG381,1,TRUE)</f>
        <v>0.7</v>
      </c>
      <c r="AK381" s="88">
        <f>LOOKUP(AJ381,AA377:AG377,AA378:AG378)</f>
        <v>0.8</v>
      </c>
      <c r="AR381" s="1" t="s">
        <v>359</v>
      </c>
      <c r="AT381" s="1">
        <f>PI()*(BA381^2-BA382^2)</f>
        <v>81.681408993334628</v>
      </c>
      <c r="AZ381" s="1" t="s">
        <v>318</v>
      </c>
      <c r="BA381" s="1">
        <f>E261</f>
        <v>7.5</v>
      </c>
    </row>
    <row r="382" spans="3:53">
      <c r="Z382" s="93">
        <v>0</v>
      </c>
      <c r="AA382" s="84">
        <v>2</v>
      </c>
      <c r="AB382" s="85">
        <v>2</v>
      </c>
      <c r="AC382" s="85">
        <v>2</v>
      </c>
      <c r="AD382" s="85">
        <v>2</v>
      </c>
      <c r="AE382" s="85">
        <v>2</v>
      </c>
      <c r="AF382" s="85">
        <v>2</v>
      </c>
      <c r="AG382" s="85">
        <v>2</v>
      </c>
      <c r="AH382" s="94">
        <f t="shared" ref="AH382:AH398" si="27">(AK382-AJ382)/($AK$327-$AJ$327)*($AH$327-$AJ$327)+AJ382</f>
        <v>2</v>
      </c>
      <c r="AJ382" s="37">
        <f t="shared" ref="AJ382:AJ398" si="28">LOOKUP($AJ$327,$AA$327:$AG$327,AA382:AG382)</f>
        <v>2</v>
      </c>
      <c r="AK382" s="95">
        <f t="shared" ref="AK382:AK398" si="29">LOOKUP($AK$327,$AA$327:$AG$327,AA382:AG382)</f>
        <v>2</v>
      </c>
      <c r="AM382" s="84">
        <f>Z382</f>
        <v>0</v>
      </c>
      <c r="AN382" s="86">
        <f>Z383</f>
        <v>0.25</v>
      </c>
      <c r="AR382" s="1" t="s">
        <v>360</v>
      </c>
      <c r="AT382" s="1">
        <f>2*BA381-BA383</f>
        <v>0</v>
      </c>
      <c r="AZ382" s="1" t="s">
        <v>319</v>
      </c>
      <c r="BA382" s="1">
        <f>E262</f>
        <v>5.5</v>
      </c>
    </row>
    <row r="383" spans="3:53">
      <c r="Z383" s="93">
        <v>0.25</v>
      </c>
      <c r="AA383" s="1">
        <v>2</v>
      </c>
      <c r="AB383" s="1">
        <v>2</v>
      </c>
      <c r="AC383" s="1">
        <v>2</v>
      </c>
      <c r="AD383" s="1">
        <v>2</v>
      </c>
      <c r="AE383" s="1">
        <v>2</v>
      </c>
      <c r="AF383" s="1">
        <v>2</v>
      </c>
      <c r="AG383" s="1">
        <v>2</v>
      </c>
      <c r="AH383" s="93">
        <f t="shared" si="27"/>
        <v>2</v>
      </c>
      <c r="AJ383" s="37">
        <f t="shared" si="28"/>
        <v>2</v>
      </c>
      <c r="AK383" s="95">
        <f t="shared" si="29"/>
        <v>2</v>
      </c>
      <c r="AM383" s="37">
        <f t="shared" ref="AM383:AM398" si="30">Z383</f>
        <v>0.25</v>
      </c>
      <c r="AN383" s="95">
        <f t="shared" ref="AN383:AN397" si="31">Z384</f>
        <v>0.3</v>
      </c>
      <c r="AR383" s="1" t="s">
        <v>361</v>
      </c>
      <c r="AT383" s="1">
        <f>2*ACOS((BA381-AT382)/BA381)</f>
        <v>0</v>
      </c>
      <c r="AZ383" s="1" t="s">
        <v>370</v>
      </c>
      <c r="BA383" s="1">
        <f>G340</f>
        <v>15</v>
      </c>
    </row>
    <row r="384" spans="3:53">
      <c r="D384" s="1">
        <f>E262/E261</f>
        <v>0.73333333333333328</v>
      </c>
      <c r="F384" s="1" t="s">
        <v>457</v>
      </c>
      <c r="Z384" s="93">
        <v>0.3</v>
      </c>
      <c r="AA384" s="37">
        <v>1.82</v>
      </c>
      <c r="AB384" s="1">
        <v>2</v>
      </c>
      <c r="AC384" s="1">
        <v>2</v>
      </c>
      <c r="AD384" s="1">
        <v>2</v>
      </c>
      <c r="AE384" s="1">
        <v>2</v>
      </c>
      <c r="AF384" s="1">
        <v>2</v>
      </c>
      <c r="AG384" s="1">
        <v>2</v>
      </c>
      <c r="AH384" s="93">
        <f t="shared" si="27"/>
        <v>2</v>
      </c>
      <c r="AJ384" s="37">
        <f t="shared" si="28"/>
        <v>2</v>
      </c>
      <c r="AK384" s="95">
        <f t="shared" si="29"/>
        <v>2</v>
      </c>
      <c r="AM384" s="37">
        <f t="shared" si="30"/>
        <v>0.3</v>
      </c>
      <c r="AN384" s="95">
        <f t="shared" si="31"/>
        <v>0.35</v>
      </c>
      <c r="AR384" s="1" t="s">
        <v>362</v>
      </c>
      <c r="AT384" s="1">
        <f>BA383-BA381</f>
        <v>7.5</v>
      </c>
    </row>
    <row r="385" spans="3:50">
      <c r="Z385" s="93">
        <v>0.35</v>
      </c>
      <c r="AA385" s="37">
        <v>1.66</v>
      </c>
      <c r="AB385" s="1">
        <v>1.89</v>
      </c>
      <c r="AC385" s="1">
        <v>1.95</v>
      </c>
      <c r="AD385" s="1">
        <v>2</v>
      </c>
      <c r="AE385" s="1">
        <v>2</v>
      </c>
      <c r="AF385" s="1">
        <v>2</v>
      </c>
      <c r="AG385" s="1">
        <v>2</v>
      </c>
      <c r="AH385" s="93">
        <f t="shared" si="27"/>
        <v>2</v>
      </c>
      <c r="AJ385" s="37">
        <f t="shared" si="28"/>
        <v>2</v>
      </c>
      <c r="AK385" s="95">
        <f t="shared" si="29"/>
        <v>2</v>
      </c>
      <c r="AM385" s="37">
        <f t="shared" si="30"/>
        <v>0.35</v>
      </c>
      <c r="AN385" s="95">
        <f t="shared" si="31"/>
        <v>0.4</v>
      </c>
      <c r="AR385" s="1" t="s">
        <v>363</v>
      </c>
      <c r="AT385" s="1" t="e">
        <f>2*ACOS(AT384/BA382)</f>
        <v>#NUM!</v>
      </c>
    </row>
    <row r="386" spans="3:50">
      <c r="Z386" s="93">
        <v>0.4</v>
      </c>
      <c r="AA386" s="37">
        <v>1.51</v>
      </c>
      <c r="AB386" s="1">
        <v>1.75</v>
      </c>
      <c r="AC386" s="1">
        <v>1.84</v>
      </c>
      <c r="AD386" s="1">
        <v>1.93</v>
      </c>
      <c r="AE386" s="1">
        <v>2</v>
      </c>
      <c r="AF386" s="1">
        <v>2</v>
      </c>
      <c r="AG386" s="1">
        <v>2</v>
      </c>
      <c r="AH386" s="93">
        <f t="shared" si="27"/>
        <v>1.9533333333333334</v>
      </c>
      <c r="AJ386" s="37">
        <f t="shared" si="28"/>
        <v>1.93</v>
      </c>
      <c r="AK386" s="95">
        <f t="shared" si="29"/>
        <v>2</v>
      </c>
      <c r="AM386" s="37">
        <f t="shared" si="30"/>
        <v>0.4</v>
      </c>
      <c r="AN386" s="95">
        <f t="shared" si="31"/>
        <v>0.45</v>
      </c>
      <c r="AR386" s="1" t="s">
        <v>364</v>
      </c>
      <c r="AT386" s="1">
        <f>ACOS(AT384/BA381)</f>
        <v>0</v>
      </c>
    </row>
    <row r="387" spans="3:50">
      <c r="C387" s="58" t="s">
        <v>343</v>
      </c>
      <c r="Z387" s="93">
        <v>0.45</v>
      </c>
      <c r="AA387" s="37">
        <v>1.37</v>
      </c>
      <c r="AB387" s="1">
        <v>1.61</v>
      </c>
      <c r="AC387" s="1">
        <v>1.71</v>
      </c>
      <c r="AD387" s="1">
        <v>1.81</v>
      </c>
      <c r="AE387" s="1">
        <v>1.9</v>
      </c>
      <c r="AF387" s="1">
        <v>2</v>
      </c>
      <c r="AG387" s="1">
        <v>2</v>
      </c>
      <c r="AH387" s="93">
        <f t="shared" si="27"/>
        <v>1.84</v>
      </c>
      <c r="AJ387" s="37">
        <f t="shared" si="28"/>
        <v>1.81</v>
      </c>
      <c r="AK387" s="95">
        <f t="shared" si="29"/>
        <v>1.9</v>
      </c>
      <c r="AM387" s="37">
        <f t="shared" si="30"/>
        <v>0.45</v>
      </c>
      <c r="AN387" s="95">
        <f t="shared" si="31"/>
        <v>0.5</v>
      </c>
      <c r="AR387" s="1" t="s">
        <v>365</v>
      </c>
      <c r="AT387" s="1">
        <f>BA381-BA383</f>
        <v>-7.5</v>
      </c>
    </row>
    <row r="388" spans="3:50">
      <c r="Z388" s="93">
        <v>0.5</v>
      </c>
      <c r="AA388" s="37">
        <v>1.23</v>
      </c>
      <c r="AB388" s="1">
        <v>1.46</v>
      </c>
      <c r="AC388" s="1">
        <v>1.56</v>
      </c>
      <c r="AD388" s="1">
        <v>1.66</v>
      </c>
      <c r="AE388" s="1">
        <v>1.78</v>
      </c>
      <c r="AF388" s="1">
        <v>1.89</v>
      </c>
      <c r="AG388" s="1">
        <v>2</v>
      </c>
      <c r="AH388" s="93">
        <f t="shared" si="27"/>
        <v>1.7</v>
      </c>
      <c r="AJ388" s="37">
        <f t="shared" si="28"/>
        <v>1.66</v>
      </c>
      <c r="AK388" s="95">
        <f t="shared" si="29"/>
        <v>1.78</v>
      </c>
      <c r="AM388" s="37">
        <f t="shared" si="30"/>
        <v>0.5</v>
      </c>
      <c r="AN388" s="95">
        <f t="shared" si="31"/>
        <v>0.55000000000000004</v>
      </c>
      <c r="AR388" s="1" t="s">
        <v>366</v>
      </c>
      <c r="AT388" s="1">
        <f>ACOS(AT387/BA381)</f>
        <v>3.1415926535897931</v>
      </c>
    </row>
    <row r="389" spans="3:50">
      <c r="Z389" s="93">
        <v>0.55000000000000004</v>
      </c>
      <c r="AA389" s="37">
        <v>1.1000000000000001</v>
      </c>
      <c r="AB389" s="1">
        <v>1.29</v>
      </c>
      <c r="AC389" s="1">
        <v>1.39</v>
      </c>
      <c r="AD389" s="1">
        <v>1.5</v>
      </c>
      <c r="AE389" s="1">
        <v>1.62</v>
      </c>
      <c r="AF389" s="1">
        <v>1.74</v>
      </c>
      <c r="AG389" s="1">
        <v>1.87</v>
      </c>
      <c r="AH389" s="93">
        <f t="shared" si="27"/>
        <v>1.54</v>
      </c>
      <c r="AJ389" s="37">
        <f t="shared" si="28"/>
        <v>1.5</v>
      </c>
      <c r="AK389" s="95">
        <f t="shared" si="29"/>
        <v>1.62</v>
      </c>
      <c r="AM389" s="37">
        <f t="shared" si="30"/>
        <v>0.55000000000000004</v>
      </c>
      <c r="AN389" s="95">
        <f t="shared" si="31"/>
        <v>0.6</v>
      </c>
      <c r="AR389" s="1" t="s">
        <v>367</v>
      </c>
      <c r="AT389" s="1" t="e">
        <f>2*ACOS(AT387/BA382)</f>
        <v>#NUM!</v>
      </c>
    </row>
    <row r="390" spans="3:50" ht="16.2">
      <c r="F390" s="11" t="s">
        <v>7</v>
      </c>
      <c r="G390" s="1">
        <f>PI()*(E261^2-E262^2)</f>
        <v>81.681408993334628</v>
      </c>
      <c r="H390" s="1" t="s">
        <v>458</v>
      </c>
      <c r="J390" s="1" t="s">
        <v>344</v>
      </c>
      <c r="Z390" s="93">
        <v>0.6</v>
      </c>
      <c r="AA390" s="37">
        <v>0.97</v>
      </c>
      <c r="AB390" s="1">
        <v>1.1200000000000001</v>
      </c>
      <c r="AC390" s="1">
        <v>1.21</v>
      </c>
      <c r="AD390" s="1">
        <v>1.32</v>
      </c>
      <c r="AE390" s="1">
        <v>1.45</v>
      </c>
      <c r="AF390" s="1">
        <v>1.58</v>
      </c>
      <c r="AG390" s="1">
        <v>1.71</v>
      </c>
      <c r="AH390" s="93">
        <f t="shared" si="27"/>
        <v>1.3633333333333333</v>
      </c>
      <c r="AJ390" s="37">
        <f t="shared" si="28"/>
        <v>1.32</v>
      </c>
      <c r="AK390" s="95">
        <f t="shared" si="29"/>
        <v>1.45</v>
      </c>
      <c r="AM390" s="37">
        <f t="shared" si="30"/>
        <v>0.6</v>
      </c>
      <c r="AN390" s="95">
        <f t="shared" si="31"/>
        <v>0.65</v>
      </c>
      <c r="AR390" s="1" t="s">
        <v>368</v>
      </c>
      <c r="AT390" s="1">
        <f>2*ACOS((BA381-BA383)/BA381)</f>
        <v>6.2831853071795862</v>
      </c>
    </row>
    <row r="391" spans="3:50">
      <c r="Z391" s="93">
        <v>0.65</v>
      </c>
      <c r="AA391" s="37">
        <v>0.84</v>
      </c>
      <c r="AB391" s="1">
        <v>0.94</v>
      </c>
      <c r="AC391" s="1">
        <v>1.02</v>
      </c>
      <c r="AD391" s="1">
        <v>1.1299999999999999</v>
      </c>
      <c r="AE391" s="1">
        <v>1.25</v>
      </c>
      <c r="AF391" s="1">
        <v>1.4</v>
      </c>
      <c r="AG391" s="1">
        <v>1.54</v>
      </c>
      <c r="AH391" s="93">
        <f t="shared" si="27"/>
        <v>1.17</v>
      </c>
      <c r="AJ391" s="37">
        <f t="shared" si="28"/>
        <v>1.1299999999999999</v>
      </c>
      <c r="AK391" s="95">
        <f t="shared" si="29"/>
        <v>1.25</v>
      </c>
      <c r="AM391" s="37">
        <f t="shared" si="30"/>
        <v>0.65</v>
      </c>
      <c r="AN391" s="95">
        <f t="shared" si="31"/>
        <v>0.7</v>
      </c>
    </row>
    <row r="392" spans="3:50">
      <c r="C392" s="1" t="s">
        <v>352</v>
      </c>
      <c r="F392" s="11" t="s">
        <v>7</v>
      </c>
      <c r="G392" s="1">
        <f>AP379</f>
        <v>2</v>
      </c>
      <c r="J392" s="1" t="s">
        <v>353</v>
      </c>
      <c r="Z392" s="93">
        <v>0.7</v>
      </c>
      <c r="AA392" s="37">
        <v>0.72</v>
      </c>
      <c r="AB392" s="1">
        <v>0.75</v>
      </c>
      <c r="AC392" s="1">
        <v>0.82</v>
      </c>
      <c r="AD392" s="1">
        <v>0.93</v>
      </c>
      <c r="AE392" s="1">
        <v>1.05</v>
      </c>
      <c r="AF392" s="1">
        <v>1.2</v>
      </c>
      <c r="AG392" s="1">
        <v>1.35</v>
      </c>
      <c r="AH392" s="93">
        <f t="shared" si="27"/>
        <v>0.97</v>
      </c>
      <c r="AJ392" s="37">
        <f t="shared" si="28"/>
        <v>0.93</v>
      </c>
      <c r="AK392" s="95">
        <f t="shared" si="29"/>
        <v>1.05</v>
      </c>
      <c r="AM392" s="37">
        <f t="shared" si="30"/>
        <v>0.7</v>
      </c>
      <c r="AN392" s="95">
        <f t="shared" si="31"/>
        <v>0.75</v>
      </c>
      <c r="AR392" s="58" t="s">
        <v>369</v>
      </c>
      <c r="AT392" s="96">
        <f>IF(BA383&lt;=AW393,AT393,IF(BA383&lt;AW394,AT394,IF(BA383=AX395,AT395,IF(BA383&lt;AW396,AT396,IF(BA383&gt;=AV397,AT397,"CASO NO CONSIDERADO")))))</f>
        <v>0</v>
      </c>
      <c r="AV392" s="1" t="s">
        <v>376</v>
      </c>
      <c r="AW392" s="1" t="s">
        <v>377</v>
      </c>
      <c r="AX392" s="1" t="s">
        <v>378</v>
      </c>
    </row>
    <row r="393" spans="3:50">
      <c r="Z393" s="93">
        <v>0.75</v>
      </c>
      <c r="AA393" s="37">
        <v>0.59</v>
      </c>
      <c r="AB393" s="1">
        <v>0.6</v>
      </c>
      <c r="AC393" s="1">
        <v>0.64</v>
      </c>
      <c r="AD393" s="1">
        <v>0.72</v>
      </c>
      <c r="AE393" s="1">
        <v>0.85</v>
      </c>
      <c r="AF393" s="1">
        <v>0.98</v>
      </c>
      <c r="AG393" s="1">
        <v>1.1499999999999999</v>
      </c>
      <c r="AH393" s="93">
        <f t="shared" si="27"/>
        <v>0.76333333333333331</v>
      </c>
      <c r="AJ393" s="37">
        <f t="shared" si="28"/>
        <v>0.72</v>
      </c>
      <c r="AK393" s="95">
        <f t="shared" si="29"/>
        <v>0.85</v>
      </c>
      <c r="AM393" s="37">
        <f t="shared" si="30"/>
        <v>0.75</v>
      </c>
      <c r="AN393" s="95">
        <f t="shared" si="31"/>
        <v>0.8</v>
      </c>
      <c r="AS393" s="1" t="s">
        <v>374</v>
      </c>
      <c r="AT393" s="1">
        <f>AT381-((BA381^2)/2*(AT390-SIN(AT390)))</f>
        <v>-95.033177771091232</v>
      </c>
      <c r="AW393" s="1">
        <f>BA381-BA382</f>
        <v>2</v>
      </c>
    </row>
    <row r="394" spans="3:50" ht="15.6">
      <c r="C394" s="1" t="s">
        <v>465</v>
      </c>
      <c r="F394" s="11" t="s">
        <v>7</v>
      </c>
      <c r="G394" s="63">
        <f>G392*E261</f>
        <v>15</v>
      </c>
      <c r="H394" s="1" t="s">
        <v>84</v>
      </c>
      <c r="J394" s="1" t="s">
        <v>354</v>
      </c>
      <c r="Z394" s="93">
        <v>0.8</v>
      </c>
      <c r="AA394" s="37">
        <v>0.47</v>
      </c>
      <c r="AB394" s="1">
        <v>0.47</v>
      </c>
      <c r="AC394" s="1">
        <v>0.48</v>
      </c>
      <c r="AD394" s="1">
        <v>0.52</v>
      </c>
      <c r="AE394" s="1">
        <v>0.61</v>
      </c>
      <c r="AF394" s="1">
        <v>0.77</v>
      </c>
      <c r="AG394" s="1">
        <v>0.94</v>
      </c>
      <c r="AH394" s="93">
        <f t="shared" si="27"/>
        <v>0.54999999999999993</v>
      </c>
      <c r="AJ394" s="37">
        <f t="shared" si="28"/>
        <v>0.52</v>
      </c>
      <c r="AK394" s="95">
        <f t="shared" si="29"/>
        <v>0.61</v>
      </c>
      <c r="AM394" s="37">
        <f t="shared" si="30"/>
        <v>0.8</v>
      </c>
      <c r="AN394" s="95">
        <f t="shared" si="31"/>
        <v>0.85</v>
      </c>
      <c r="AS394" s="1" t="s">
        <v>373</v>
      </c>
      <c r="AT394" s="1" t="e">
        <f>AT381-((2*AT388*(BA381^2)/2)-((1/2)*AT387*TAN(AT388)*AT387)*2-(BA382^2)/2*(AT389-SIN(AT389)))</f>
        <v>#NUM!</v>
      </c>
      <c r="AV394" s="1">
        <f>BA381-BA382</f>
        <v>2</v>
      </c>
      <c r="AW394" s="1">
        <f>BA381</f>
        <v>7.5</v>
      </c>
    </row>
    <row r="395" spans="3:50">
      <c r="Z395" s="93">
        <v>0.85</v>
      </c>
      <c r="AA395" s="37">
        <v>0.35</v>
      </c>
      <c r="AB395" s="1">
        <v>0.35</v>
      </c>
      <c r="AC395" s="1">
        <v>0.35</v>
      </c>
      <c r="AD395" s="1">
        <v>0.36</v>
      </c>
      <c r="AE395" s="1">
        <v>0.42</v>
      </c>
      <c r="AF395" s="1">
        <v>0.55000000000000004</v>
      </c>
      <c r="AG395" s="1">
        <v>0.72</v>
      </c>
      <c r="AH395" s="93">
        <f t="shared" si="27"/>
        <v>0.37999999999999995</v>
      </c>
      <c r="AJ395" s="37">
        <f t="shared" si="28"/>
        <v>0.36</v>
      </c>
      <c r="AK395" s="95">
        <f t="shared" si="29"/>
        <v>0.42</v>
      </c>
      <c r="AM395" s="37">
        <f t="shared" si="30"/>
        <v>0.85</v>
      </c>
      <c r="AN395" s="95">
        <f t="shared" si="31"/>
        <v>0.9</v>
      </c>
      <c r="AS395" s="1" t="s">
        <v>375</v>
      </c>
      <c r="AT395" s="1">
        <f>AT381/2</f>
        <v>40.840704496667314</v>
      </c>
      <c r="AX395" s="1">
        <f>BA381</f>
        <v>7.5</v>
      </c>
    </row>
    <row r="396" spans="3:50">
      <c r="C396" s="1" t="s">
        <v>355</v>
      </c>
      <c r="F396" s="11" t="s">
        <v>7</v>
      </c>
      <c r="G396" s="1">
        <f>AP402</f>
        <v>1.199018440932768</v>
      </c>
      <c r="J396" s="1" t="s">
        <v>353</v>
      </c>
      <c r="Z396" s="93">
        <v>0.9</v>
      </c>
      <c r="AA396" s="37">
        <v>0.24</v>
      </c>
      <c r="AB396" s="1">
        <v>0.24</v>
      </c>
      <c r="AC396" s="1">
        <v>0.24</v>
      </c>
      <c r="AD396" s="1">
        <v>0.24</v>
      </c>
      <c r="AE396" s="1">
        <v>0.24</v>
      </c>
      <c r="AF396" s="1">
        <v>0.32</v>
      </c>
      <c r="AG396" s="1">
        <v>0.49</v>
      </c>
      <c r="AH396" s="93">
        <f t="shared" si="27"/>
        <v>0.24</v>
      </c>
      <c r="AJ396" s="37">
        <f t="shared" si="28"/>
        <v>0.24</v>
      </c>
      <c r="AK396" s="95">
        <f t="shared" si="29"/>
        <v>0.24</v>
      </c>
      <c r="AM396" s="37">
        <f t="shared" si="30"/>
        <v>0.9</v>
      </c>
      <c r="AN396" s="95">
        <f t="shared" si="31"/>
        <v>0.95</v>
      </c>
      <c r="AS396" s="1" t="s">
        <v>372</v>
      </c>
      <c r="AT396" s="1" t="e">
        <f>(2*AT386*(BA381^2)/2)-((1/2)*AT384*TAN(AT386)*AT384)*2-(BA382^2)/2*(AT385-SIN(AT385))</f>
        <v>#NUM!</v>
      </c>
      <c r="AV396" s="1">
        <f>BA381</f>
        <v>7.5</v>
      </c>
      <c r="AW396" s="1">
        <f>2*BA381-(BA381-BA382)</f>
        <v>13</v>
      </c>
    </row>
    <row r="397" spans="3:50">
      <c r="Z397" s="97">
        <v>0.95</v>
      </c>
      <c r="AA397" s="38">
        <v>0.12</v>
      </c>
      <c r="AB397" s="87">
        <v>0.12</v>
      </c>
      <c r="AC397" s="87">
        <v>0.12</v>
      </c>
      <c r="AD397" s="87">
        <v>0.12</v>
      </c>
      <c r="AE397" s="87">
        <v>0.12</v>
      </c>
      <c r="AF397" s="87">
        <v>0.12</v>
      </c>
      <c r="AG397" s="87">
        <v>0.25</v>
      </c>
      <c r="AH397" s="97">
        <f t="shared" si="27"/>
        <v>0.12</v>
      </c>
      <c r="AJ397" s="37">
        <f t="shared" si="28"/>
        <v>0.12</v>
      </c>
      <c r="AK397" s="95">
        <f t="shared" si="29"/>
        <v>0.12</v>
      </c>
      <c r="AM397" s="37">
        <f t="shared" si="30"/>
        <v>0.95</v>
      </c>
      <c r="AN397" s="95">
        <f t="shared" si="31"/>
        <v>1</v>
      </c>
      <c r="AS397" s="1" t="s">
        <v>371</v>
      </c>
      <c r="AT397" s="1">
        <f>(BA381^2)/2*(AT383-SIN(AT383))</f>
        <v>0</v>
      </c>
      <c r="AV397" s="1">
        <f>BA381+BA382</f>
        <v>13</v>
      </c>
    </row>
    <row r="398" spans="3:50" ht="16.2">
      <c r="F398" s="11" t="s">
        <v>7</v>
      </c>
      <c r="G398" s="1">
        <f>P369/G390</f>
        <v>8.5416203812409766</v>
      </c>
      <c r="H398" s="1" t="s">
        <v>460</v>
      </c>
      <c r="Z398" s="98">
        <v>1</v>
      </c>
      <c r="AA398" s="99">
        <f>AA397</f>
        <v>0.12</v>
      </c>
      <c r="AB398" s="99">
        <f t="shared" ref="AB398:AG398" si="32">AB397</f>
        <v>0.12</v>
      </c>
      <c r="AC398" s="99">
        <f t="shared" si="32"/>
        <v>0.12</v>
      </c>
      <c r="AD398" s="99">
        <f t="shared" si="32"/>
        <v>0.12</v>
      </c>
      <c r="AE398" s="99">
        <f t="shared" si="32"/>
        <v>0.12</v>
      </c>
      <c r="AF398" s="99">
        <f t="shared" si="32"/>
        <v>0.12</v>
      </c>
      <c r="AG398" s="99">
        <f t="shared" si="32"/>
        <v>0.25</v>
      </c>
      <c r="AH398" s="98">
        <f t="shared" si="27"/>
        <v>0.12</v>
      </c>
      <c r="AJ398" s="100">
        <f t="shared" si="28"/>
        <v>0.12</v>
      </c>
      <c r="AK398" s="101">
        <f t="shared" si="29"/>
        <v>0.12</v>
      </c>
      <c r="AM398" s="38">
        <f t="shared" si="30"/>
        <v>1</v>
      </c>
      <c r="AN398" s="88">
        <v>1</v>
      </c>
    </row>
    <row r="400" spans="3:50" ht="16.2">
      <c r="F400" s="11" t="s">
        <v>7</v>
      </c>
      <c r="G400" s="1">
        <f>G398*G396</f>
        <v>10.24156035255511</v>
      </c>
      <c r="H400" s="1" t="s">
        <v>460</v>
      </c>
      <c r="J400" s="1" t="s">
        <v>356</v>
      </c>
    </row>
    <row r="401" spans="1:42">
      <c r="Z401" s="11" t="s">
        <v>347</v>
      </c>
      <c r="AM401" s="84">
        <f>VLOOKUP(Z403,Z404:Z419,1,TRUE)</f>
        <v>0.05</v>
      </c>
      <c r="AN401" s="85">
        <f>VLOOKUP(AM401,AM404:AN419,2,FALSE)</f>
        <v>0.1</v>
      </c>
      <c r="AO401" s="85"/>
      <c r="AP401" s="86" t="s">
        <v>347</v>
      </c>
    </row>
    <row r="402" spans="1:42" ht="15.6">
      <c r="C402" s="1" t="s">
        <v>461</v>
      </c>
      <c r="F402" s="11" t="s">
        <v>7</v>
      </c>
      <c r="G402" s="63">
        <f>(AT381-AT392)/AT381*100</f>
        <v>100</v>
      </c>
      <c r="H402" s="1" t="s">
        <v>357</v>
      </c>
      <c r="J402" s="11">
        <f>G402/100</f>
        <v>1</v>
      </c>
      <c r="L402" s="1" t="s">
        <v>379</v>
      </c>
      <c r="Z402" s="91" t="s">
        <v>346</v>
      </c>
      <c r="AA402" s="84"/>
      <c r="AB402" s="85"/>
      <c r="AC402" s="85"/>
      <c r="AD402" s="85" t="s">
        <v>349</v>
      </c>
      <c r="AE402" s="85"/>
      <c r="AF402" s="85"/>
      <c r="AG402" s="86"/>
      <c r="AH402" s="91" t="s">
        <v>348</v>
      </c>
      <c r="AJ402" s="102" t="s">
        <v>350</v>
      </c>
      <c r="AK402" s="89" t="s">
        <v>351</v>
      </c>
      <c r="AM402" s="38">
        <f>VLOOKUP(AM401,Z404:AH419,9,FALSE)</f>
        <v>1.1266666666666667</v>
      </c>
      <c r="AN402" s="87">
        <f>VLOOKUP(AN401,Z404:AH419,9,FALSE)</f>
        <v>1.26</v>
      </c>
      <c r="AO402" s="87"/>
      <c r="AP402" s="90">
        <f>(AN402-AM402)/(AN401-AM401)*(Z403-AM401)+AM402</f>
        <v>1.199018440932768</v>
      </c>
    </row>
    <row r="403" spans="1:42">
      <c r="Z403" s="103">
        <f>D381</f>
        <v>7.7131915349787958E-2</v>
      </c>
      <c r="AA403" s="38">
        <v>0</v>
      </c>
      <c r="AB403" s="87">
        <v>0.5</v>
      </c>
      <c r="AC403" s="87">
        <v>0.6</v>
      </c>
      <c r="AD403" s="87">
        <v>0.7</v>
      </c>
      <c r="AE403" s="87">
        <v>0.8</v>
      </c>
      <c r="AF403" s="87">
        <v>0.9</v>
      </c>
      <c r="AG403" s="88">
        <v>1</v>
      </c>
      <c r="AH403" s="104">
        <f>D384</f>
        <v>0.73333333333333328</v>
      </c>
      <c r="AJ403" s="38">
        <f>HLOOKUP(AH403,AA403:AG403,1,TRUE)</f>
        <v>0.7</v>
      </c>
      <c r="AK403" s="88">
        <f>LOOKUP(AJ403,AA377:AG377,AA378:AG378)</f>
        <v>0.8</v>
      </c>
    </row>
    <row r="404" spans="1:42" ht="16.2">
      <c r="C404" s="80" t="s">
        <v>462</v>
      </c>
      <c r="F404" s="11" t="s">
        <v>7</v>
      </c>
      <c r="G404" s="62">
        <v>125</v>
      </c>
      <c r="H404" s="1" t="s">
        <v>460</v>
      </c>
      <c r="J404" s="105">
        <f>G400/G404</f>
        <v>8.1932482820440883E-2</v>
      </c>
      <c r="L404" s="1" t="s">
        <v>380</v>
      </c>
      <c r="Z404" s="94">
        <v>0</v>
      </c>
      <c r="AA404" s="84">
        <v>1</v>
      </c>
      <c r="AB404" s="85">
        <v>1</v>
      </c>
      <c r="AC404" s="85">
        <v>1</v>
      </c>
      <c r="AD404" s="85">
        <v>1</v>
      </c>
      <c r="AE404" s="85">
        <v>1</v>
      </c>
      <c r="AF404" s="85">
        <v>1</v>
      </c>
      <c r="AG404" s="85">
        <v>1</v>
      </c>
      <c r="AH404" s="94">
        <f>(AK404-AJ404)/($AK$349-$AJ$349)*($AH$349-$AJ$349)+AJ404</f>
        <v>1</v>
      </c>
      <c r="AJ404" s="37">
        <f>LOOKUP($AJ$349,$AA$349:$AG$349,AA404:AG404)</f>
        <v>1</v>
      </c>
      <c r="AK404" s="95">
        <f>LOOKUP($AK$349,$AA$349:$AG$349,AA404:AG404)</f>
        <v>1</v>
      </c>
      <c r="AM404" s="84">
        <f>Z404</f>
        <v>0</v>
      </c>
      <c r="AN404" s="86">
        <f>Z405</f>
        <v>0.05</v>
      </c>
    </row>
    <row r="405" spans="1:42">
      <c r="Z405" s="93">
        <v>0.05</v>
      </c>
      <c r="AA405" s="37">
        <v>1.2</v>
      </c>
      <c r="AB405" s="1">
        <v>1.1599999999999999</v>
      </c>
      <c r="AC405" s="1">
        <v>1.1499999999999999</v>
      </c>
      <c r="AD405" s="1">
        <v>1.1299999999999999</v>
      </c>
      <c r="AE405" s="1">
        <v>1.1200000000000001</v>
      </c>
      <c r="AF405" s="1">
        <v>1.1100000000000001</v>
      </c>
      <c r="AG405" s="1">
        <v>1.1000000000000001</v>
      </c>
      <c r="AH405" s="93">
        <f>(AK405-AJ405)/($AK$349-$AJ$349)*($AH$349-$AJ$349)+AJ405</f>
        <v>1.1266666666666667</v>
      </c>
      <c r="AJ405" s="37">
        <f t="shared" ref="AJ405:AJ419" si="33">LOOKUP($AJ$349,$AA$349:$AG$349,AA405:AG405)</f>
        <v>1.1299999999999999</v>
      </c>
      <c r="AK405" s="95">
        <f t="shared" ref="AK405:AK419" si="34">LOOKUP($AK$349,$AA$349:$AG$349,AA405:AG405)</f>
        <v>1.1200000000000001</v>
      </c>
      <c r="AM405" s="37">
        <f t="shared" ref="AM405:AM419" si="35">Z405</f>
        <v>0.05</v>
      </c>
      <c r="AN405" s="95">
        <f>Z408</f>
        <v>0.1</v>
      </c>
    </row>
    <row r="406" spans="1:42" ht="16.2">
      <c r="G406" s="1">
        <f>MAX(G400,G346)</f>
        <v>10.24156035255511</v>
      </c>
      <c r="H406" s="1" t="s">
        <v>460</v>
      </c>
      <c r="Z406" s="93"/>
      <c r="AA406" s="37"/>
      <c r="AH406" s="93"/>
      <c r="AJ406" s="37"/>
      <c r="AK406" s="95"/>
      <c r="AM406" s="37"/>
      <c r="AN406" s="95"/>
    </row>
    <row r="407" spans="1:42">
      <c r="Z407" s="93"/>
      <c r="AA407" s="37"/>
      <c r="AH407" s="93"/>
      <c r="AJ407" s="37"/>
      <c r="AK407" s="95"/>
      <c r="AM407" s="37"/>
      <c r="AN407" s="95"/>
    </row>
    <row r="408" spans="1:42">
      <c r="Z408" s="93">
        <v>0.1</v>
      </c>
      <c r="AA408" s="37">
        <v>1.4</v>
      </c>
      <c r="AB408" s="1">
        <v>1.3199999999999998</v>
      </c>
      <c r="AC408" s="1">
        <v>1.2999999999999998</v>
      </c>
      <c r="AD408" s="1">
        <v>1.27</v>
      </c>
      <c r="AE408" s="1">
        <v>1.2400000000000002</v>
      </c>
      <c r="AF408" s="1">
        <v>1.2200000000000002</v>
      </c>
      <c r="AG408" s="1">
        <v>1.2000000000000002</v>
      </c>
      <c r="AH408" s="93">
        <f>(AK408-AJ408)/($AK$349-$AJ$349)*($AH$349-$AJ$349)+AJ408</f>
        <v>1.26</v>
      </c>
      <c r="AJ408" s="37">
        <f t="shared" si="33"/>
        <v>1.27</v>
      </c>
      <c r="AK408" s="95">
        <f t="shared" si="34"/>
        <v>1.2400000000000002</v>
      </c>
      <c r="AM408" s="37">
        <f t="shared" si="35"/>
        <v>0.1</v>
      </c>
      <c r="AN408" s="95">
        <f t="shared" ref="AN408:AN418" si="36">Z409</f>
        <v>0.15</v>
      </c>
    </row>
    <row r="409" spans="1:42">
      <c r="C409" s="1" t="s">
        <v>382</v>
      </c>
      <c r="D409" s="1" t="s">
        <v>383</v>
      </c>
      <c r="Z409" s="93">
        <v>0.15</v>
      </c>
      <c r="AA409" s="37">
        <v>1.6</v>
      </c>
      <c r="AB409" s="1">
        <v>1.4799999999999998</v>
      </c>
      <c r="AC409" s="1">
        <v>1.4499999999999997</v>
      </c>
      <c r="AD409" s="1">
        <v>1.4</v>
      </c>
      <c r="AE409" s="1">
        <v>1.37</v>
      </c>
      <c r="AF409" s="1">
        <v>1.3300000000000003</v>
      </c>
      <c r="AG409" s="1">
        <v>1.3000000000000003</v>
      </c>
      <c r="AH409" s="93">
        <f t="shared" ref="AH409:AH419" si="37">(AK409-AJ409)/($AK$349-$AJ$349)*($AH$349-$AJ$349)+AJ409</f>
        <v>1.39</v>
      </c>
      <c r="AJ409" s="37">
        <f t="shared" si="33"/>
        <v>1.4</v>
      </c>
      <c r="AK409" s="95">
        <f t="shared" si="34"/>
        <v>1.37</v>
      </c>
      <c r="AM409" s="37">
        <f t="shared" si="35"/>
        <v>0.15</v>
      </c>
      <c r="AN409" s="95" t="e">
        <f>#REF!</f>
        <v>#REF!</v>
      </c>
    </row>
    <row r="410" spans="1:42">
      <c r="Z410" s="93">
        <v>0.4</v>
      </c>
      <c r="AA410" s="37">
        <v>2.76</v>
      </c>
      <c r="AB410" s="1">
        <v>2.29</v>
      </c>
      <c r="AC410" s="1">
        <v>2.2000000000000002</v>
      </c>
      <c r="AD410" s="1">
        <v>2.0699999999999998</v>
      </c>
      <c r="AE410" s="1">
        <v>1.98</v>
      </c>
      <c r="AF410" s="1">
        <v>1.8800000000000008</v>
      </c>
      <c r="AG410" s="1">
        <v>1.8000000000000007</v>
      </c>
      <c r="AH410" s="93">
        <f t="shared" si="37"/>
        <v>2.04</v>
      </c>
      <c r="AJ410" s="37">
        <f t="shared" si="33"/>
        <v>2.0699999999999998</v>
      </c>
      <c r="AK410" s="95">
        <f t="shared" si="34"/>
        <v>1.98</v>
      </c>
      <c r="AM410" s="37">
        <f t="shared" si="35"/>
        <v>0.4</v>
      </c>
      <c r="AN410" s="95">
        <f t="shared" si="36"/>
        <v>0.45</v>
      </c>
    </row>
    <row r="411" spans="1:42">
      <c r="H411" s="1">
        <f>(G355*P369+TAN(E248*PI()/180)*G357)/P374</f>
        <v>3.8811196082803887</v>
      </c>
      <c r="I411" s="1" t="str">
        <f>IF(H411&gt;=1.5,"≥ 1.5","&lt; 1.5")</f>
        <v>≥ 1.5</v>
      </c>
      <c r="J411" s="105">
        <f>H411</f>
        <v>3.8811196082803887</v>
      </c>
      <c r="Z411" s="93">
        <v>0.45</v>
      </c>
      <c r="AA411" s="37">
        <v>3.11</v>
      </c>
      <c r="AB411" s="1">
        <v>2.5099999999999998</v>
      </c>
      <c r="AC411" s="1">
        <v>2.39</v>
      </c>
      <c r="AD411" s="1">
        <v>2.23</v>
      </c>
      <c r="AE411" s="1">
        <v>2.1</v>
      </c>
      <c r="AF411" s="1">
        <v>1.9900000000000009</v>
      </c>
      <c r="AG411" s="1">
        <v>1.9000000000000008</v>
      </c>
      <c r="AH411" s="93">
        <f t="shared" si="37"/>
        <v>2.1866666666666665</v>
      </c>
      <c r="AJ411" s="37">
        <f t="shared" si="33"/>
        <v>2.23</v>
      </c>
      <c r="AK411" s="95">
        <f t="shared" si="34"/>
        <v>2.1</v>
      </c>
      <c r="AM411" s="37">
        <f t="shared" si="35"/>
        <v>0.45</v>
      </c>
      <c r="AN411" s="95">
        <f t="shared" si="36"/>
        <v>0.5</v>
      </c>
    </row>
    <row r="412" spans="1:42">
      <c r="Z412" s="93">
        <v>0.5</v>
      </c>
      <c r="AA412" s="37">
        <v>3.55</v>
      </c>
      <c r="AB412" s="1">
        <v>2.8</v>
      </c>
      <c r="AC412" s="1">
        <v>2.61</v>
      </c>
      <c r="AD412" s="1">
        <v>2.42</v>
      </c>
      <c r="AE412" s="1">
        <v>2.2599999999999998</v>
      </c>
      <c r="AF412" s="1">
        <v>2.100000000000001</v>
      </c>
      <c r="AG412" s="1">
        <v>2.0000000000000009</v>
      </c>
      <c r="AH412" s="93">
        <f t="shared" si="37"/>
        <v>2.3666666666666667</v>
      </c>
      <c r="AJ412" s="37">
        <f t="shared" si="33"/>
        <v>2.42</v>
      </c>
      <c r="AK412" s="95">
        <f t="shared" si="34"/>
        <v>2.2599999999999998</v>
      </c>
      <c r="AM412" s="37">
        <f t="shared" si="35"/>
        <v>0.5</v>
      </c>
      <c r="AN412" s="95">
        <f t="shared" si="36"/>
        <v>0.55000000000000004</v>
      </c>
    </row>
    <row r="413" spans="1:42">
      <c r="Z413" s="93">
        <v>0.55000000000000004</v>
      </c>
      <c r="AA413" s="37">
        <v>4.1500000000000004</v>
      </c>
      <c r="AB413" s="1">
        <v>3.14</v>
      </c>
      <c r="AC413" s="1">
        <v>2.89</v>
      </c>
      <c r="AD413" s="1">
        <v>2.67</v>
      </c>
      <c r="AE413" s="1">
        <v>2.42</v>
      </c>
      <c r="AF413" s="1">
        <v>2.25</v>
      </c>
      <c r="AG413" s="1">
        <v>2.17</v>
      </c>
      <c r="AH413" s="93">
        <f t="shared" si="37"/>
        <v>2.5866666666666669</v>
      </c>
      <c r="AJ413" s="37">
        <f t="shared" si="33"/>
        <v>2.67</v>
      </c>
      <c r="AK413" s="95">
        <f t="shared" si="34"/>
        <v>2.42</v>
      </c>
      <c r="AM413" s="37">
        <f t="shared" si="35"/>
        <v>0.55000000000000004</v>
      </c>
      <c r="AN413" s="95">
        <f t="shared" si="36"/>
        <v>0.6</v>
      </c>
    </row>
    <row r="414" spans="1:42">
      <c r="Z414" s="93">
        <v>0.6</v>
      </c>
      <c r="AA414" s="37">
        <v>4.96</v>
      </c>
      <c r="AB414" s="1">
        <v>3.58</v>
      </c>
      <c r="AC414" s="1">
        <v>3.24</v>
      </c>
      <c r="AD414" s="1">
        <v>2.92</v>
      </c>
      <c r="AE414" s="1">
        <v>2.64</v>
      </c>
      <c r="AF414" s="1">
        <v>2.42</v>
      </c>
      <c r="AG414" s="1">
        <v>2.2000000000000002</v>
      </c>
      <c r="AH414" s="93">
        <f t="shared" si="37"/>
        <v>2.8266666666666667</v>
      </c>
      <c r="AJ414" s="37">
        <f t="shared" si="33"/>
        <v>2.92</v>
      </c>
      <c r="AK414" s="95">
        <f t="shared" si="34"/>
        <v>2.64</v>
      </c>
      <c r="AM414" s="37">
        <f t="shared" si="35"/>
        <v>0.6</v>
      </c>
      <c r="AN414" s="95">
        <f t="shared" si="36"/>
        <v>0.65</v>
      </c>
    </row>
    <row r="415" spans="1:42">
      <c r="A415" s="57" t="s">
        <v>385</v>
      </c>
      <c r="B415" s="58" t="s">
        <v>387</v>
      </c>
      <c r="D415" s="58"/>
      <c r="Z415" s="93">
        <v>0.65</v>
      </c>
      <c r="AA415" s="37">
        <v>6</v>
      </c>
      <c r="AB415" s="1">
        <v>4.34</v>
      </c>
      <c r="AC415" s="1">
        <v>3.8</v>
      </c>
      <c r="AD415" s="1">
        <v>3.3</v>
      </c>
      <c r="AE415" s="1">
        <v>2.95</v>
      </c>
      <c r="AF415" s="1">
        <v>2.64</v>
      </c>
      <c r="AG415" s="1">
        <v>2.42</v>
      </c>
      <c r="AH415" s="93">
        <f t="shared" si="37"/>
        <v>3.1833333333333336</v>
      </c>
      <c r="AJ415" s="37">
        <f t="shared" si="33"/>
        <v>3.3</v>
      </c>
      <c r="AK415" s="95">
        <f t="shared" si="34"/>
        <v>2.95</v>
      </c>
      <c r="AM415" s="37">
        <f t="shared" si="35"/>
        <v>0.65</v>
      </c>
      <c r="AN415" s="95">
        <f t="shared" si="36"/>
        <v>0.7</v>
      </c>
    </row>
    <row r="416" spans="1:42">
      <c r="B416" s="1" t="s">
        <v>388</v>
      </c>
      <c r="Z416" s="93">
        <v>0.7</v>
      </c>
      <c r="AA416" s="37">
        <v>7.43</v>
      </c>
      <c r="AB416" s="1">
        <v>5.4</v>
      </c>
      <c r="AC416" s="1">
        <v>4.25</v>
      </c>
      <c r="AD416" s="1">
        <v>3.8</v>
      </c>
      <c r="AE416" s="1">
        <v>3.33</v>
      </c>
      <c r="AF416" s="1">
        <v>2.95</v>
      </c>
      <c r="AG416" s="1">
        <v>2.54</v>
      </c>
      <c r="AH416" s="93">
        <f t="shared" si="37"/>
        <v>3.6433333333333335</v>
      </c>
      <c r="AJ416" s="37">
        <f t="shared" si="33"/>
        <v>3.8</v>
      </c>
      <c r="AK416" s="95">
        <f t="shared" si="34"/>
        <v>3.33</v>
      </c>
      <c r="AM416" s="37">
        <f t="shared" si="35"/>
        <v>0.7</v>
      </c>
      <c r="AN416" s="95">
        <f t="shared" si="36"/>
        <v>0.75</v>
      </c>
    </row>
    <row r="417" spans="1:40">
      <c r="Z417" s="93">
        <v>0.75</v>
      </c>
      <c r="AA417" s="37">
        <v>9.93</v>
      </c>
      <c r="AB417" s="1">
        <v>7.23</v>
      </c>
      <c r="AC417" s="1">
        <v>5.97</v>
      </c>
      <c r="AD417" s="1">
        <v>4.8099999999999996</v>
      </c>
      <c r="AE417" s="1">
        <v>3.93</v>
      </c>
      <c r="AF417" s="1">
        <v>3.33</v>
      </c>
      <c r="AG417" s="1">
        <v>2.89</v>
      </c>
      <c r="AH417" s="93">
        <f t="shared" si="37"/>
        <v>4.5166666666666666</v>
      </c>
      <c r="AJ417" s="37">
        <f t="shared" si="33"/>
        <v>4.8099999999999996</v>
      </c>
      <c r="AK417" s="95">
        <f t="shared" si="34"/>
        <v>3.93</v>
      </c>
      <c r="AM417" s="37">
        <f t="shared" si="35"/>
        <v>0.75</v>
      </c>
      <c r="AN417" s="95">
        <f t="shared" si="36"/>
        <v>0.8</v>
      </c>
    </row>
    <row r="418" spans="1:40">
      <c r="A418" s="59" t="s">
        <v>386</v>
      </c>
      <c r="B418" s="1" t="s">
        <v>389</v>
      </c>
      <c r="Z418" s="93">
        <v>0.8</v>
      </c>
      <c r="AA418" s="37">
        <v>13.87</v>
      </c>
      <c r="AB418" s="1">
        <v>10.050000000000001</v>
      </c>
      <c r="AC418" s="1">
        <v>8.82</v>
      </c>
      <c r="AD418" s="1">
        <v>6.53</v>
      </c>
      <c r="AE418" s="1">
        <v>4.93</v>
      </c>
      <c r="AF418" s="1">
        <v>3.96</v>
      </c>
      <c r="AG418" s="1">
        <v>3.27</v>
      </c>
      <c r="AH418" s="93">
        <f t="shared" si="37"/>
        <v>5.996666666666667</v>
      </c>
      <c r="AJ418" s="37">
        <f t="shared" si="33"/>
        <v>6.53</v>
      </c>
      <c r="AK418" s="95">
        <f t="shared" si="34"/>
        <v>4.93</v>
      </c>
      <c r="AM418" s="37">
        <f t="shared" si="35"/>
        <v>0.8</v>
      </c>
      <c r="AN418" s="95">
        <f t="shared" si="36"/>
        <v>0.85</v>
      </c>
    </row>
    <row r="419" spans="1:40">
      <c r="Z419" s="93">
        <v>0.85</v>
      </c>
      <c r="AA419" s="37">
        <v>21.08</v>
      </c>
      <c r="AB419" s="1">
        <v>15.55</v>
      </c>
      <c r="AC419" s="1">
        <v>13.32</v>
      </c>
      <c r="AD419" s="1">
        <v>10.43</v>
      </c>
      <c r="AE419" s="1">
        <v>7.16</v>
      </c>
      <c r="AF419" s="1">
        <v>4.9000000000000004</v>
      </c>
      <c r="AG419" s="1">
        <v>3.77</v>
      </c>
      <c r="AH419" s="93">
        <f t="shared" si="37"/>
        <v>9.3400000000000016</v>
      </c>
      <c r="AJ419" s="37">
        <f t="shared" si="33"/>
        <v>10.43</v>
      </c>
      <c r="AK419" s="95">
        <f t="shared" si="34"/>
        <v>7.16</v>
      </c>
      <c r="AM419" s="37">
        <f t="shared" si="35"/>
        <v>0.85</v>
      </c>
      <c r="AN419" s="95" t="e">
        <f>#REF!</f>
        <v>#REF!</v>
      </c>
    </row>
    <row r="420" spans="1:40">
      <c r="B420" s="1" t="s">
        <v>12</v>
      </c>
      <c r="D420" s="68" t="s">
        <v>7</v>
      </c>
      <c r="E420" s="67">
        <f>E249</f>
        <v>130</v>
      </c>
      <c r="F420" s="1" t="s">
        <v>8</v>
      </c>
      <c r="I420" s="1" t="s">
        <v>303</v>
      </c>
    </row>
    <row r="421" spans="1:40">
      <c r="B421" s="1" t="s">
        <v>304</v>
      </c>
      <c r="D421" s="68" t="s">
        <v>7</v>
      </c>
      <c r="E421" s="1">
        <f>E252</f>
        <v>13.276</v>
      </c>
      <c r="F421" s="1" t="s">
        <v>84</v>
      </c>
      <c r="I421" s="1" t="s">
        <v>305</v>
      </c>
    </row>
    <row r="422" spans="1:40" ht="15.6">
      <c r="B422" s="1" t="s">
        <v>466</v>
      </c>
      <c r="D422" s="68" t="s">
        <v>7</v>
      </c>
      <c r="E422" s="106">
        <v>1</v>
      </c>
      <c r="F422" s="1" t="s">
        <v>390</v>
      </c>
      <c r="I422" s="1" t="s">
        <v>394</v>
      </c>
    </row>
    <row r="425" spans="1:40" ht="15.6">
      <c r="I425" s="1" t="s">
        <v>392</v>
      </c>
      <c r="N425" s="1" t="s">
        <v>467</v>
      </c>
      <c r="O425" s="11" t="s">
        <v>7</v>
      </c>
      <c r="P425" s="63">
        <f>PI()*E421/(IF(E421&lt;15,1.8,3))</f>
        <v>23.170991149476716</v>
      </c>
      <c r="Q425" s="1" t="s">
        <v>391</v>
      </c>
    </row>
    <row r="428" spans="1:40" ht="15.6">
      <c r="B428" s="1" t="s">
        <v>468</v>
      </c>
      <c r="D428" s="68" t="s">
        <v>7</v>
      </c>
      <c r="E428" s="1">
        <v>3</v>
      </c>
      <c r="F428" s="1" t="s">
        <v>84</v>
      </c>
      <c r="I428" s="1" t="s">
        <v>393</v>
      </c>
    </row>
    <row r="431" spans="1:40">
      <c r="A431" s="59" t="s">
        <v>395</v>
      </c>
      <c r="B431" s="1" t="s">
        <v>396</v>
      </c>
    </row>
    <row r="433" spans="1:17">
      <c r="B433" s="1" t="s">
        <v>27</v>
      </c>
      <c r="D433" s="68" t="s">
        <v>7</v>
      </c>
      <c r="E433" s="73" t="s">
        <v>398</v>
      </c>
    </row>
    <row r="434" spans="1:17" ht="16.2">
      <c r="B434" s="1" t="s">
        <v>469</v>
      </c>
      <c r="D434" s="68" t="s">
        <v>7</v>
      </c>
      <c r="E434" s="1">
        <f>VLOOKUP(E433,VARS!K4:M4,3,FALSE)*VARS!Q3/1000</f>
        <v>2.5310504867047201</v>
      </c>
      <c r="F434" s="1" t="s">
        <v>470</v>
      </c>
      <c r="I434" s="1" t="s">
        <v>404</v>
      </c>
    </row>
    <row r="435" spans="1:17" ht="16.2">
      <c r="B435" s="1" t="s">
        <v>471</v>
      </c>
      <c r="D435" s="68" t="s">
        <v>7</v>
      </c>
      <c r="E435" s="1">
        <f>VLOOKUP(E433,VARS!K4:M4,2,FALSE)*VARS!Q3/1000</f>
        <v>4.0778035619131598</v>
      </c>
      <c r="F435" s="1" t="s">
        <v>470</v>
      </c>
      <c r="I435" s="1" t="s">
        <v>405</v>
      </c>
    </row>
    <row r="436" spans="1:17" ht="15.6">
      <c r="B436" s="1" t="s">
        <v>472</v>
      </c>
      <c r="D436" s="68" t="s">
        <v>7</v>
      </c>
      <c r="E436" s="107">
        <v>1.25</v>
      </c>
      <c r="F436" s="1" t="s">
        <v>390</v>
      </c>
      <c r="H436" s="105">
        <f>E436/E422</f>
        <v>1.25</v>
      </c>
      <c r="I436" s="1" t="s">
        <v>406</v>
      </c>
      <c r="O436" s="108" t="str">
        <f>IF(H436&lt;1,"Aumentar diámetro","")</f>
        <v/>
      </c>
    </row>
    <row r="437" spans="1:17" ht="15.6">
      <c r="B437" s="1" t="s">
        <v>473</v>
      </c>
      <c r="D437" s="68" t="s">
        <v>7</v>
      </c>
      <c r="E437" s="83">
        <v>20</v>
      </c>
      <c r="F437" s="1" t="s">
        <v>391</v>
      </c>
      <c r="H437" s="105">
        <f>E437/P425</f>
        <v>0.86314823008560304</v>
      </c>
      <c r="I437" s="1" t="s">
        <v>407</v>
      </c>
      <c r="O437" s="108" t="str">
        <f>IF(H437&lt;1,"Faltan pernos","")</f>
        <v>Faltan pernos</v>
      </c>
    </row>
    <row r="438" spans="1:17" ht="15.6">
      <c r="B438" s="1" t="s">
        <v>474</v>
      </c>
      <c r="D438" s="68" t="s">
        <v>7</v>
      </c>
      <c r="E438" s="1">
        <f>PI()*E421/E437</f>
        <v>2.0853892034529045</v>
      </c>
      <c r="F438" s="1" t="s">
        <v>84</v>
      </c>
      <c r="H438" s="105">
        <f>E438/E428</f>
        <v>0.69512973448430149</v>
      </c>
      <c r="I438" s="1" t="s">
        <v>408</v>
      </c>
      <c r="O438" s="108" t="str">
        <f>IF(H438&gt;=1,"Acercar pernos","")</f>
        <v/>
      </c>
    </row>
    <row r="441" spans="1:17">
      <c r="A441" s="59" t="s">
        <v>410</v>
      </c>
      <c r="B441" s="1" t="s">
        <v>411</v>
      </c>
    </row>
    <row r="443" spans="1:17">
      <c r="B443" s="1" t="s">
        <v>138</v>
      </c>
      <c r="C443" s="1" t="s">
        <v>412</v>
      </c>
    </row>
    <row r="445" spans="1:17" ht="15.6">
      <c r="I445" s="1" t="s">
        <v>413</v>
      </c>
      <c r="N445" s="1" t="s">
        <v>475</v>
      </c>
      <c r="O445" s="11" t="s">
        <v>7</v>
      </c>
      <c r="P445" s="1">
        <f>PI()*E9*(4*P192/(PI()*E9^2)-P200)/E437</f>
        <v>1.3945529956280742</v>
      </c>
      <c r="Q445" s="1" t="s">
        <v>16</v>
      </c>
    </row>
    <row r="447" spans="1:17" ht="15.6">
      <c r="C447" s="1" t="s">
        <v>476</v>
      </c>
      <c r="I447" s="1" t="s">
        <v>414</v>
      </c>
      <c r="N447" s="1" t="s">
        <v>477</v>
      </c>
      <c r="O447" s="11" t="s">
        <v>7</v>
      </c>
      <c r="P447" s="1">
        <f>P445*1.5</f>
        <v>2.0918294934421113</v>
      </c>
      <c r="Q447" s="1" t="s">
        <v>16</v>
      </c>
    </row>
    <row r="450" spans="2:16">
      <c r="B450" s="1" t="s">
        <v>139</v>
      </c>
      <c r="C450" s="1" t="s">
        <v>415</v>
      </c>
    </row>
    <row r="452" spans="2:16" ht="15.6">
      <c r="C452" s="80" t="s">
        <v>478</v>
      </c>
      <c r="F452" s="11"/>
      <c r="G452" s="68" t="s">
        <v>7</v>
      </c>
      <c r="H452" s="75">
        <v>0.75</v>
      </c>
      <c r="K452" s="1" t="s">
        <v>416</v>
      </c>
    </row>
    <row r="454" spans="2:16" ht="16.2">
      <c r="C454" s="1" t="s">
        <v>481</v>
      </c>
      <c r="G454" s="68" t="s">
        <v>7</v>
      </c>
      <c r="H454" s="1">
        <f>MIN(E435,1.9*E434,860*VARS!Q2/1000)</f>
        <v>4.0778035619131598</v>
      </c>
      <c r="I454" s="1" t="s">
        <v>470</v>
      </c>
      <c r="K454" s="1" t="s">
        <v>417</v>
      </c>
      <c r="O454" s="11"/>
    </row>
    <row r="456" spans="2:16" ht="15.6">
      <c r="C456" s="1" t="s">
        <v>479</v>
      </c>
      <c r="D456" s="68"/>
      <c r="G456" s="68" t="s">
        <v>7</v>
      </c>
      <c r="H456" s="63">
        <f>VLOOKUP(E436,VARS!A5:F15,6,FALSE)</f>
        <v>7</v>
      </c>
      <c r="K456" s="1" t="s">
        <v>419</v>
      </c>
    </row>
    <row r="458" spans="2:16" ht="16.2">
      <c r="G458" s="68" t="s">
        <v>7</v>
      </c>
      <c r="H458" s="1">
        <f>(PI()/4*(E436-0.9743/H456)^2)*2.54^2</f>
        <v>6.2523060332275131</v>
      </c>
      <c r="I458" s="1" t="s">
        <v>480</v>
      </c>
      <c r="K458" s="1" t="s">
        <v>421</v>
      </c>
    </row>
    <row r="460" spans="2:16" ht="15.6">
      <c r="C460" s="80" t="s">
        <v>482</v>
      </c>
      <c r="G460" s="68" t="s">
        <v>7</v>
      </c>
      <c r="H460" s="1">
        <f>H452*H458*H454</f>
        <v>19.12175685934972</v>
      </c>
      <c r="I460" s="1" t="s">
        <v>16</v>
      </c>
      <c r="K460" s="1" t="s">
        <v>422</v>
      </c>
    </row>
    <row r="462" spans="2:16" ht="15.6">
      <c r="C462" s="1" t="s">
        <v>605</v>
      </c>
      <c r="G462" s="68" t="s">
        <v>7</v>
      </c>
      <c r="H462" s="1">
        <f>P447/H460</f>
        <v>0.10939525634744678</v>
      </c>
      <c r="I462" s="105">
        <f>H462</f>
        <v>0.10939525634744678</v>
      </c>
      <c r="K462" s="1" t="s">
        <v>483</v>
      </c>
      <c r="P462" s="108" t="str">
        <f>IF(I462&gt;=1,"Falla perno en tracción","")</f>
        <v/>
      </c>
    </row>
    <row r="465" spans="1:17">
      <c r="A465" s="59" t="s">
        <v>484</v>
      </c>
      <c r="B465" s="1" t="s">
        <v>485</v>
      </c>
    </row>
    <row r="467" spans="1:17">
      <c r="B467" s="1" t="s">
        <v>138</v>
      </c>
      <c r="C467" s="1" t="s">
        <v>486</v>
      </c>
    </row>
    <row r="469" spans="1:17" ht="15.6">
      <c r="C469" s="1" t="s">
        <v>488</v>
      </c>
      <c r="G469" s="68" t="s">
        <v>7</v>
      </c>
      <c r="H469" s="67">
        <f>INT(E437/3)</f>
        <v>6</v>
      </c>
      <c r="I469" s="1" t="s">
        <v>391</v>
      </c>
      <c r="K469" s="1" t="s">
        <v>487</v>
      </c>
    </row>
    <row r="471" spans="1:17" ht="15.6">
      <c r="C471" s="1" t="s">
        <v>489</v>
      </c>
      <c r="G471" s="68"/>
      <c r="I471" s="1" t="s">
        <v>490</v>
      </c>
      <c r="N471" s="1" t="s">
        <v>491</v>
      </c>
      <c r="O471" s="11" t="s">
        <v>7</v>
      </c>
      <c r="P471" s="1">
        <f>P162/H469</f>
        <v>14.652294737160544</v>
      </c>
      <c r="Q471" s="1" t="s">
        <v>16</v>
      </c>
    </row>
    <row r="473" spans="1:17" ht="15.6">
      <c r="C473" s="1" t="s">
        <v>494</v>
      </c>
      <c r="I473" s="1" t="s">
        <v>493</v>
      </c>
      <c r="N473" s="1" t="s">
        <v>492</v>
      </c>
      <c r="O473" s="11" t="s">
        <v>7</v>
      </c>
      <c r="P473" s="1">
        <f>P471*1.5</f>
        <v>21.978442105740815</v>
      </c>
      <c r="Q473" s="1" t="s">
        <v>16</v>
      </c>
    </row>
    <row r="476" spans="1:17">
      <c r="B476" s="1" t="s">
        <v>139</v>
      </c>
      <c r="C476" s="1" t="s">
        <v>495</v>
      </c>
    </row>
    <row r="478" spans="1:17" ht="15.6">
      <c r="C478" s="80" t="s">
        <v>496</v>
      </c>
      <c r="F478" s="11"/>
      <c r="G478" s="68" t="s">
        <v>7</v>
      </c>
      <c r="H478" s="75">
        <v>0.65</v>
      </c>
      <c r="K478" s="1" t="s">
        <v>497</v>
      </c>
    </row>
    <row r="480" spans="1:17" ht="15.6">
      <c r="C480" s="1" t="s">
        <v>479</v>
      </c>
      <c r="D480" s="68"/>
      <c r="G480" s="68" t="s">
        <v>7</v>
      </c>
      <c r="H480" s="63">
        <f>VLOOKUP(E436,VARS!A5:F15,6,FALSE)</f>
        <v>7</v>
      </c>
      <c r="K480" s="1" t="s">
        <v>419</v>
      </c>
    </row>
    <row r="482" spans="1:16" ht="16.2">
      <c r="G482" s="68" t="s">
        <v>7</v>
      </c>
      <c r="H482" s="1">
        <f>(PI()/4*(E436-0.9743/H480)^2)*2.54^2</f>
        <v>6.2523060332275131</v>
      </c>
      <c r="I482" s="1" t="s">
        <v>480</v>
      </c>
      <c r="K482" s="1" t="s">
        <v>498</v>
      </c>
    </row>
    <row r="484" spans="1:16" ht="15.6">
      <c r="C484" s="80" t="s">
        <v>499</v>
      </c>
      <c r="G484" s="68" t="s">
        <v>7</v>
      </c>
      <c r="H484" s="1">
        <f>H478*0.6*H482*H454</f>
        <v>9.9433135668618551</v>
      </c>
      <c r="I484" s="1" t="s">
        <v>16</v>
      </c>
      <c r="K484" s="1" t="s">
        <v>500</v>
      </c>
    </row>
    <row r="486" spans="1:16" ht="15.6">
      <c r="C486" s="1" t="s">
        <v>604</v>
      </c>
      <c r="G486" s="68" t="s">
        <v>7</v>
      </c>
      <c r="H486" s="1">
        <f>P473/H484</f>
        <v>2.2103740325547521</v>
      </c>
      <c r="I486" s="105">
        <f>H486</f>
        <v>2.2103740325547521</v>
      </c>
      <c r="K486" s="1" t="s">
        <v>501</v>
      </c>
      <c r="P486" s="108" t="str">
        <f>IF(I486&gt;=1,"Falla perno en corte","")</f>
        <v>Falla perno en corte</v>
      </c>
    </row>
    <row r="489" spans="1:16">
      <c r="A489" s="59" t="s">
        <v>502</v>
      </c>
      <c r="B489" s="1" t="s">
        <v>503</v>
      </c>
    </row>
    <row r="491" spans="1:16" ht="15.6">
      <c r="B491" s="1" t="s">
        <v>504</v>
      </c>
      <c r="D491" s="68" t="s">
        <v>7</v>
      </c>
      <c r="E491" s="1">
        <f>H462+H486</f>
        <v>2.319769288902199</v>
      </c>
      <c r="F491" s="11" t="str">
        <f>IF(E491&lt;=G491,"≤","&gt;")</f>
        <v>&gt;</v>
      </c>
      <c r="G491" s="63">
        <v>1.2</v>
      </c>
      <c r="I491" s="105">
        <f>E491</f>
        <v>2.319769288902199</v>
      </c>
      <c r="K491" s="108" t="str">
        <f>IF(E491&gt;1.2,"Falla perno interacción corte-tracción","")</f>
        <v>Falla perno interacción corte-tracción</v>
      </c>
    </row>
    <row r="494" spans="1:16">
      <c r="A494" s="59" t="s">
        <v>505</v>
      </c>
      <c r="B494" s="1" t="s">
        <v>506</v>
      </c>
    </row>
    <row r="496" spans="1:16" ht="15.6">
      <c r="B496" s="1" t="s">
        <v>491</v>
      </c>
      <c r="D496" s="68" t="s">
        <v>7</v>
      </c>
      <c r="E496" s="1">
        <f>P471</f>
        <v>14.652294737160544</v>
      </c>
      <c r="F496" s="11" t="str">
        <f>IF(E496&lt;=5,"≤","&gt;")</f>
        <v>&gt;</v>
      </c>
      <c r="G496" s="1">
        <v>5</v>
      </c>
      <c r="H496" s="1" t="s">
        <v>16</v>
      </c>
    </row>
    <row r="498" spans="1:16">
      <c r="B498" s="1" t="str">
        <f>IF(E496&gt;5,"Se recomienda usar llaves de corte, para que los pernos trabajen sólo en tracción, reduciendo así el número y/o diámetro.","No se requieren llaves de corte.")</f>
        <v>Se recomienda usar llaves de corte, para que los pernos trabajen sólo en tracción, reduciendo así el número y/o diámetro.</v>
      </c>
    </row>
    <row r="501" spans="1:16">
      <c r="A501" s="57" t="s">
        <v>507</v>
      </c>
      <c r="B501" s="58" t="s">
        <v>508</v>
      </c>
      <c r="D501" s="58"/>
    </row>
    <row r="502" spans="1:16">
      <c r="B502" s="1" t="s">
        <v>509</v>
      </c>
      <c r="C502" s="1" t="s">
        <v>510</v>
      </c>
    </row>
    <row r="503" spans="1:16">
      <c r="C503" s="1" t="s">
        <v>511</v>
      </c>
    </row>
    <row r="505" spans="1:16">
      <c r="A505" s="59" t="s">
        <v>512</v>
      </c>
      <c r="B505" s="1" t="s">
        <v>513</v>
      </c>
    </row>
    <row r="507" spans="1:16">
      <c r="B507" s="1" t="s">
        <v>138</v>
      </c>
      <c r="C507" s="1" t="s">
        <v>514</v>
      </c>
    </row>
    <row r="509" spans="1:16" ht="15.6">
      <c r="H509" s="71" t="s">
        <v>440</v>
      </c>
      <c r="I509" s="68" t="s">
        <v>7</v>
      </c>
      <c r="J509" s="67">
        <f>E248</f>
        <v>30</v>
      </c>
      <c r="K509" s="1" t="s">
        <v>516</v>
      </c>
    </row>
    <row r="510" spans="1:16" ht="16.2">
      <c r="G510" s="7"/>
      <c r="H510" s="71" t="s">
        <v>439</v>
      </c>
      <c r="I510" s="68" t="s">
        <v>7</v>
      </c>
      <c r="J510" s="1">
        <f>E247</f>
        <v>1.8</v>
      </c>
      <c r="K510" s="7" t="s">
        <v>424</v>
      </c>
      <c r="P510" s="7"/>
    </row>
    <row r="511" spans="1:16" ht="15.6">
      <c r="H511" s="1" t="s">
        <v>517</v>
      </c>
      <c r="I511" s="68"/>
      <c r="J511" s="1">
        <f>1-SIN(J509*PI()/180)</f>
        <v>0.5</v>
      </c>
      <c r="O511" s="11"/>
    </row>
    <row r="513" spans="2:15" ht="16.2">
      <c r="H513" s="80" t="s">
        <v>543</v>
      </c>
      <c r="I513" s="68" t="s">
        <v>7</v>
      </c>
      <c r="J513" s="1">
        <f>E27</f>
        <v>1</v>
      </c>
      <c r="K513" s="7" t="s">
        <v>424</v>
      </c>
      <c r="O513" s="11"/>
    </row>
    <row r="514" spans="2:15">
      <c r="H514" s="1" t="s">
        <v>6</v>
      </c>
      <c r="I514" s="68" t="s">
        <v>7</v>
      </c>
      <c r="J514" s="1">
        <f>E10</f>
        <v>5.16</v>
      </c>
      <c r="K514" s="1" t="s">
        <v>84</v>
      </c>
    </row>
    <row r="515" spans="2:15">
      <c r="H515" s="1" t="s">
        <v>308</v>
      </c>
      <c r="I515" s="68" t="s">
        <v>7</v>
      </c>
      <c r="J515" s="1">
        <f>E255/1000</f>
        <v>1.75</v>
      </c>
      <c r="K515" s="1" t="s">
        <v>84</v>
      </c>
    </row>
    <row r="519" spans="2:15">
      <c r="B519" s="1" t="s">
        <v>139</v>
      </c>
      <c r="C519" s="1" t="s">
        <v>518</v>
      </c>
    </row>
    <row r="521" spans="2:15">
      <c r="C521" s="9" t="s">
        <v>519</v>
      </c>
      <c r="F521" s="73" t="s">
        <v>521</v>
      </c>
    </row>
    <row r="522" spans="2:15">
      <c r="C522" s="9"/>
    </row>
    <row r="523" spans="2:15" ht="15.6">
      <c r="C523" s="69" t="s">
        <v>525</v>
      </c>
      <c r="D523" s="70"/>
      <c r="E523" s="68" t="s">
        <v>7</v>
      </c>
      <c r="F523" s="74">
        <f>VLOOKUP(F521,VARS!H63:K63,3,FALSE)</f>
        <v>4200</v>
      </c>
      <c r="G523" s="7" t="s">
        <v>15</v>
      </c>
      <c r="H523" s="7"/>
      <c r="I523" s="7" t="s">
        <v>524</v>
      </c>
    </row>
    <row r="524" spans="2:15" ht="15.6">
      <c r="C524" s="69" t="s">
        <v>526</v>
      </c>
      <c r="D524" s="70"/>
      <c r="E524" s="68" t="s">
        <v>7</v>
      </c>
      <c r="F524" s="67">
        <f>VLOOKUP(F521,VARS!H63:K63,4,FALSE)</f>
        <v>2038901.7809565801</v>
      </c>
      <c r="G524" s="7" t="s">
        <v>15</v>
      </c>
      <c r="H524" s="7"/>
      <c r="I524" s="7" t="s">
        <v>529</v>
      </c>
    </row>
    <row r="525" spans="2:15" ht="15.6">
      <c r="C525" s="80" t="s">
        <v>527</v>
      </c>
      <c r="E525" s="68" t="s">
        <v>7</v>
      </c>
      <c r="F525" s="72">
        <f>F523/F524</f>
        <v>2.0599324789590942E-3</v>
      </c>
      <c r="G525" s="7"/>
      <c r="H525" s="7"/>
      <c r="I525" s="7" t="s">
        <v>528</v>
      </c>
    </row>
    <row r="526" spans="2:15">
      <c r="E526" s="68"/>
      <c r="G526" s="7"/>
    </row>
    <row r="528" spans="2:15">
      <c r="B528" s="1" t="s">
        <v>140</v>
      </c>
      <c r="C528" s="1" t="s">
        <v>530</v>
      </c>
    </row>
    <row r="530" spans="2:9" ht="15.6">
      <c r="C530" s="1" t="s">
        <v>531</v>
      </c>
      <c r="E530" s="68" t="s">
        <v>7</v>
      </c>
      <c r="F530" s="1">
        <f>J511*J513*J514</f>
        <v>2.58</v>
      </c>
      <c r="G530" s="7" t="s">
        <v>532</v>
      </c>
      <c r="I530" s="1" t="s">
        <v>533</v>
      </c>
    </row>
    <row r="531" spans="2:9" ht="15.6">
      <c r="C531" s="1" t="s">
        <v>534</v>
      </c>
      <c r="E531" s="68" t="s">
        <v>7</v>
      </c>
      <c r="F531" s="1">
        <f>F530*J515</f>
        <v>4.5150000000000006</v>
      </c>
      <c r="G531" s="7" t="s">
        <v>536</v>
      </c>
      <c r="I531" s="1" t="s">
        <v>535</v>
      </c>
    </row>
    <row r="532" spans="2:9" ht="15.6">
      <c r="C532" s="1" t="s">
        <v>537</v>
      </c>
      <c r="E532" s="68" t="s">
        <v>7</v>
      </c>
      <c r="F532" s="1">
        <f>J515/2</f>
        <v>0.875</v>
      </c>
      <c r="G532" s="7" t="s">
        <v>84</v>
      </c>
      <c r="I532" s="1" t="s">
        <v>538</v>
      </c>
    </row>
    <row r="535" spans="2:9">
      <c r="B535" s="1" t="s">
        <v>216</v>
      </c>
      <c r="C535" s="1" t="s">
        <v>539</v>
      </c>
    </row>
    <row r="537" spans="2:9" ht="15.6">
      <c r="C537" s="1" t="s">
        <v>540</v>
      </c>
      <c r="E537" s="68"/>
      <c r="F537" s="1">
        <f>J511*J510*J515</f>
        <v>1.575</v>
      </c>
      <c r="G537" s="7" t="s">
        <v>532</v>
      </c>
      <c r="I537" s="1" t="s">
        <v>533</v>
      </c>
    </row>
    <row r="538" spans="2:9" ht="15.6">
      <c r="C538" s="1" t="s">
        <v>541</v>
      </c>
      <c r="E538" s="68"/>
      <c r="F538" s="1">
        <f>0.5*F537*J515</f>
        <v>1.378125</v>
      </c>
      <c r="G538" s="7" t="s">
        <v>536</v>
      </c>
      <c r="I538" s="1" t="s">
        <v>535</v>
      </c>
    </row>
    <row r="539" spans="2:9" ht="15.6">
      <c r="C539" s="1" t="s">
        <v>542</v>
      </c>
      <c r="E539" s="68" t="s">
        <v>7</v>
      </c>
      <c r="F539" s="1">
        <f>J515/3</f>
        <v>0.58333333333333337</v>
      </c>
      <c r="G539" s="7" t="s">
        <v>84</v>
      </c>
      <c r="I539" s="1" t="s">
        <v>538</v>
      </c>
    </row>
    <row r="542" spans="2:9">
      <c r="B542" s="1" t="s">
        <v>219</v>
      </c>
      <c r="C542" s="1" t="s">
        <v>544</v>
      </c>
    </row>
    <row r="544" spans="2:9" ht="15.6">
      <c r="C544" s="1" t="s">
        <v>545</v>
      </c>
      <c r="F544" s="1">
        <f>F531*F532+F538*F539</f>
        <v>4.7545312500000003</v>
      </c>
      <c r="G544" s="7" t="s">
        <v>546</v>
      </c>
      <c r="I544" s="1" t="s">
        <v>547</v>
      </c>
    </row>
    <row r="545" spans="1:15" ht="15.6">
      <c r="C545" s="1" t="s">
        <v>549</v>
      </c>
      <c r="F545" s="1">
        <f>1.5*F544</f>
        <v>7.1317968750000009</v>
      </c>
      <c r="G545" s="7" t="s">
        <v>546</v>
      </c>
      <c r="I545" s="1" t="s">
        <v>548</v>
      </c>
    </row>
    <row r="548" spans="1:15">
      <c r="B548" s="1" t="s">
        <v>221</v>
      </c>
      <c r="C548" s="1" t="s">
        <v>550</v>
      </c>
    </row>
    <row r="550" spans="1:15">
      <c r="C550" s="1" t="s">
        <v>551</v>
      </c>
      <c r="E550" s="68" t="s">
        <v>7</v>
      </c>
      <c r="F550" s="83">
        <v>50</v>
      </c>
      <c r="G550" s="1" t="s">
        <v>8</v>
      </c>
      <c r="I550" s="1" t="s">
        <v>552</v>
      </c>
    </row>
    <row r="551" spans="1:15">
      <c r="C551" s="77" t="s">
        <v>515</v>
      </c>
      <c r="E551" s="68" t="s">
        <v>7</v>
      </c>
      <c r="F551" s="75">
        <v>0.9</v>
      </c>
      <c r="I551" s="1" t="s">
        <v>553</v>
      </c>
    </row>
    <row r="552" spans="1:15" ht="15.6">
      <c r="C552" s="1" t="s">
        <v>555</v>
      </c>
      <c r="E552" s="68" t="s">
        <v>7</v>
      </c>
      <c r="F552" s="63">
        <f>E254/10</f>
        <v>50</v>
      </c>
      <c r="G552" s="1" t="s">
        <v>13</v>
      </c>
      <c r="I552" s="1" t="s">
        <v>554</v>
      </c>
    </row>
    <row r="553" spans="1:15" ht="15.6">
      <c r="C553" s="1" t="s">
        <v>557</v>
      </c>
      <c r="E553" s="68" t="s">
        <v>7</v>
      </c>
      <c r="F553" s="63">
        <f>F552-F550/10</f>
        <v>45</v>
      </c>
      <c r="G553" s="1" t="s">
        <v>13</v>
      </c>
      <c r="I553" s="1" t="s">
        <v>556</v>
      </c>
    </row>
    <row r="555" spans="1:15">
      <c r="F555" s="1">
        <f>F545*1000*100/(F551*0.9*F553*F523)</f>
        <v>4.6585648148148158</v>
      </c>
      <c r="G555" s="7" t="s">
        <v>559</v>
      </c>
      <c r="I555" s="1" t="s">
        <v>558</v>
      </c>
      <c r="O555" s="11"/>
    </row>
    <row r="559" spans="1:15">
      <c r="A559" s="59" t="s">
        <v>560</v>
      </c>
      <c r="B559" s="1" t="s">
        <v>561</v>
      </c>
    </row>
    <row r="561" spans="2:9">
      <c r="B561" s="1" t="s">
        <v>138</v>
      </c>
      <c r="C561" s="1" t="s">
        <v>562</v>
      </c>
    </row>
    <row r="563" spans="2:9">
      <c r="C563" s="1" t="s">
        <v>27</v>
      </c>
      <c r="E563" s="68" t="s">
        <v>7</v>
      </c>
      <c r="F563" s="1" t="str">
        <f>E433</f>
        <v>F1554 Gr36</v>
      </c>
      <c r="I563" s="1" t="s">
        <v>563</v>
      </c>
    </row>
    <row r="564" spans="2:9" ht="16.2">
      <c r="C564" s="1" t="s">
        <v>469</v>
      </c>
      <c r="E564" s="68" t="s">
        <v>7</v>
      </c>
      <c r="F564" s="1">
        <f t="shared" ref="F564:F568" si="38">E434</f>
        <v>2.5310504867047201</v>
      </c>
      <c r="G564" s="1" t="s">
        <v>470</v>
      </c>
      <c r="I564" s="1" t="s">
        <v>404</v>
      </c>
    </row>
    <row r="565" spans="2:9" ht="16.2">
      <c r="C565" s="1" t="s">
        <v>471</v>
      </c>
      <c r="E565" s="68" t="s">
        <v>7</v>
      </c>
      <c r="F565" s="1">
        <f t="shared" si="38"/>
        <v>4.0778035619131598</v>
      </c>
      <c r="G565" s="1" t="s">
        <v>470</v>
      </c>
      <c r="I565" s="1" t="s">
        <v>405</v>
      </c>
    </row>
    <row r="566" spans="2:9" ht="15.6">
      <c r="C566" s="1" t="s">
        <v>472</v>
      </c>
      <c r="E566" s="68" t="s">
        <v>7</v>
      </c>
      <c r="F566" s="1">
        <f t="shared" si="38"/>
        <v>1.25</v>
      </c>
      <c r="G566" s="1" t="s">
        <v>390</v>
      </c>
      <c r="I566" s="1" t="s">
        <v>406</v>
      </c>
    </row>
    <row r="567" spans="2:9" ht="15.6">
      <c r="C567" s="1" t="s">
        <v>473</v>
      </c>
      <c r="E567" s="68" t="s">
        <v>7</v>
      </c>
      <c r="F567" s="1">
        <f t="shared" si="38"/>
        <v>20</v>
      </c>
      <c r="G567" s="1" t="s">
        <v>391</v>
      </c>
      <c r="I567" s="1" t="s">
        <v>407</v>
      </c>
    </row>
    <row r="568" spans="2:9" ht="15.6">
      <c r="C568" s="1" t="s">
        <v>474</v>
      </c>
      <c r="E568" s="68" t="s">
        <v>7</v>
      </c>
      <c r="F568" s="1">
        <f t="shared" si="38"/>
        <v>2.0853892034529045</v>
      </c>
      <c r="G568" s="1" t="s">
        <v>84</v>
      </c>
      <c r="I568" s="1" t="s">
        <v>408</v>
      </c>
    </row>
    <row r="571" spans="2:9">
      <c r="B571" s="1" t="s">
        <v>139</v>
      </c>
      <c r="C571" s="1" t="s">
        <v>564</v>
      </c>
    </row>
    <row r="573" spans="2:9" ht="16.2">
      <c r="C573" s="1" t="s">
        <v>565</v>
      </c>
      <c r="E573" s="68" t="s">
        <v>7</v>
      </c>
      <c r="F573" s="1">
        <f>F565</f>
        <v>4.0778035619131598</v>
      </c>
      <c r="G573" s="1" t="s">
        <v>470</v>
      </c>
      <c r="I573" s="1" t="s">
        <v>567</v>
      </c>
    </row>
    <row r="574" spans="2:9" ht="16.2">
      <c r="C574" s="1" t="s">
        <v>569</v>
      </c>
      <c r="E574" s="68" t="s">
        <v>7</v>
      </c>
      <c r="F574" s="1">
        <f>H458</f>
        <v>6.2523060332275131</v>
      </c>
      <c r="G574" s="1" t="s">
        <v>480</v>
      </c>
      <c r="I574" s="1" t="s">
        <v>63</v>
      </c>
    </row>
    <row r="575" spans="2:9" ht="15.6">
      <c r="C575" s="1" t="s">
        <v>566</v>
      </c>
      <c r="F575" s="1">
        <f>F574*F565/F568</f>
        <v>12.225859695759221</v>
      </c>
      <c r="G575" s="1" t="s">
        <v>536</v>
      </c>
      <c r="I575" s="1" t="s">
        <v>568</v>
      </c>
    </row>
    <row r="578" spans="1:15">
      <c r="B578" s="1" t="s">
        <v>140</v>
      </c>
      <c r="C578" s="1" t="s">
        <v>570</v>
      </c>
    </row>
    <row r="581" spans="1:15">
      <c r="E581" s="11" t="s">
        <v>7</v>
      </c>
      <c r="F581" s="1">
        <f>(F575*1000/2)/(F551*F523)</f>
        <v>1.6171772084337592</v>
      </c>
      <c r="G581" s="7" t="s">
        <v>559</v>
      </c>
      <c r="O581" s="11"/>
    </row>
    <row r="584" spans="1:15">
      <c r="A584" s="59" t="s">
        <v>571</v>
      </c>
      <c r="B584" s="1" t="s">
        <v>572</v>
      </c>
      <c r="M584" s="65"/>
      <c r="N584" s="9"/>
    </row>
    <row r="586" spans="1:15">
      <c r="C586" s="1" t="s">
        <v>585</v>
      </c>
      <c r="F586" s="83">
        <v>12</v>
      </c>
      <c r="G586" s="11" t="s">
        <v>579</v>
      </c>
      <c r="H586" s="76">
        <v>200</v>
      </c>
      <c r="I586" s="11" t="s">
        <v>7</v>
      </c>
      <c r="J586" s="63">
        <f>(PI()*(F586/10)^2)/4*(1000/H586)</f>
        <v>5.6548667764616276</v>
      </c>
      <c r="K586" s="7" t="s">
        <v>559</v>
      </c>
    </row>
    <row r="588" spans="1:15" ht="15.6">
      <c r="C588" s="1" t="s">
        <v>578</v>
      </c>
      <c r="F588" s="1">
        <f>MAX(F581,F555)</f>
        <v>4.6585648148148158</v>
      </c>
      <c r="G588" s="7" t="s">
        <v>559</v>
      </c>
      <c r="H588" s="11">
        <f>F588/J586</f>
        <v>0.82381513110195326</v>
      </c>
      <c r="I588" s="1" t="s">
        <v>573</v>
      </c>
      <c r="O588" s="11"/>
    </row>
    <row r="590" spans="1:15" ht="15.6">
      <c r="C590" s="1" t="s">
        <v>576</v>
      </c>
      <c r="E590" s="68"/>
      <c r="F590" s="1">
        <f>0.0018*F552*100/2</f>
        <v>4.5</v>
      </c>
      <c r="G590" s="7" t="s">
        <v>559</v>
      </c>
      <c r="H590" s="11">
        <f>F590/J586</f>
        <v>0.79577471545947676</v>
      </c>
      <c r="I590" s="1" t="s">
        <v>574</v>
      </c>
    </row>
    <row r="592" spans="1:15" ht="15.6">
      <c r="C592" s="1" t="s">
        <v>577</v>
      </c>
      <c r="E592" s="68"/>
      <c r="F592" s="1">
        <f>0.0025*F552*100/2</f>
        <v>6.25</v>
      </c>
      <c r="G592" s="7" t="s">
        <v>559</v>
      </c>
      <c r="H592" s="11">
        <f>F592/J586</f>
        <v>1.1052426603603842</v>
      </c>
      <c r="I592" s="1" t="s">
        <v>575</v>
      </c>
    </row>
    <row r="595" spans="1:9">
      <c r="A595" s="59" t="s">
        <v>586</v>
      </c>
      <c r="B595" s="1" t="s">
        <v>587</v>
      </c>
    </row>
    <row r="597" spans="1:9">
      <c r="B597" s="1" t="s">
        <v>83</v>
      </c>
      <c r="D597" s="11" t="s">
        <v>7</v>
      </c>
      <c r="E597" s="1">
        <f>E9</f>
        <v>13</v>
      </c>
      <c r="F597" s="7" t="s">
        <v>84</v>
      </c>
      <c r="H597" s="1" t="s">
        <v>306</v>
      </c>
      <c r="I597" s="7"/>
    </row>
    <row r="598" spans="1:9">
      <c r="B598" s="1" t="s">
        <v>317</v>
      </c>
      <c r="D598" s="11" t="s">
        <v>7</v>
      </c>
      <c r="E598" s="1">
        <f>E260</f>
        <v>2.15</v>
      </c>
      <c r="F598" s="1" t="s">
        <v>84</v>
      </c>
      <c r="H598" s="1" t="s">
        <v>320</v>
      </c>
    </row>
    <row r="599" spans="1:9" ht="15.6">
      <c r="B599" s="1" t="s">
        <v>588</v>
      </c>
      <c r="D599" s="11" t="s">
        <v>7</v>
      </c>
      <c r="E599" s="83">
        <v>75</v>
      </c>
      <c r="F599" s="1" t="s">
        <v>8</v>
      </c>
      <c r="H599" s="1" t="s">
        <v>589</v>
      </c>
    </row>
    <row r="600" spans="1:9" ht="15.6">
      <c r="B600" s="1" t="s">
        <v>595</v>
      </c>
      <c r="D600" s="11" t="s">
        <v>7</v>
      </c>
      <c r="E600" s="83">
        <v>16</v>
      </c>
      <c r="F600" s="1" t="s">
        <v>8</v>
      </c>
      <c r="H600" s="1" t="s">
        <v>594</v>
      </c>
    </row>
    <row r="601" spans="1:9" ht="15.6">
      <c r="B601" s="1" t="s">
        <v>591</v>
      </c>
      <c r="D601" s="11" t="s">
        <v>7</v>
      </c>
      <c r="E601" s="63">
        <f>E598*100-E599/10-2*E600/10</f>
        <v>204.3</v>
      </c>
      <c r="F601" s="1" t="s">
        <v>13</v>
      </c>
      <c r="H601" s="1" t="s">
        <v>590</v>
      </c>
    </row>
    <row r="603" spans="1:9">
      <c r="B603" s="1" t="s">
        <v>138</v>
      </c>
      <c r="C603" s="1" t="s">
        <v>596</v>
      </c>
    </row>
    <row r="605" spans="1:9">
      <c r="F605" s="1">
        <f>1.6*(F531+F538)*E597/2</f>
        <v>61.288499999999999</v>
      </c>
      <c r="G605" s="1" t="s">
        <v>16</v>
      </c>
    </row>
    <row r="607" spans="1:9">
      <c r="I607" s="117" t="s">
        <v>597</v>
      </c>
    </row>
    <row r="608" spans="1:9">
      <c r="B608" s="1" t="s">
        <v>139</v>
      </c>
      <c r="C608" s="1" t="s">
        <v>598</v>
      </c>
    </row>
    <row r="610" spans="1:22">
      <c r="C610" s="1" t="s">
        <v>585</v>
      </c>
      <c r="F610" s="83">
        <v>12</v>
      </c>
      <c r="G610" s="11" t="s">
        <v>579</v>
      </c>
      <c r="H610" s="76">
        <v>200</v>
      </c>
      <c r="I610" s="11" t="s">
        <v>7</v>
      </c>
      <c r="J610" s="63">
        <f>(PI()*(F610/10)^2)/4*(1000/H610)</f>
        <v>5.6548667764616276</v>
      </c>
      <c r="K610" s="7" t="s">
        <v>559</v>
      </c>
    </row>
    <row r="612" spans="1:22" ht="15.6">
      <c r="C612" s="1" t="s">
        <v>599</v>
      </c>
      <c r="E612" s="11" t="s">
        <v>7</v>
      </c>
      <c r="F612" s="1">
        <f>(PI()*(F610/10)^2)/4</f>
        <v>1.1309733552923256</v>
      </c>
      <c r="G612" s="7" t="s">
        <v>11</v>
      </c>
      <c r="I612" s="1" t="s">
        <v>600</v>
      </c>
    </row>
    <row r="613" spans="1:22">
      <c r="C613" s="1" t="s">
        <v>19</v>
      </c>
      <c r="E613" s="11" t="s">
        <v>7</v>
      </c>
      <c r="F613" s="1">
        <f>INT(E601*10/H610+1)</f>
        <v>11</v>
      </c>
      <c r="G613" s="1" t="s">
        <v>601</v>
      </c>
      <c r="T613" s="11"/>
      <c r="U613" s="67"/>
    </row>
    <row r="614" spans="1:22" ht="15.6">
      <c r="C614" s="1" t="s">
        <v>602</v>
      </c>
      <c r="E614" s="11" t="s">
        <v>7</v>
      </c>
      <c r="F614" s="63">
        <f>F551*F523*F612*2*F613/1000</f>
        <v>94.05174422610979</v>
      </c>
      <c r="G614" s="1" t="s">
        <v>16</v>
      </c>
      <c r="H614" s="11">
        <f>F605/F614</f>
        <v>0.65164660692157206</v>
      </c>
      <c r="I614" s="108" t="str">
        <f>IF(H614&lt;1,"","Armadura insuficiente")</f>
        <v/>
      </c>
      <c r="T614" s="11"/>
      <c r="U614" s="63"/>
      <c r="V614" s="7"/>
    </row>
    <row r="616" spans="1:22" ht="15.6">
      <c r="C616" s="1" t="s">
        <v>603</v>
      </c>
      <c r="E616" s="68"/>
      <c r="F616" s="1">
        <f>0.0025*F552*100/2</f>
        <v>6.25</v>
      </c>
      <c r="G616" s="7" t="s">
        <v>559</v>
      </c>
      <c r="H616" s="11">
        <f>F616/J610</f>
        <v>1.1052426603603842</v>
      </c>
      <c r="I616" s="1" t="s">
        <v>575</v>
      </c>
    </row>
    <row r="618" spans="1:22" ht="15.6">
      <c r="C618" s="1" t="s">
        <v>606</v>
      </c>
      <c r="E618" s="11" t="s">
        <v>7</v>
      </c>
      <c r="F618" s="1">
        <f>F605/F614</f>
        <v>0.65164660692157206</v>
      </c>
      <c r="G618" s="68"/>
      <c r="H618" s="105">
        <f>F618</f>
        <v>0.65164660692157206</v>
      </c>
      <c r="I618" s="1" t="s">
        <v>501</v>
      </c>
      <c r="P618" s="108" t="str">
        <f>IF(H618&gt;=1,"Falla perno en corte","")</f>
        <v/>
      </c>
    </row>
    <row r="621" spans="1:22">
      <c r="A621" s="59" t="s">
        <v>607</v>
      </c>
      <c r="B621" s="1" t="s">
        <v>608</v>
      </c>
    </row>
    <row r="623" spans="1:22" ht="15.6">
      <c r="B623" s="1" t="s">
        <v>138</v>
      </c>
      <c r="C623" s="1" t="s">
        <v>609</v>
      </c>
      <c r="H623" s="80" t="s">
        <v>610</v>
      </c>
      <c r="I623" s="1">
        <v>0.75</v>
      </c>
    </row>
    <row r="625" spans="3:17">
      <c r="C625" s="1" t="s">
        <v>611</v>
      </c>
    </row>
    <row r="626" spans="3:17">
      <c r="C626" s="1" t="s">
        <v>612</v>
      </c>
    </row>
    <row r="627" spans="3:17">
      <c r="C627" s="1" t="s">
        <v>613</v>
      </c>
    </row>
    <row r="630" spans="3:17" ht="15.6">
      <c r="C630" s="1" t="s">
        <v>615</v>
      </c>
      <c r="E630" s="11"/>
      <c r="F630" s="1">
        <f>2*COS(60*PI()/180)*E597/2</f>
        <v>6.5000000000000018</v>
      </c>
      <c r="G630" s="1" t="s">
        <v>84</v>
      </c>
    </row>
    <row r="632" spans="3:17" ht="19.2">
      <c r="C632" s="1" t="s">
        <v>614</v>
      </c>
      <c r="E632" s="11" t="s">
        <v>7</v>
      </c>
      <c r="F632" s="1">
        <f>1.5*P374/2</f>
        <v>73.390472946346648</v>
      </c>
      <c r="G632" s="1" t="s">
        <v>16</v>
      </c>
      <c r="H632" s="1" t="s">
        <v>616</v>
      </c>
    </row>
    <row r="634" spans="3:17" ht="15.6">
      <c r="C634" s="1" t="s">
        <v>618</v>
      </c>
      <c r="E634" s="68" t="s">
        <v>7</v>
      </c>
      <c r="F634" s="63">
        <f>E41*VARS!Q4</f>
        <v>30</v>
      </c>
      <c r="G634" s="7" t="s">
        <v>620</v>
      </c>
    </row>
    <row r="636" spans="3:17" ht="15.6">
      <c r="C636" s="1" t="s">
        <v>555</v>
      </c>
      <c r="E636" s="68" t="s">
        <v>7</v>
      </c>
      <c r="F636" s="67">
        <f>$E$254</f>
        <v>500</v>
      </c>
      <c r="G636" s="1" t="s">
        <v>8</v>
      </c>
    </row>
    <row r="638" spans="3:17" ht="15.6">
      <c r="I638" s="1" t="s">
        <v>628</v>
      </c>
      <c r="N638" s="1" t="s">
        <v>617</v>
      </c>
      <c r="O638" s="11" t="s">
        <v>7</v>
      </c>
      <c r="P638" s="1">
        <f>(SQRT(F634)*F636*F630/6)*1000*VARS!Q5</f>
        <v>302.53251822178328</v>
      </c>
      <c r="Q638" s="1" t="s">
        <v>16</v>
      </c>
    </row>
    <row r="640" spans="3:17" ht="15.6">
      <c r="C640" s="1" t="s">
        <v>599</v>
      </c>
      <c r="E640" s="11" t="s">
        <v>7</v>
      </c>
      <c r="F640" s="1">
        <f>F612</f>
        <v>1.1309733552923256</v>
      </c>
      <c r="G640" s="7" t="s">
        <v>11</v>
      </c>
      <c r="I640" s="1" t="s">
        <v>600</v>
      </c>
    </row>
    <row r="641" spans="1:21" ht="15.6">
      <c r="C641" s="1" t="s">
        <v>622</v>
      </c>
      <c r="E641" s="11" t="s">
        <v>7</v>
      </c>
      <c r="F641" s="1">
        <f>F640*2</f>
        <v>2.2619467105846511</v>
      </c>
      <c r="G641" s="7" t="s">
        <v>11</v>
      </c>
      <c r="I641" s="1" t="s">
        <v>623</v>
      </c>
    </row>
    <row r="642" spans="1:21" ht="15.6">
      <c r="C642" s="1" t="s">
        <v>624</v>
      </c>
      <c r="E642" s="11" t="s">
        <v>7</v>
      </c>
      <c r="F642" s="63">
        <f>H610/10</f>
        <v>20</v>
      </c>
      <c r="G642" s="7" t="s">
        <v>13</v>
      </c>
      <c r="I642" s="1" t="s">
        <v>625</v>
      </c>
    </row>
    <row r="644" spans="1:21" ht="15.6">
      <c r="I644" s="1" t="s">
        <v>627</v>
      </c>
      <c r="N644" s="1" t="s">
        <v>626</v>
      </c>
      <c r="O644" s="11" t="s">
        <v>7</v>
      </c>
      <c r="P644" s="63">
        <f>F641*F523*(F630*100)/F642/1000</f>
        <v>308.755725994805</v>
      </c>
      <c r="Q644" s="1" t="s">
        <v>16</v>
      </c>
    </row>
    <row r="647" spans="1:21">
      <c r="C647" s="1" t="s">
        <v>629</v>
      </c>
      <c r="T647" s="1" t="s">
        <v>630</v>
      </c>
      <c r="U647" s="1">
        <f>F632</f>
        <v>73.390472946346648</v>
      </c>
    </row>
    <row r="648" spans="1:21">
      <c r="T648" s="1" t="s">
        <v>631</v>
      </c>
      <c r="U648" s="1">
        <f>I623*(P638+(1-F618)*P644)</f>
        <v>307.5664672533502</v>
      </c>
    </row>
    <row r="649" spans="1:21">
      <c r="F649" s="1">
        <f>U647</f>
        <v>73.390472946346648</v>
      </c>
      <c r="G649" s="11" t="str">
        <f>IF(U647&lt;U648,"&lt;","&gt;")</f>
        <v>&lt;</v>
      </c>
      <c r="H649" s="63">
        <f>U648</f>
        <v>307.5664672533502</v>
      </c>
      <c r="I649" s="105">
        <f>F649/H649</f>
        <v>0.2386166268440866</v>
      </c>
      <c r="J649" s="108" t="str">
        <f>IF(F649&gt;H649,"Falla","")</f>
        <v/>
      </c>
    </row>
    <row r="653" spans="1:21">
      <c r="A653" s="57" t="s">
        <v>632</v>
      </c>
      <c r="B653" s="58" t="s">
        <v>633</v>
      </c>
      <c r="D653" s="58"/>
    </row>
    <row r="668" spans="1:10">
      <c r="A668" s="1" t="s">
        <v>634</v>
      </c>
    </row>
    <row r="670" spans="1:10" ht="16.2">
      <c r="B670" s="80" t="s">
        <v>635</v>
      </c>
      <c r="D670" s="68" t="s">
        <v>7</v>
      </c>
      <c r="E670" s="1">
        <f>G406</f>
        <v>10.24156035255511</v>
      </c>
      <c r="F670" s="1" t="s">
        <v>460</v>
      </c>
      <c r="I670" s="1" t="s">
        <v>636</v>
      </c>
    </row>
    <row r="672" spans="1:10">
      <c r="B672" s="1" t="s">
        <v>585</v>
      </c>
      <c r="E672" s="83">
        <v>12</v>
      </c>
      <c r="F672" s="11" t="s">
        <v>579</v>
      </c>
      <c r="G672" s="76">
        <v>200</v>
      </c>
      <c r="H672" s="11" t="s">
        <v>7</v>
      </c>
      <c r="I672" s="63">
        <f>(PI()*(E672/10)^2)/4*(1000/G672)</f>
        <v>5.6548667764616276</v>
      </c>
      <c r="J672" s="7" t="s">
        <v>559</v>
      </c>
    </row>
    <row r="674" spans="1:9" ht="15.6">
      <c r="B674" s="1" t="s">
        <v>637</v>
      </c>
      <c r="E674" s="1">
        <f>0.5*(E256-E254)/1000</f>
        <v>0.75</v>
      </c>
      <c r="F674" s="1" t="s">
        <v>84</v>
      </c>
    </row>
    <row r="675" spans="1:9">
      <c r="A675" s="59"/>
    </row>
    <row r="676" spans="1:9">
      <c r="E676" s="1">
        <f>0.5*E670*(E674^2)</f>
        <v>2.8804388491561248</v>
      </c>
      <c r="F676" s="1" t="s">
        <v>638</v>
      </c>
    </row>
    <row r="678" spans="1:9" ht="15.6">
      <c r="B678" s="1" t="s">
        <v>639</v>
      </c>
      <c r="E678" s="1">
        <f>1.5*E676</f>
        <v>4.3206582737341872</v>
      </c>
      <c r="F678" s="1" t="s">
        <v>638</v>
      </c>
    </row>
    <row r="680" spans="1:9" ht="15.6">
      <c r="B680" s="1" t="s">
        <v>640</v>
      </c>
      <c r="D680" s="68" t="s">
        <v>7</v>
      </c>
      <c r="E680" s="67">
        <f>E257</f>
        <v>400</v>
      </c>
      <c r="F680" s="1" t="s">
        <v>8</v>
      </c>
      <c r="I680" s="1" t="s">
        <v>641</v>
      </c>
    </row>
    <row r="681" spans="1:9" ht="15.6">
      <c r="B681" s="1" t="s">
        <v>588</v>
      </c>
      <c r="D681" s="68" t="s">
        <v>7</v>
      </c>
      <c r="E681" s="67">
        <f>E599</f>
        <v>75</v>
      </c>
      <c r="F681" s="1" t="s">
        <v>8</v>
      </c>
      <c r="I681" s="1" t="s">
        <v>642</v>
      </c>
    </row>
    <row r="682" spans="1:9" ht="15.6">
      <c r="B682" s="1" t="s">
        <v>643</v>
      </c>
      <c r="D682" s="68"/>
      <c r="E682" s="63">
        <f>(E680-E681)/10</f>
        <v>32.5</v>
      </c>
      <c r="F682" s="1" t="s">
        <v>13</v>
      </c>
    </row>
    <row r="684" spans="1:9">
      <c r="B684" s="77" t="s">
        <v>515</v>
      </c>
      <c r="D684" s="68" t="s">
        <v>7</v>
      </c>
      <c r="E684" s="1">
        <v>0.9</v>
      </c>
    </row>
    <row r="686" spans="1:9" ht="16.2">
      <c r="D686" s="68"/>
      <c r="E686" s="1">
        <f>E678*100000/(E684*0.9*E682*F523)</f>
        <v>3.9077992798210888</v>
      </c>
      <c r="F686" s="1" t="s">
        <v>645</v>
      </c>
      <c r="G686" s="11">
        <f>E686/I672</f>
        <v>0.6910506355494167</v>
      </c>
      <c r="I686" s="1" t="s">
        <v>644</v>
      </c>
    </row>
    <row r="689" spans="1:15" ht="16.2">
      <c r="B689" s="1" t="s">
        <v>646</v>
      </c>
      <c r="E689" s="1">
        <f>0.0018*E680/10/2*100</f>
        <v>3.5999999999999996</v>
      </c>
      <c r="F689" s="1" t="s">
        <v>645</v>
      </c>
      <c r="G689" s="11">
        <f>E689/I672</f>
        <v>0.63661977236758127</v>
      </c>
      <c r="I689" s="1" t="s">
        <v>647</v>
      </c>
    </row>
    <row r="691" spans="1:15" ht="15.6">
      <c r="B691" s="1" t="s">
        <v>648</v>
      </c>
      <c r="E691" s="1">
        <f>E670*E674/2</f>
        <v>3.8405851322081661</v>
      </c>
      <c r="F691" s="1" t="s">
        <v>536</v>
      </c>
      <c r="I691" s="1" t="s">
        <v>649</v>
      </c>
    </row>
    <row r="693" spans="1:15">
      <c r="E693" s="1">
        <f>(SQRT(F634)/6)*(E682*10)*1000*VARS!Q5</f>
        <v>30.253251822178314</v>
      </c>
      <c r="F693" s="1" t="s">
        <v>536</v>
      </c>
      <c r="I693" s="1" t="s">
        <v>650</v>
      </c>
    </row>
    <row r="695" spans="1:15">
      <c r="B695" s="1" t="s">
        <v>629</v>
      </c>
    </row>
    <row r="697" spans="1:15">
      <c r="E697" s="1">
        <f>E691</f>
        <v>3.8405851322081661</v>
      </c>
      <c r="F697" s="11" t="str">
        <f>IF(E697&lt;G697,"&lt;","&gt;")</f>
        <v>&lt;</v>
      </c>
      <c r="G697" s="63">
        <f>I623*E693</f>
        <v>22.689938866633735</v>
      </c>
      <c r="H697" s="105">
        <f>E697/G697</f>
        <v>0.16926379373616854</v>
      </c>
      <c r="I697" s="108" t="str">
        <f>IF(E697&gt;G697,"El hormigón no resiste el corte por sí sólo","")</f>
        <v/>
      </c>
    </row>
    <row r="701" spans="1:15">
      <c r="A701" s="57" t="s">
        <v>651</v>
      </c>
      <c r="B701" s="58" t="s">
        <v>652</v>
      </c>
      <c r="D701" s="58"/>
    </row>
    <row r="702" spans="1:15">
      <c r="A702" s="57"/>
      <c r="B702" s="58"/>
      <c r="D702" s="58"/>
    </row>
    <row r="703" spans="1:15" ht="30" customHeight="1">
      <c r="B703" s="139" t="s">
        <v>653</v>
      </c>
      <c r="C703" s="139"/>
      <c r="D703" s="139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</row>
    <row r="721" spans="1:18">
      <c r="A721" s="59" t="s">
        <v>654</v>
      </c>
      <c r="B721" s="1" t="s">
        <v>655</v>
      </c>
    </row>
    <row r="723" spans="1:18">
      <c r="B723" s="1" t="s">
        <v>656</v>
      </c>
    </row>
    <row r="724" spans="1:18">
      <c r="B724" s="1" t="s">
        <v>657</v>
      </c>
    </row>
    <row r="726" spans="1:18" ht="15.6">
      <c r="C726" s="1" t="s">
        <v>665</v>
      </c>
      <c r="E726" s="68" t="s">
        <v>7</v>
      </c>
      <c r="F726" s="67">
        <f>F586</f>
        <v>12</v>
      </c>
      <c r="G726" s="1" t="s">
        <v>24</v>
      </c>
      <c r="I726" s="1" t="s">
        <v>667</v>
      </c>
    </row>
    <row r="727" spans="1:18" ht="15.6">
      <c r="C727" s="1" t="s">
        <v>664</v>
      </c>
      <c r="E727" s="68" t="s">
        <v>7</v>
      </c>
      <c r="F727" s="67">
        <f>VLOOKUP(F726,VARS!M64:U73,9,FALSE)</f>
        <v>438.17804600413285</v>
      </c>
      <c r="G727" s="1" t="s">
        <v>24</v>
      </c>
      <c r="I727" s="1" t="s">
        <v>666</v>
      </c>
    </row>
    <row r="728" spans="1:18">
      <c r="C728" s="1" t="s">
        <v>668</v>
      </c>
      <c r="E728" s="68" t="s">
        <v>7</v>
      </c>
      <c r="F728" s="67">
        <f>(E254/2)-E249</f>
        <v>120</v>
      </c>
      <c r="G728" s="1" t="s">
        <v>24</v>
      </c>
      <c r="I728" s="1" t="s">
        <v>669</v>
      </c>
    </row>
    <row r="729" spans="1:18" ht="16.8">
      <c r="C729" s="1" t="s">
        <v>663</v>
      </c>
      <c r="E729" s="68"/>
      <c r="F729" s="67">
        <f>F727+F728*SIN(35*PI()/180)</f>
        <v>507.00721836625837</v>
      </c>
      <c r="G729" s="1" t="s">
        <v>24</v>
      </c>
      <c r="I729" s="1" t="s">
        <v>671</v>
      </c>
      <c r="Q729" s="82" t="s">
        <v>670</v>
      </c>
      <c r="R729" s="82"/>
    </row>
    <row r="732" spans="1:18" ht="15.6">
      <c r="A732" s="59" t="s">
        <v>672</v>
      </c>
      <c r="B732" s="1" t="s">
        <v>684</v>
      </c>
      <c r="H732" s="80" t="s">
        <v>674</v>
      </c>
      <c r="I732" s="1">
        <v>0.75</v>
      </c>
    </row>
    <row r="734" spans="1:18" ht="15.6">
      <c r="B734" s="1" t="s">
        <v>676</v>
      </c>
      <c r="E734" s="68" t="s">
        <v>7</v>
      </c>
      <c r="F734" s="1">
        <f>P445</f>
        <v>1.3945529956280742</v>
      </c>
      <c r="G734" s="1" t="s">
        <v>16</v>
      </c>
      <c r="I734" s="1" t="s">
        <v>673</v>
      </c>
    </row>
    <row r="735" spans="1:18" ht="19.2">
      <c r="B735" s="1" t="s">
        <v>678</v>
      </c>
      <c r="E735" s="68" t="s">
        <v>7</v>
      </c>
      <c r="F735" s="1">
        <f>F734*1.5</f>
        <v>2.0918294934421113</v>
      </c>
      <c r="G735" s="1" t="s">
        <v>16</v>
      </c>
      <c r="I735" s="1" t="s">
        <v>675</v>
      </c>
    </row>
    <row r="736" spans="1:18" ht="15.6">
      <c r="B736" s="1" t="s">
        <v>472</v>
      </c>
      <c r="E736" s="68" t="s">
        <v>7</v>
      </c>
      <c r="F736" s="128">
        <f>E436</f>
        <v>1.25</v>
      </c>
      <c r="G736" s="1" t="s">
        <v>390</v>
      </c>
      <c r="I736" s="1" t="s">
        <v>679</v>
      </c>
    </row>
    <row r="737" spans="2:9" ht="16.2">
      <c r="B737" s="1" t="s">
        <v>680</v>
      </c>
      <c r="E737" s="68" t="s">
        <v>7</v>
      </c>
      <c r="F737" s="1">
        <f>H454</f>
        <v>4.0778035619131598</v>
      </c>
      <c r="G737" s="1" t="s">
        <v>470</v>
      </c>
      <c r="I737" s="1" t="s">
        <v>681</v>
      </c>
    </row>
    <row r="738" spans="2:9" ht="15.6">
      <c r="B738" s="1" t="s">
        <v>479</v>
      </c>
      <c r="E738" s="68" t="s">
        <v>7</v>
      </c>
      <c r="F738" s="63">
        <f>H456</f>
        <v>7</v>
      </c>
      <c r="I738" s="1" t="s">
        <v>419</v>
      </c>
    </row>
    <row r="739" spans="2:9" ht="15.6">
      <c r="B739" s="80" t="s">
        <v>478</v>
      </c>
      <c r="E739" s="68" t="s">
        <v>7</v>
      </c>
      <c r="F739" s="1">
        <v>0.75</v>
      </c>
      <c r="I739" s="1" t="s">
        <v>682</v>
      </c>
    </row>
    <row r="740" spans="2:9" ht="16.2">
      <c r="B740" s="1" t="s">
        <v>569</v>
      </c>
      <c r="E740" s="68" t="s">
        <v>7</v>
      </c>
      <c r="F740" s="1">
        <f>H458</f>
        <v>6.2523060332275131</v>
      </c>
      <c r="G740" s="1" t="s">
        <v>480</v>
      </c>
      <c r="I740" s="1" t="s">
        <v>421</v>
      </c>
    </row>
    <row r="741" spans="2:9" ht="15.6">
      <c r="B741" s="80" t="s">
        <v>683</v>
      </c>
      <c r="E741" s="68" t="s">
        <v>7</v>
      </c>
      <c r="F741" s="1">
        <f>H460</f>
        <v>19.12175685934972</v>
      </c>
      <c r="G741" s="1" t="s">
        <v>16</v>
      </c>
      <c r="H741" s="105">
        <f>F735/F741</f>
        <v>0.10939525634744678</v>
      </c>
      <c r="I741" s="1" t="s">
        <v>422</v>
      </c>
    </row>
    <row r="743" spans="2:9">
      <c r="B743" s="1" t="s">
        <v>685</v>
      </c>
      <c r="E743" s="68" t="s">
        <v>7</v>
      </c>
      <c r="F743" s="67">
        <f>E254-F728</f>
        <v>380</v>
      </c>
      <c r="G743" s="1" t="s">
        <v>8</v>
      </c>
      <c r="I743" s="1" t="s">
        <v>686</v>
      </c>
    </row>
    <row r="744" spans="2:9">
      <c r="B744" s="1" t="s">
        <v>668</v>
      </c>
      <c r="E744" s="68" t="s">
        <v>7</v>
      </c>
      <c r="F744" s="67">
        <f>F728</f>
        <v>120</v>
      </c>
      <c r="G744" s="1" t="s">
        <v>8</v>
      </c>
      <c r="I744" s="1" t="s">
        <v>687</v>
      </c>
    </row>
    <row r="745" spans="2:9">
      <c r="B745" s="1" t="s">
        <v>688</v>
      </c>
      <c r="E745" s="68" t="s">
        <v>7</v>
      </c>
      <c r="F745" s="67">
        <f>MIN(F744,F743)</f>
        <v>120</v>
      </c>
      <c r="G745" s="1" t="s">
        <v>8</v>
      </c>
      <c r="I745" s="1" t="s">
        <v>689</v>
      </c>
    </row>
    <row r="747" spans="2:9" ht="15.6">
      <c r="B747" s="1" t="s">
        <v>690</v>
      </c>
      <c r="E747" s="68" t="s">
        <v>7</v>
      </c>
      <c r="F747" s="129">
        <v>100</v>
      </c>
      <c r="G747" s="1" t="s">
        <v>8</v>
      </c>
      <c r="I747" s="1" t="s">
        <v>691</v>
      </c>
    </row>
    <row r="748" spans="2:9" ht="15.6">
      <c r="B748" s="1" t="s">
        <v>693</v>
      </c>
      <c r="E748" s="68" t="s">
        <v>7</v>
      </c>
      <c r="F748" s="129">
        <v>100</v>
      </c>
      <c r="G748" s="1" t="s">
        <v>8</v>
      </c>
      <c r="I748" s="1" t="s">
        <v>692</v>
      </c>
    </row>
    <row r="749" spans="2:9" ht="16.2">
      <c r="B749" s="1" t="s">
        <v>694</v>
      </c>
      <c r="E749" s="68" t="s">
        <v>7</v>
      </c>
      <c r="F749" s="63">
        <f>F747*F748/100</f>
        <v>100</v>
      </c>
      <c r="G749" s="1" t="s">
        <v>480</v>
      </c>
      <c r="I749" s="1" t="s">
        <v>695</v>
      </c>
    </row>
    <row r="751" spans="2:9" ht="16.2">
      <c r="E751" s="68" t="s">
        <v>7</v>
      </c>
      <c r="F751" s="63">
        <f>F749-PI()/4*(F736*2.54)^2</f>
        <v>92.082695639101601</v>
      </c>
      <c r="G751" s="1" t="s">
        <v>480</v>
      </c>
      <c r="I751" s="1" t="s">
        <v>696</v>
      </c>
    </row>
    <row r="753" spans="2:11" ht="15.6">
      <c r="B753" s="1" t="s">
        <v>618</v>
      </c>
      <c r="E753" s="68" t="s">
        <v>7</v>
      </c>
      <c r="F753" s="63">
        <f>E41*VARS!Q4</f>
        <v>30</v>
      </c>
      <c r="G753" s="7" t="s">
        <v>620</v>
      </c>
    </row>
    <row r="756" spans="2:11">
      <c r="H756" s="68" t="s">
        <v>7</v>
      </c>
      <c r="I756" s="1">
        <f>(I732*(13*F745*SQRT(F751*100)*SQRT(F753))*((1+F744/F745)/4))*VARS!Q5</f>
        <v>31.353413495232722</v>
      </c>
      <c r="J756" s="1" t="s">
        <v>16</v>
      </c>
      <c r="K756" s="105">
        <f>F741/I756</f>
        <v>0.60987799182558478</v>
      </c>
    </row>
    <row r="759" spans="2:11">
      <c r="B759" s="1" t="s">
        <v>697</v>
      </c>
    </row>
    <row r="760" spans="2:11" ht="15.6">
      <c r="D760" s="1" t="s">
        <v>677</v>
      </c>
      <c r="E760" s="11" t="s">
        <v>698</v>
      </c>
      <c r="F760" s="1" t="s">
        <v>699</v>
      </c>
      <c r="G760" s="11" t="s">
        <v>698</v>
      </c>
      <c r="H760" s="1" t="s">
        <v>700</v>
      </c>
      <c r="J760" s="108" t="str">
        <f>IF(F761&lt;H761,"","Falla el hormigón antes que los pernos de anclaje")</f>
        <v/>
      </c>
    </row>
    <row r="761" spans="2:11">
      <c r="D761" s="1">
        <f>F735</f>
        <v>2.0918294934421113</v>
      </c>
      <c r="E761" s="11" t="str">
        <f>IF(D761&lt;F761,"&lt;","&gt;")</f>
        <v>&lt;</v>
      </c>
      <c r="F761" s="1">
        <f>0.75*F741</f>
        <v>14.341317644512291</v>
      </c>
      <c r="G761" s="11" t="str">
        <f>IF(F761&lt;H761,"&lt;","&gt;")</f>
        <v>&lt;</v>
      </c>
      <c r="H761" s="1">
        <f>0.75*I756</f>
        <v>23.51506012142454</v>
      </c>
      <c r="J761" s="105">
        <f>IF(AND(D761/F761&lt;1,F761/H761&lt;1),0.5,1)</f>
        <v>0.5</v>
      </c>
    </row>
  </sheetData>
  <mergeCells count="1">
    <mergeCell ref="B703:O703"/>
  </mergeCells>
  <conditionalFormatting sqref="G686">
    <cfRule type="iconSet" priority="5">
      <iconSet iconSet="3Symbols" showValue="0" reverse="1">
        <cfvo type="percent" val="0"/>
        <cfvo type="num" val="0.95"/>
        <cfvo type="num" val="1" gte="0"/>
      </iconSet>
    </cfRule>
  </conditionalFormatting>
  <conditionalFormatting sqref="G689">
    <cfRule type="iconSet" priority="4">
      <iconSet iconSet="3Symbols" showValue="0" reverse="1">
        <cfvo type="percent" val="0"/>
        <cfvo type="num" val="0.95"/>
        <cfvo type="num" val="1" gte="0"/>
      </iconSet>
    </cfRule>
  </conditionalFormatting>
  <conditionalFormatting sqref="H436">
    <cfRule type="iconSet" priority="22">
      <iconSet iconSet="3Symbols" showValue="0">
        <cfvo type="percent" val="0"/>
        <cfvo type="num" val="0.98"/>
        <cfvo type="num" val="1"/>
      </iconSet>
    </cfRule>
  </conditionalFormatting>
  <conditionalFormatting sqref="H437">
    <cfRule type="iconSet" priority="23">
      <iconSet iconSet="3Symbols" showValue="0">
        <cfvo type="percent" val="0"/>
        <cfvo type="num" val="0.98"/>
        <cfvo type="num" val="1"/>
      </iconSet>
    </cfRule>
  </conditionalFormatting>
  <conditionalFormatting sqref="H438">
    <cfRule type="iconSet" priority="21">
      <iconSet iconSet="3Symbols" showValue="0" reverse="1">
        <cfvo type="percent" val="0"/>
        <cfvo type="num" val="1.0000100000000001"/>
        <cfvo type="num" val="1.03"/>
      </iconSet>
    </cfRule>
  </conditionalFormatting>
  <conditionalFormatting sqref="H588">
    <cfRule type="iconSet" priority="13">
      <iconSet iconSet="3Symbols" showValue="0" reverse="1">
        <cfvo type="percent" val="0"/>
        <cfvo type="num" val="0.95"/>
        <cfvo type="num" val="1" gte="0"/>
      </iconSet>
    </cfRule>
  </conditionalFormatting>
  <conditionalFormatting sqref="H590">
    <cfRule type="iconSet" priority="12">
      <iconSet iconSet="3Symbols" showValue="0" reverse="1">
        <cfvo type="percent" val="0"/>
        <cfvo type="num" val="0.95"/>
        <cfvo type="num" val="1" gte="0"/>
      </iconSet>
    </cfRule>
  </conditionalFormatting>
  <conditionalFormatting sqref="H592">
    <cfRule type="iconSet" priority="11">
      <iconSet iconSet="3Symbols" showValue="0" reverse="1">
        <cfvo type="percent" val="0"/>
        <cfvo type="num" val="0.95"/>
        <cfvo type="num" val="1" gte="0"/>
      </iconSet>
    </cfRule>
  </conditionalFormatting>
  <conditionalFormatting sqref="H614">
    <cfRule type="iconSet" priority="10">
      <iconSet iconSet="3Symbols" showValue="0" reverse="1">
        <cfvo type="percent" val="0"/>
        <cfvo type="num" val="0.95"/>
        <cfvo type="num" val="1" gte="0"/>
      </iconSet>
    </cfRule>
  </conditionalFormatting>
  <conditionalFormatting sqref="H616">
    <cfRule type="iconSet" priority="9">
      <iconSet iconSet="3Symbols" showValue="0" reverse="1">
        <cfvo type="percent" val="0"/>
        <cfvo type="num" val="0.95"/>
        <cfvo type="num" val="1" gte="0"/>
      </iconSet>
    </cfRule>
  </conditionalFormatting>
  <conditionalFormatting sqref="H618">
    <cfRule type="iconSet" priority="8">
      <iconSet iconSet="3Symbols" showValue="0" reverse="1">
        <cfvo type="percent" val="0"/>
        <cfvo type="num" val="0.95"/>
        <cfvo type="num" val="1"/>
      </iconSet>
    </cfRule>
  </conditionalFormatting>
  <conditionalFormatting sqref="H697">
    <cfRule type="iconSet" priority="6">
      <iconSet iconSet="3Symbols" showValue="0" reverse="1">
        <cfvo type="percent" val="0"/>
        <cfvo type="num" val="0.95"/>
        <cfvo type="num" val="1"/>
      </iconSet>
    </cfRule>
  </conditionalFormatting>
  <conditionalFormatting sqref="H741">
    <cfRule type="iconSet" priority="3">
      <iconSet iconSet="3Symbols" showValue="0" reverse="1">
        <cfvo type="percent" val="0"/>
        <cfvo type="num" val="0.95"/>
        <cfvo type="num" val="1"/>
      </iconSet>
    </cfRule>
  </conditionalFormatting>
  <conditionalFormatting sqref="I462">
    <cfRule type="iconSet" priority="19">
      <iconSet iconSet="3Symbols" showValue="0" reverse="1">
        <cfvo type="percent" val="0"/>
        <cfvo type="num" val="0.95"/>
        <cfvo type="num" val="1"/>
      </iconSet>
    </cfRule>
  </conditionalFormatting>
  <conditionalFormatting sqref="I486">
    <cfRule type="iconSet" priority="18">
      <iconSet iconSet="3Symbols" showValue="0" reverse="1">
        <cfvo type="percent" val="0"/>
        <cfvo type="num" val="0.95"/>
        <cfvo type="num" val="1"/>
      </iconSet>
    </cfRule>
  </conditionalFormatting>
  <conditionalFormatting sqref="I491">
    <cfRule type="iconSet" priority="17">
      <iconSet iconSet="3Symbols" showValue="0" reverse="1">
        <cfvo type="percent" val="0"/>
        <cfvo type="num" val="1.1499999999999999"/>
        <cfvo type="num" val="1.2" gte="0"/>
      </iconSet>
    </cfRule>
  </conditionalFormatting>
  <conditionalFormatting sqref="I649">
    <cfRule type="iconSet" priority="7">
      <iconSet iconSet="3Symbols" showValue="0" reverse="1">
        <cfvo type="percent" val="0"/>
        <cfvo type="num" val="0.95"/>
        <cfvo type="num" val="1"/>
      </iconSet>
    </cfRule>
  </conditionalFormatting>
  <conditionalFormatting sqref="J348">
    <cfRule type="iconSet" priority="30">
      <iconSet iconSet="3Symbols" showValue="0">
        <cfvo type="percent" val="0"/>
        <cfvo type="num" val="0.8"/>
        <cfvo type="num" val="0.85"/>
      </iconSet>
    </cfRule>
  </conditionalFormatting>
  <conditionalFormatting sqref="J350">
    <cfRule type="iconSet" priority="29">
      <iconSet iconSet="3Symbols" showValue="0" reverse="1">
        <cfvo type="percent" val="0"/>
        <cfvo type="num" val="0.9"/>
        <cfvo type="num" val="1"/>
      </iconSet>
    </cfRule>
  </conditionalFormatting>
  <conditionalFormatting sqref="J359">
    <cfRule type="iconSet" priority="27">
      <iconSet iconSet="3Symbols" showValue="0">
        <cfvo type="percent" val="0"/>
        <cfvo type="num" val="1.5"/>
        <cfvo type="num" val="1.6"/>
      </iconSet>
    </cfRule>
  </conditionalFormatting>
  <conditionalFormatting sqref="J402">
    <cfRule type="iconSet" priority="26">
      <iconSet iconSet="3Symbols" showValue="0">
        <cfvo type="percent" val="0"/>
        <cfvo type="num" val="0.8"/>
        <cfvo type="num" val="0.85"/>
      </iconSet>
    </cfRule>
  </conditionalFormatting>
  <conditionalFormatting sqref="J404">
    <cfRule type="iconSet" priority="25">
      <iconSet iconSet="3Symbols" showValue="0" reverse="1">
        <cfvo type="percent" val="0"/>
        <cfvo type="num" val="0.9"/>
        <cfvo type="num" val="1"/>
      </iconSet>
    </cfRule>
  </conditionalFormatting>
  <conditionalFormatting sqref="J411">
    <cfRule type="iconSet" priority="24">
      <iconSet iconSet="3Symbols" showValue="0">
        <cfvo type="percent" val="0"/>
        <cfvo type="num" val="1.5"/>
        <cfvo type="num" val="1.6"/>
      </iconSet>
    </cfRule>
  </conditionalFormatting>
  <conditionalFormatting sqref="J761">
    <cfRule type="iconSet" priority="1">
      <iconSet iconSet="3Symbols" showValue="0" reverse="1">
        <cfvo type="percent" val="0"/>
        <cfvo type="num" val="0.95"/>
        <cfvo type="num" val="1"/>
      </iconSet>
    </cfRule>
  </conditionalFormatting>
  <conditionalFormatting sqref="K756">
    <cfRule type="iconSet" priority="2">
      <iconSet iconSet="3Symbols" showValue="0" reverse="1">
        <cfvo type="percent" val="0"/>
        <cfvo type="num" val="0.95"/>
        <cfvo type="num" val="1"/>
      </iconSet>
    </cfRule>
  </conditionalFormatting>
  <conditionalFormatting sqref="O221">
    <cfRule type="iconSet" priority="28">
      <iconSet iconSet="3Symbols" showValue="0" reverse="1">
        <cfvo type="percent" val="0"/>
        <cfvo type="num" val="1.57"/>
        <cfvo type="num" val="9999999"/>
      </iconSet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scale="69" fitToHeight="50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6F56842-CD9D-4A9E-89E9-0341E4C74E82}">
          <x14:formula1>
            <xm:f>VARS!$H$21:$H$25</xm:f>
          </x14:formula1>
          <xm:sqref>F31</xm:sqref>
        </x14:dataValidation>
        <x14:dataValidation type="list" allowBlank="1" showInputMessage="1" showErrorMessage="1" xr:uid="{39254317-37A9-4F3D-B1E0-F68E358EE408}">
          <x14:formula1>
            <xm:f>VARS!$A$63:$A$72</xm:f>
          </x14:formula1>
          <xm:sqref>F38</xm:sqref>
        </x14:dataValidation>
        <x14:dataValidation type="list" allowBlank="1" showInputMessage="1" showErrorMessage="1" xr:uid="{D7DE6F61-89F4-426B-BBFC-870318A18311}">
          <x14:formula1>
            <xm:f>VARS!$A$78:$A$80</xm:f>
          </x14:formula1>
          <xm:sqref>F95</xm:sqref>
        </x14:dataValidation>
        <x14:dataValidation type="list" allowBlank="1" showInputMessage="1" showErrorMessage="1" xr:uid="{76571D15-8FFA-400C-ACA1-F85A2BEEB1E6}">
          <x14:formula1>
            <xm:f>VARS!$A$84:$A$87</xm:f>
          </x14:formula1>
          <xm:sqref>F93</xm:sqref>
        </x14:dataValidation>
        <x14:dataValidation type="list" allowBlank="1" showInputMessage="1" showErrorMessage="1" xr:uid="{BC8F606D-D856-4469-B1EE-FC70F3F0B422}">
          <x14:formula1>
            <xm:f>VARS!$A$90:$A$92</xm:f>
          </x14:formula1>
          <xm:sqref>F97</xm:sqref>
        </x14:dataValidation>
        <x14:dataValidation type="list" allowBlank="1" showInputMessage="1" showErrorMessage="1" xr:uid="{3F699A6C-E95E-4C2B-94EF-6785414F3675}">
          <x14:formula1>
            <xm:f>VARS!$A$95:$A$96</xm:f>
          </x14:formula1>
          <xm:sqref>F99</xm:sqref>
        </x14:dataValidation>
        <x14:dataValidation type="list" allowBlank="1" showInputMessage="1" showErrorMessage="1" xr:uid="{125B0001-E6F5-44B6-A098-2D1454135022}">
          <x14:formula1>
            <xm:f>VARS!$K$4</xm:f>
          </x14:formula1>
          <xm:sqref>E433</xm:sqref>
        </x14:dataValidation>
        <x14:dataValidation type="list" allowBlank="1" showInputMessage="1" showErrorMessage="1" xr:uid="{B32B0061-86CF-452B-B1FB-1295BB2E00B6}">
          <x14:formula1>
            <xm:f>VARS!$A$5:$A$15</xm:f>
          </x14:formula1>
          <xm:sqref>E436</xm:sqref>
        </x14:dataValidation>
        <x14:dataValidation type="list" allowBlank="1" showInputMessage="1" showErrorMessage="1" xr:uid="{FC5FD243-7EFA-482D-8EC6-E5018C0774B1}">
          <x14:formula1>
            <xm:f>VARS!$H$63</xm:f>
          </x14:formula1>
          <xm:sqref>F521</xm:sqref>
        </x14:dataValidation>
        <x14:dataValidation type="list" allowBlank="1" showInputMessage="1" showErrorMessage="1" xr:uid="{FCB04069-C323-46EC-A90F-BCB376C8732E}">
          <x14:formula1>
            <xm:f>VARS!$M$64:$M$73</xm:f>
          </x14:formula1>
          <xm:sqref>E600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11106-AECC-4169-ABDA-223372AB0BE2}">
  <sheetPr codeName="Hoja3"/>
  <dimension ref="A2:U102"/>
  <sheetViews>
    <sheetView zoomScale="85" zoomScaleNormal="85" workbookViewId="0">
      <selection activeCell="N23" sqref="N23"/>
    </sheetView>
  </sheetViews>
  <sheetFormatPr baseColWidth="10" defaultColWidth="11" defaultRowHeight="14.4"/>
  <cols>
    <col min="1" max="1" width="13.69921875" style="12" customWidth="1"/>
    <col min="2" max="7" width="11" style="12"/>
    <col min="8" max="8" width="14.8984375" style="12" customWidth="1"/>
    <col min="9" max="18" width="11" style="12"/>
    <col min="19" max="19" width="11.796875" style="12" bestFit="1" customWidth="1"/>
    <col min="20" max="16384" width="11" style="12"/>
  </cols>
  <sheetData>
    <row r="2" spans="1:19" ht="15.6">
      <c r="A2" s="143" t="s">
        <v>59</v>
      </c>
      <c r="B2" s="144"/>
      <c r="C2" s="144"/>
      <c r="D2" s="144"/>
      <c r="E2" s="33"/>
      <c r="F2" s="51"/>
      <c r="H2" s="16" t="s">
        <v>58</v>
      </c>
      <c r="I2" s="17"/>
      <c r="K2" s="46"/>
      <c r="L2" s="34" t="s">
        <v>399</v>
      </c>
      <c r="M2" s="17" t="s">
        <v>400</v>
      </c>
      <c r="O2" s="2" t="s">
        <v>133</v>
      </c>
      <c r="Q2" s="2">
        <f>1*1000000/9.81/10000</f>
        <v>10.19367991845056</v>
      </c>
      <c r="S2" s="14"/>
    </row>
    <row r="3" spans="1:19" ht="15.6">
      <c r="A3" s="18" t="s">
        <v>27</v>
      </c>
      <c r="B3" s="27" t="s">
        <v>12</v>
      </c>
      <c r="C3" s="12" t="s">
        <v>28</v>
      </c>
      <c r="D3" s="12" t="s">
        <v>56</v>
      </c>
      <c r="E3" s="19" t="s">
        <v>77</v>
      </c>
      <c r="F3" s="53" t="s">
        <v>418</v>
      </c>
      <c r="H3" s="18"/>
      <c r="I3" s="24" t="s">
        <v>31</v>
      </c>
      <c r="K3" s="50" t="s">
        <v>397</v>
      </c>
      <c r="L3" s="12" t="s">
        <v>401</v>
      </c>
      <c r="M3" s="19" t="s">
        <v>402</v>
      </c>
      <c r="O3" s="2" t="s">
        <v>403</v>
      </c>
      <c r="Q3" s="2">
        <v>70.30695796402</v>
      </c>
    </row>
    <row r="4" spans="1:19" ht="15.6">
      <c r="A4" s="18"/>
      <c r="B4" s="27" t="s">
        <v>29</v>
      </c>
      <c r="C4" s="12" t="s">
        <v>38</v>
      </c>
      <c r="D4" s="12" t="s">
        <v>29</v>
      </c>
      <c r="E4" s="19" t="s">
        <v>24</v>
      </c>
      <c r="F4" s="52" t="s">
        <v>420</v>
      </c>
      <c r="H4" s="18"/>
      <c r="I4" s="24" t="s">
        <v>62</v>
      </c>
      <c r="K4" s="18" t="s">
        <v>398</v>
      </c>
      <c r="L4" s="12">
        <v>58</v>
      </c>
      <c r="M4" s="19">
        <v>36</v>
      </c>
      <c r="O4" s="2" t="s">
        <v>619</v>
      </c>
      <c r="Q4" s="118">
        <f>1/Q2</f>
        <v>9.8100000000000007E-2</v>
      </c>
    </row>
    <row r="5" spans="1:19">
      <c r="A5" s="28">
        <v>0.5</v>
      </c>
      <c r="B5" s="12">
        <f>+A5*2.54</f>
        <v>1.27</v>
      </c>
      <c r="C5" s="12">
        <f>+PI()*(B5^2)/4</f>
        <v>1.2667686977437442</v>
      </c>
      <c r="D5" s="12">
        <f>+(A5+0.0625)*2.54</f>
        <v>1.42875</v>
      </c>
      <c r="E5" s="19">
        <f>0.75*25.4</f>
        <v>19.049999999999997</v>
      </c>
      <c r="F5" s="54">
        <v>13</v>
      </c>
      <c r="H5" s="18" t="s">
        <v>32</v>
      </c>
      <c r="I5" s="25">
        <v>60</v>
      </c>
      <c r="K5" s="18"/>
      <c r="M5" s="19"/>
      <c r="O5" s="12" t="s">
        <v>621</v>
      </c>
      <c r="Q5" s="118">
        <f>1/9806.65</f>
        <v>1.0197162129779283E-4</v>
      </c>
    </row>
    <row r="6" spans="1:19">
      <c r="A6" s="28">
        <v>0.625</v>
      </c>
      <c r="B6" s="12">
        <f t="shared" ref="B6:B15" si="0">+A6*2.54</f>
        <v>1.5874999999999999</v>
      </c>
      <c r="C6" s="12">
        <f t="shared" ref="C6:C15" si="1">+PI()*(B6^2)/4</f>
        <v>1.9793260902246004</v>
      </c>
      <c r="D6" s="12">
        <f t="shared" ref="D6:D15" si="2">+(A6+0.0625)*2.54</f>
        <v>1.7462500000000001</v>
      </c>
      <c r="E6" s="19">
        <f>0.875*25.4</f>
        <v>22.224999999999998</v>
      </c>
      <c r="F6" s="54">
        <v>11</v>
      </c>
      <c r="H6" s="18" t="s">
        <v>23</v>
      </c>
      <c r="I6" s="25">
        <v>120</v>
      </c>
      <c r="K6" s="18"/>
      <c r="M6" s="19"/>
    </row>
    <row r="7" spans="1:19">
      <c r="A7" s="28">
        <v>0.75</v>
      </c>
      <c r="B7" s="12">
        <f t="shared" si="0"/>
        <v>1.905</v>
      </c>
      <c r="C7" s="12">
        <f t="shared" si="1"/>
        <v>2.8502295699234246</v>
      </c>
      <c r="D7" s="12">
        <f t="shared" si="2"/>
        <v>2.0637500000000002</v>
      </c>
      <c r="E7" s="19">
        <v>25.4</v>
      </c>
      <c r="F7" s="54">
        <v>10</v>
      </c>
      <c r="H7" s="22" t="s">
        <v>33</v>
      </c>
      <c r="I7" s="26">
        <v>150</v>
      </c>
      <c r="K7" s="18"/>
      <c r="M7" s="19"/>
    </row>
    <row r="8" spans="1:19">
      <c r="A8" s="28">
        <v>0.875</v>
      </c>
      <c r="B8" s="12">
        <f t="shared" si="0"/>
        <v>2.2225000000000001</v>
      </c>
      <c r="C8" s="12">
        <f t="shared" si="1"/>
        <v>3.8794791368402177</v>
      </c>
      <c r="D8" s="12">
        <f t="shared" si="2"/>
        <v>2.3812500000000001</v>
      </c>
      <c r="E8" s="19">
        <f>+(1+0.125)*25.4</f>
        <v>28.574999999999999</v>
      </c>
      <c r="F8" s="54">
        <v>9</v>
      </c>
      <c r="K8" s="22"/>
      <c r="L8" s="30"/>
      <c r="M8" s="31"/>
      <c r="P8" s="119"/>
    </row>
    <row r="9" spans="1:19">
      <c r="A9" s="28">
        <v>1</v>
      </c>
      <c r="B9" s="12">
        <f t="shared" si="0"/>
        <v>2.54</v>
      </c>
      <c r="C9" s="12">
        <f t="shared" si="1"/>
        <v>5.0670747909749769</v>
      </c>
      <c r="D9" s="12">
        <f t="shared" si="2"/>
        <v>2.69875</v>
      </c>
      <c r="E9" s="19">
        <f>+(1+1/4)*25.4</f>
        <v>31.75</v>
      </c>
      <c r="F9" s="54">
        <v>8</v>
      </c>
    </row>
    <row r="10" spans="1:19">
      <c r="A10" s="28">
        <v>1.25</v>
      </c>
      <c r="B10" s="12">
        <f t="shared" si="0"/>
        <v>3.1749999999999998</v>
      </c>
      <c r="C10" s="12">
        <f t="shared" si="1"/>
        <v>7.9173043608984015</v>
      </c>
      <c r="D10" s="12">
        <f t="shared" si="2"/>
        <v>3.3337500000000002</v>
      </c>
      <c r="E10" s="19">
        <f>+(1+5/8)*25.4</f>
        <v>41.274999999999999</v>
      </c>
      <c r="F10" s="54">
        <v>7</v>
      </c>
    </row>
    <row r="11" spans="1:19">
      <c r="A11" s="28">
        <v>1.5</v>
      </c>
      <c r="B11" s="12">
        <f t="shared" si="0"/>
        <v>3.81</v>
      </c>
      <c r="C11" s="12">
        <f t="shared" si="1"/>
        <v>11.400918279693698</v>
      </c>
      <c r="D11" s="12">
        <f t="shared" si="2"/>
        <v>3.96875</v>
      </c>
      <c r="E11" s="19">
        <f>+(1+0.25)*B11*10</f>
        <v>47.625</v>
      </c>
      <c r="F11" s="54">
        <v>6</v>
      </c>
    </row>
    <row r="12" spans="1:19">
      <c r="A12" s="28">
        <v>1.75</v>
      </c>
      <c r="B12" s="12">
        <f t="shared" si="0"/>
        <v>4.4450000000000003</v>
      </c>
      <c r="C12" s="12">
        <f t="shared" si="1"/>
        <v>15.517916547360871</v>
      </c>
      <c r="D12" s="12">
        <f t="shared" si="2"/>
        <v>4.6037499999999998</v>
      </c>
      <c r="E12" s="19">
        <f>+(1+0.25)*B12*10</f>
        <v>55.5625</v>
      </c>
      <c r="F12" s="54">
        <v>5</v>
      </c>
    </row>
    <row r="13" spans="1:19">
      <c r="A13" s="28">
        <f>+A12+0.25</f>
        <v>2</v>
      </c>
      <c r="B13" s="12">
        <f t="shared" si="0"/>
        <v>5.08</v>
      </c>
      <c r="C13" s="12">
        <f t="shared" si="1"/>
        <v>20.268299163899908</v>
      </c>
      <c r="D13" s="12">
        <f t="shared" si="2"/>
        <v>5.2387500000000005</v>
      </c>
      <c r="E13" s="19">
        <f>+(1+0.25)*B13*10</f>
        <v>63.5</v>
      </c>
      <c r="F13" s="54">
        <v>4.5</v>
      </c>
    </row>
    <row r="14" spans="1:19">
      <c r="A14" s="28">
        <f t="shared" ref="A14:A15" si="3">+A13+0.25</f>
        <v>2.25</v>
      </c>
      <c r="B14" s="12">
        <f t="shared" si="0"/>
        <v>5.7149999999999999</v>
      </c>
      <c r="C14" s="12">
        <f t="shared" si="1"/>
        <v>25.652066129310825</v>
      </c>
      <c r="D14" s="12">
        <f t="shared" si="2"/>
        <v>5.8737500000000002</v>
      </c>
      <c r="E14" s="19">
        <f>+(1+0.25)*B14*10</f>
        <v>71.4375</v>
      </c>
      <c r="F14" s="54">
        <v>4.5</v>
      </c>
    </row>
    <row r="15" spans="1:19">
      <c r="A15" s="29">
        <f t="shared" si="3"/>
        <v>2.5</v>
      </c>
      <c r="B15" s="30">
        <f t="shared" si="0"/>
        <v>6.35</v>
      </c>
      <c r="C15" s="30">
        <f t="shared" si="1"/>
        <v>31.669217443593606</v>
      </c>
      <c r="D15" s="30">
        <f t="shared" si="2"/>
        <v>6.50875</v>
      </c>
      <c r="E15" s="31">
        <f>+(1+0.25)*B15*10</f>
        <v>79.375</v>
      </c>
      <c r="F15" s="55">
        <v>4</v>
      </c>
    </row>
    <row r="16" spans="1:19">
      <c r="J16" s="13"/>
    </row>
    <row r="18" spans="1:18">
      <c r="A18" s="143" t="s">
        <v>57</v>
      </c>
      <c r="B18" s="145"/>
      <c r="H18" s="146" t="s">
        <v>60</v>
      </c>
      <c r="I18" s="147"/>
      <c r="J18" s="147"/>
      <c r="K18" s="147"/>
      <c r="L18" s="148"/>
    </row>
    <row r="19" spans="1:18">
      <c r="A19" s="18" t="s">
        <v>39</v>
      </c>
      <c r="B19" s="19">
        <v>4</v>
      </c>
      <c r="H19" s="18"/>
      <c r="I19" s="27" t="s">
        <v>30</v>
      </c>
      <c r="J19" s="27" t="s">
        <v>31</v>
      </c>
      <c r="K19" s="41" t="s">
        <v>106</v>
      </c>
      <c r="L19" s="24" t="s">
        <v>14</v>
      </c>
    </row>
    <row r="20" spans="1:18">
      <c r="A20" s="18" t="s">
        <v>40</v>
      </c>
      <c r="B20" s="19">
        <v>5</v>
      </c>
      <c r="H20" s="18"/>
      <c r="I20" s="27" t="s">
        <v>61</v>
      </c>
      <c r="J20" s="27" t="s">
        <v>61</v>
      </c>
      <c r="K20" s="27" t="s">
        <v>107</v>
      </c>
      <c r="L20" s="24" t="s">
        <v>61</v>
      </c>
      <c r="N20" s="12" t="s">
        <v>14</v>
      </c>
      <c r="O20" s="12">
        <f>L21*Q4</f>
        <v>200016.26471184051</v>
      </c>
    </row>
    <row r="21" spans="1:18">
      <c r="A21" s="18" t="s">
        <v>41</v>
      </c>
      <c r="B21" s="19">
        <v>6</v>
      </c>
      <c r="H21" s="18" t="s">
        <v>22</v>
      </c>
      <c r="I21" s="15">
        <f>36*70.30695796402</f>
        <v>2531.0504867047202</v>
      </c>
      <c r="J21" s="15">
        <v>4078.7623066104074</v>
      </c>
      <c r="K21" s="12">
        <v>7850</v>
      </c>
      <c r="L21" s="21">
        <f>29000*70.30695796402</f>
        <v>2038901.7809565801</v>
      </c>
      <c r="N21" s="12" t="s">
        <v>30</v>
      </c>
      <c r="O21" s="12">
        <f>I21*Q4</f>
        <v>248.29605274573308</v>
      </c>
      <c r="Q21" s="15"/>
      <c r="R21" s="15"/>
    </row>
    <row r="22" spans="1:18">
      <c r="A22" s="18" t="s">
        <v>42</v>
      </c>
      <c r="B22" s="19">
        <v>8</v>
      </c>
      <c r="H22" s="18" t="s">
        <v>34</v>
      </c>
      <c r="I22" s="15">
        <f>50*70.30695796402</f>
        <v>3515.3478982010001</v>
      </c>
      <c r="J22" s="15">
        <v>4571.0267229254569</v>
      </c>
      <c r="K22" s="12">
        <v>7850</v>
      </c>
      <c r="L22" s="21">
        <f t="shared" ref="L22:L25" si="4">29000*70.30695796402</f>
        <v>2038901.7809565801</v>
      </c>
      <c r="N22" s="12" t="s">
        <v>746</v>
      </c>
      <c r="O22" s="12">
        <f>SQRT(O20/O21)</f>
        <v>28.382310609877333</v>
      </c>
      <c r="Q22" s="15"/>
      <c r="R22" s="15"/>
    </row>
    <row r="23" spans="1:18">
      <c r="A23" s="18" t="s">
        <v>43</v>
      </c>
      <c r="B23" s="19">
        <v>10</v>
      </c>
      <c r="H23" s="18" t="s">
        <v>35</v>
      </c>
      <c r="I23" s="15">
        <v>2400</v>
      </c>
      <c r="J23" s="15">
        <v>3700</v>
      </c>
      <c r="K23" s="12">
        <v>7850</v>
      </c>
      <c r="L23" s="21">
        <f t="shared" si="4"/>
        <v>2038901.7809565801</v>
      </c>
      <c r="Q23" s="15"/>
      <c r="R23" s="15"/>
    </row>
    <row r="24" spans="1:18">
      <c r="A24" s="18" t="s">
        <v>44</v>
      </c>
      <c r="B24" s="19">
        <v>12</v>
      </c>
      <c r="H24" s="18" t="s">
        <v>36</v>
      </c>
      <c r="I24" s="15">
        <v>2700</v>
      </c>
      <c r="J24" s="15">
        <v>4200</v>
      </c>
      <c r="K24" s="12">
        <v>7850</v>
      </c>
      <c r="L24" s="21">
        <f t="shared" si="4"/>
        <v>2038901.7809565801</v>
      </c>
      <c r="Q24" s="15"/>
      <c r="R24" s="15"/>
    </row>
    <row r="25" spans="1:18">
      <c r="A25" s="18" t="s">
        <v>45</v>
      </c>
      <c r="B25" s="19">
        <v>14</v>
      </c>
      <c r="H25" s="22" t="s">
        <v>37</v>
      </c>
      <c r="I25" s="32">
        <v>3400</v>
      </c>
      <c r="J25" s="32">
        <v>5200</v>
      </c>
      <c r="K25" s="30">
        <v>7850</v>
      </c>
      <c r="L25" s="23">
        <f t="shared" si="4"/>
        <v>2038901.7809565801</v>
      </c>
      <c r="Q25" s="15"/>
      <c r="R25" s="15"/>
    </row>
    <row r="26" spans="1:18">
      <c r="A26" s="18" t="s">
        <v>46</v>
      </c>
      <c r="B26" s="19">
        <v>16</v>
      </c>
    </row>
    <row r="27" spans="1:18">
      <c r="A27" s="18" t="s">
        <v>47</v>
      </c>
      <c r="B27" s="19">
        <v>18</v>
      </c>
    </row>
    <row r="28" spans="1:18">
      <c r="A28" s="18" t="s">
        <v>48</v>
      </c>
      <c r="B28" s="19">
        <v>20</v>
      </c>
    </row>
    <row r="29" spans="1:18">
      <c r="A29" s="18" t="s">
        <v>49</v>
      </c>
      <c r="B29" s="19">
        <v>22</v>
      </c>
    </row>
    <row r="30" spans="1:18">
      <c r="A30" s="18" t="s">
        <v>50</v>
      </c>
      <c r="B30" s="19">
        <v>25</v>
      </c>
    </row>
    <row r="31" spans="1:18">
      <c r="A31" s="18" t="s">
        <v>51</v>
      </c>
      <c r="B31" s="19">
        <v>28</v>
      </c>
    </row>
    <row r="32" spans="1:18">
      <c r="A32" s="18" t="s">
        <v>52</v>
      </c>
      <c r="B32" s="19">
        <v>32</v>
      </c>
    </row>
    <row r="33" spans="1:11">
      <c r="A33" s="18" t="s">
        <v>53</v>
      </c>
      <c r="B33" s="19">
        <v>35</v>
      </c>
    </row>
    <row r="34" spans="1:11">
      <c r="A34" s="18" t="s">
        <v>54</v>
      </c>
      <c r="B34" s="19">
        <v>40</v>
      </c>
    </row>
    <row r="35" spans="1:11">
      <c r="A35" s="22" t="s">
        <v>55</v>
      </c>
      <c r="B35" s="31">
        <v>50</v>
      </c>
    </row>
    <row r="38" spans="1:11">
      <c r="A38" s="143" t="s">
        <v>73</v>
      </c>
      <c r="B38" s="144"/>
      <c r="C38" s="145"/>
      <c r="H38" s="16" t="s">
        <v>64</v>
      </c>
      <c r="I38" s="34"/>
      <c r="J38" s="34"/>
      <c r="K38" s="17"/>
    </row>
    <row r="39" spans="1:11">
      <c r="A39" s="35" t="s">
        <v>74</v>
      </c>
      <c r="B39" s="27" t="s">
        <v>75</v>
      </c>
      <c r="C39" s="24" t="s">
        <v>76</v>
      </c>
      <c r="H39" s="18"/>
      <c r="I39" s="12" t="s">
        <v>70</v>
      </c>
      <c r="J39" s="12" t="s">
        <v>72</v>
      </c>
      <c r="K39" s="19"/>
    </row>
    <row r="40" spans="1:11">
      <c r="A40" s="20">
        <v>3</v>
      </c>
      <c r="B40" s="15">
        <v>3</v>
      </c>
      <c r="C40" s="21">
        <f>A40</f>
        <v>3</v>
      </c>
      <c r="H40" s="18"/>
      <c r="I40" s="12" t="s">
        <v>71</v>
      </c>
      <c r="J40" s="12" t="s">
        <v>26</v>
      </c>
      <c r="K40" s="19"/>
    </row>
    <row r="41" spans="1:11">
      <c r="A41" s="20">
        <v>4</v>
      </c>
      <c r="B41" s="15">
        <v>3</v>
      </c>
      <c r="C41" s="21">
        <f t="shared" ref="C41:C42" si="5">A41</f>
        <v>4</v>
      </c>
      <c r="H41" s="18" t="s">
        <v>65</v>
      </c>
      <c r="I41" s="15">
        <v>62</v>
      </c>
      <c r="K41" s="19"/>
    </row>
    <row r="42" spans="1:11">
      <c r="A42" s="20">
        <v>5</v>
      </c>
      <c r="B42" s="15">
        <v>3</v>
      </c>
      <c r="C42" s="21">
        <f t="shared" si="5"/>
        <v>5</v>
      </c>
      <c r="H42" s="18" t="s">
        <v>25</v>
      </c>
      <c r="I42" s="15">
        <v>70</v>
      </c>
      <c r="K42" s="19"/>
    </row>
    <row r="43" spans="1:11">
      <c r="A43" s="20">
        <v>6</v>
      </c>
      <c r="B43" s="15">
        <v>3</v>
      </c>
      <c r="C43" s="21">
        <f>A43-2</f>
        <v>4</v>
      </c>
      <c r="H43" s="18" t="s">
        <v>66</v>
      </c>
      <c r="I43" s="15">
        <v>80</v>
      </c>
      <c r="K43" s="19"/>
    </row>
    <row r="44" spans="1:11">
      <c r="A44" s="20">
        <v>7</v>
      </c>
      <c r="B44" s="15">
        <v>5</v>
      </c>
      <c r="C44" s="21">
        <f t="shared" ref="C44:C57" si="6">A44-2</f>
        <v>5</v>
      </c>
      <c r="H44" s="18" t="s">
        <v>67</v>
      </c>
      <c r="I44" s="15">
        <v>90</v>
      </c>
      <c r="K44" s="19"/>
    </row>
    <row r="45" spans="1:11">
      <c r="A45" s="20">
        <v>8</v>
      </c>
      <c r="B45" s="15">
        <v>5</v>
      </c>
      <c r="C45" s="21">
        <f t="shared" si="6"/>
        <v>6</v>
      </c>
      <c r="H45" s="18" t="s">
        <v>68</v>
      </c>
      <c r="I45" s="15">
        <v>100</v>
      </c>
      <c r="K45" s="19"/>
    </row>
    <row r="46" spans="1:11">
      <c r="A46" s="20">
        <v>9</v>
      </c>
      <c r="B46" s="15">
        <v>5</v>
      </c>
      <c r="C46" s="21">
        <f t="shared" si="6"/>
        <v>7</v>
      </c>
      <c r="H46" s="22" t="s">
        <v>69</v>
      </c>
      <c r="I46" s="32">
        <v>120</v>
      </c>
      <c r="J46" s="30"/>
      <c r="K46" s="31"/>
    </row>
    <row r="47" spans="1:11">
      <c r="A47" s="20">
        <v>10</v>
      </c>
      <c r="B47" s="15">
        <v>5</v>
      </c>
      <c r="C47" s="21">
        <f t="shared" si="6"/>
        <v>8</v>
      </c>
    </row>
    <row r="48" spans="1:11">
      <c r="A48" s="20">
        <v>11</v>
      </c>
      <c r="B48" s="15">
        <v>5</v>
      </c>
      <c r="C48" s="21">
        <f t="shared" si="6"/>
        <v>9</v>
      </c>
    </row>
    <row r="49" spans="1:21">
      <c r="A49" s="20">
        <v>12</v>
      </c>
      <c r="B49" s="15">
        <v>5</v>
      </c>
      <c r="C49" s="21">
        <f t="shared" si="6"/>
        <v>10</v>
      </c>
    </row>
    <row r="50" spans="1:21">
      <c r="A50" s="20">
        <v>13</v>
      </c>
      <c r="B50" s="15">
        <v>5</v>
      </c>
      <c r="C50" s="21">
        <f t="shared" si="6"/>
        <v>11</v>
      </c>
    </row>
    <row r="51" spans="1:21">
      <c r="A51" s="20">
        <v>14</v>
      </c>
      <c r="B51" s="15">
        <v>6</v>
      </c>
      <c r="C51" s="21">
        <f t="shared" si="6"/>
        <v>12</v>
      </c>
    </row>
    <row r="52" spans="1:21">
      <c r="A52" s="20">
        <v>15</v>
      </c>
      <c r="B52" s="15">
        <v>6</v>
      </c>
      <c r="C52" s="21">
        <f t="shared" si="6"/>
        <v>13</v>
      </c>
    </row>
    <row r="53" spans="1:21">
      <c r="A53" s="20">
        <v>16</v>
      </c>
      <c r="B53" s="15">
        <v>6</v>
      </c>
      <c r="C53" s="21">
        <f t="shared" si="6"/>
        <v>14</v>
      </c>
    </row>
    <row r="54" spans="1:21">
      <c r="A54" s="20">
        <v>17</v>
      </c>
      <c r="B54" s="15">
        <v>6</v>
      </c>
      <c r="C54" s="21">
        <f t="shared" si="6"/>
        <v>15</v>
      </c>
    </row>
    <row r="55" spans="1:21">
      <c r="A55" s="20">
        <v>18</v>
      </c>
      <c r="B55" s="15">
        <v>6</v>
      </c>
      <c r="C55" s="21">
        <f t="shared" si="6"/>
        <v>16</v>
      </c>
    </row>
    <row r="56" spans="1:21">
      <c r="A56" s="20">
        <v>19</v>
      </c>
      <c r="B56" s="15">
        <v>6</v>
      </c>
      <c r="C56" s="21">
        <f t="shared" si="6"/>
        <v>17</v>
      </c>
    </row>
    <row r="57" spans="1:21">
      <c r="A57" s="36">
        <v>20</v>
      </c>
      <c r="B57" s="32">
        <v>8</v>
      </c>
      <c r="C57" s="23">
        <f t="shared" si="6"/>
        <v>18</v>
      </c>
    </row>
    <row r="58" spans="1:21">
      <c r="A58" s="15"/>
      <c r="M58" s="12" t="s">
        <v>661</v>
      </c>
      <c r="N58" s="15">
        <f>+FANULAR!F523/10</f>
        <v>420</v>
      </c>
    </row>
    <row r="59" spans="1:21">
      <c r="A59" s="15"/>
      <c r="M59" s="12" t="s">
        <v>6</v>
      </c>
      <c r="N59" s="127" t="str">
        <f>FANULAR!F38</f>
        <v>H35</v>
      </c>
    </row>
    <row r="60" spans="1:21">
      <c r="A60" s="43" t="s">
        <v>113</v>
      </c>
      <c r="B60" s="34"/>
      <c r="C60" s="34"/>
      <c r="D60" s="34"/>
      <c r="E60" s="17"/>
      <c r="H60" s="16" t="s">
        <v>520</v>
      </c>
      <c r="I60" s="34"/>
      <c r="J60" s="34"/>
      <c r="K60" s="17"/>
      <c r="M60" s="16" t="s">
        <v>592</v>
      </c>
      <c r="N60" s="34"/>
      <c r="O60" s="34"/>
      <c r="P60" s="34"/>
      <c r="Q60" s="34"/>
      <c r="R60" s="34"/>
      <c r="S60" s="34"/>
      <c r="T60" s="17"/>
      <c r="U60" s="17"/>
    </row>
    <row r="61" spans="1:21">
      <c r="A61" s="18"/>
      <c r="B61" s="12" t="s">
        <v>121</v>
      </c>
      <c r="C61" s="12" t="s">
        <v>123</v>
      </c>
      <c r="D61" s="42" t="s">
        <v>124</v>
      </c>
      <c r="E61" s="19" t="s">
        <v>128</v>
      </c>
      <c r="H61" s="18"/>
      <c r="K61" s="19"/>
      <c r="M61" s="18"/>
      <c r="N61" s="149" t="s">
        <v>659</v>
      </c>
      <c r="O61" s="149"/>
      <c r="P61" s="149"/>
      <c r="Q61" s="149"/>
      <c r="R61" s="149"/>
      <c r="S61" s="149"/>
      <c r="T61" s="150"/>
      <c r="U61" s="19"/>
    </row>
    <row r="62" spans="1:21">
      <c r="A62" s="18"/>
      <c r="B62" s="12" t="s">
        <v>122</v>
      </c>
      <c r="C62" s="12" t="s">
        <v>122</v>
      </c>
      <c r="E62" s="19" t="s">
        <v>107</v>
      </c>
      <c r="H62" s="18"/>
      <c r="I62" s="12" t="s">
        <v>522</v>
      </c>
      <c r="J62" s="12" t="s">
        <v>523</v>
      </c>
      <c r="K62" s="19" t="s">
        <v>111</v>
      </c>
      <c r="M62" s="18" t="s">
        <v>593</v>
      </c>
      <c r="N62" s="27" t="s">
        <v>114</v>
      </c>
      <c r="O62" s="27" t="s">
        <v>116</v>
      </c>
      <c r="P62" s="27" t="s">
        <v>117</v>
      </c>
      <c r="Q62" s="27" t="s">
        <v>118</v>
      </c>
      <c r="R62" s="27" t="s">
        <v>119</v>
      </c>
      <c r="S62" s="27" t="s">
        <v>120</v>
      </c>
      <c r="T62" s="24" t="s">
        <v>658</v>
      </c>
      <c r="U62" s="19" t="s">
        <v>662</v>
      </c>
    </row>
    <row r="63" spans="1:21">
      <c r="A63" s="20" t="s">
        <v>115</v>
      </c>
      <c r="B63" s="15">
        <v>12</v>
      </c>
      <c r="C63" s="15">
        <f>4700*SQRT(B63)</f>
        <v>16281.277591147445</v>
      </c>
      <c r="D63" s="44">
        <v>3.0000000000000001E-3</v>
      </c>
      <c r="E63" s="21">
        <v>2500</v>
      </c>
      <c r="F63" s="15"/>
      <c r="H63" s="18" t="s">
        <v>521</v>
      </c>
      <c r="I63" s="15">
        <v>6300</v>
      </c>
      <c r="J63" s="12">
        <v>4200</v>
      </c>
      <c r="K63" s="19">
        <f>29000*70.30695796402</f>
        <v>2038901.7809565801</v>
      </c>
      <c r="M63" s="124" t="s">
        <v>660</v>
      </c>
      <c r="N63" s="122">
        <v>16</v>
      </c>
      <c r="O63" s="122">
        <v>20</v>
      </c>
      <c r="P63" s="122">
        <v>25</v>
      </c>
      <c r="Q63" s="122">
        <v>30</v>
      </c>
      <c r="R63" s="122">
        <v>35</v>
      </c>
      <c r="S63" s="122">
        <v>40</v>
      </c>
      <c r="T63" s="123">
        <v>45</v>
      </c>
      <c r="U63" s="21">
        <f>HLOOKUP(N59,N62:T63,2,FALSE)</f>
        <v>30</v>
      </c>
    </row>
    <row r="64" spans="1:21">
      <c r="A64" s="18" t="s">
        <v>114</v>
      </c>
      <c r="B64" s="15">
        <v>16</v>
      </c>
      <c r="C64" s="15">
        <f t="shared" ref="C64:C72" si="7">4700*SQRT(B64)</f>
        <v>18800</v>
      </c>
      <c r="D64" s="44">
        <v>3.0000000000000001E-3</v>
      </c>
      <c r="E64" s="21">
        <v>2500</v>
      </c>
      <c r="F64" s="15"/>
      <c r="M64" s="43">
        <v>8</v>
      </c>
      <c r="N64" s="125">
        <f>$N$58/(2.1*SQRT($N$63))*M64</f>
        <v>400</v>
      </c>
      <c r="O64" s="125">
        <f>$N$58/(2.1*SQRT($O$63))*M64</f>
        <v>357.77087639996631</v>
      </c>
      <c r="P64" s="125">
        <f>$N$58/(2.1*SQRT($P$63))*M64</f>
        <v>320</v>
      </c>
      <c r="Q64" s="125">
        <f>$N$58/(2.1*SQRT($Q$63))*M64</f>
        <v>292.11869733608859</v>
      </c>
      <c r="R64" s="125">
        <f>$N$58/(2.1*SQRT($R$63))*M64</f>
        <v>270.44936151312527</v>
      </c>
      <c r="S64" s="125">
        <f>$N$58/(2.1*SQRT($S$63))*M64</f>
        <v>252.98221281347034</v>
      </c>
      <c r="T64" s="126">
        <f>$N$58/(2.1*SQRT($T$63))*M64</f>
        <v>238.51391759997753</v>
      </c>
      <c r="U64" s="21">
        <f>HLOOKUP($U$63,N63:T73,2,FALSE)</f>
        <v>292.11869733608859</v>
      </c>
    </row>
    <row r="65" spans="1:21">
      <c r="A65" s="18" t="s">
        <v>116</v>
      </c>
      <c r="B65" s="15">
        <v>20</v>
      </c>
      <c r="C65" s="15">
        <f t="shared" si="7"/>
        <v>21019.038988498025</v>
      </c>
      <c r="D65" s="44">
        <v>3.0000000000000001E-3</v>
      </c>
      <c r="E65" s="21">
        <v>2500</v>
      </c>
      <c r="F65" s="15"/>
      <c r="M65" s="20">
        <v>10</v>
      </c>
      <c r="N65" s="120">
        <f t="shared" ref="N65:N68" si="8">$N$58/(2.1*SQRT($N$63))*M65</f>
        <v>500</v>
      </c>
      <c r="O65" s="120">
        <f t="shared" ref="O65:O68" si="9">$N$58/(2.1*SQRT($O$63))*M65</f>
        <v>447.21359549995788</v>
      </c>
      <c r="P65" s="120">
        <f t="shared" ref="P65:P68" si="10">$N$58/(2.1*SQRT($P$63))*M65</f>
        <v>400</v>
      </c>
      <c r="Q65" s="120">
        <f t="shared" ref="Q65:Q68" si="11">$N$58/(2.1*SQRT($Q$63))*M65</f>
        <v>365.14837167011075</v>
      </c>
      <c r="R65" s="120">
        <f t="shared" ref="R65:R68" si="12">$N$58/(2.1*SQRT($R$63))*M65</f>
        <v>338.06170189140659</v>
      </c>
      <c r="S65" s="120">
        <f t="shared" ref="S65:S68" si="13">$N$58/(2.1*SQRT($S$63))*M65</f>
        <v>316.2277660168379</v>
      </c>
      <c r="T65" s="121">
        <f t="shared" ref="T65:T68" si="14">$N$58/(2.1*SQRT($T$63))*M65</f>
        <v>298.14239699997194</v>
      </c>
      <c r="U65" s="21">
        <f>HLOOKUP($U$63,N63:T73,3,FALSE)</f>
        <v>365.14837167011075</v>
      </c>
    </row>
    <row r="66" spans="1:21">
      <c r="A66" s="18" t="s">
        <v>117</v>
      </c>
      <c r="B66" s="15">
        <v>25</v>
      </c>
      <c r="C66" s="15">
        <f t="shared" si="7"/>
        <v>23500</v>
      </c>
      <c r="D66" s="44">
        <v>3.0000000000000001E-3</v>
      </c>
      <c r="E66" s="21">
        <v>2500</v>
      </c>
      <c r="F66" s="15"/>
      <c r="M66" s="20">
        <v>12</v>
      </c>
      <c r="N66" s="120">
        <f t="shared" si="8"/>
        <v>600</v>
      </c>
      <c r="O66" s="120">
        <f t="shared" si="9"/>
        <v>536.6563145999495</v>
      </c>
      <c r="P66" s="120">
        <f t="shared" si="10"/>
        <v>480</v>
      </c>
      <c r="Q66" s="120">
        <f t="shared" si="11"/>
        <v>438.17804600413285</v>
      </c>
      <c r="R66" s="120">
        <f t="shared" si="12"/>
        <v>405.6740422696879</v>
      </c>
      <c r="S66" s="120">
        <f t="shared" si="13"/>
        <v>379.4733192202055</v>
      </c>
      <c r="T66" s="121">
        <f t="shared" si="14"/>
        <v>357.77087639996631</v>
      </c>
      <c r="U66" s="21">
        <f>HLOOKUP($U$63,N63:T73,4,FALSE)</f>
        <v>438.17804600413285</v>
      </c>
    </row>
    <row r="67" spans="1:21">
      <c r="A67" s="18" t="s">
        <v>118</v>
      </c>
      <c r="B67" s="15">
        <v>30</v>
      </c>
      <c r="C67" s="15">
        <f t="shared" si="7"/>
        <v>25742.960202742808</v>
      </c>
      <c r="D67" s="44">
        <v>3.0000000000000001E-3</v>
      </c>
      <c r="E67" s="21">
        <v>2500</v>
      </c>
      <c r="F67" s="15"/>
      <c r="M67" s="20">
        <v>16</v>
      </c>
      <c r="N67" s="120">
        <f t="shared" si="8"/>
        <v>800</v>
      </c>
      <c r="O67" s="120">
        <f t="shared" si="9"/>
        <v>715.54175279993262</v>
      </c>
      <c r="P67" s="120">
        <f t="shared" si="10"/>
        <v>640</v>
      </c>
      <c r="Q67" s="120">
        <f t="shared" si="11"/>
        <v>584.23739467217717</v>
      </c>
      <c r="R67" s="120">
        <f t="shared" si="12"/>
        <v>540.89872302625054</v>
      </c>
      <c r="S67" s="120">
        <f t="shared" si="13"/>
        <v>505.96442562694068</v>
      </c>
      <c r="T67" s="121">
        <f t="shared" si="14"/>
        <v>477.02783519995506</v>
      </c>
      <c r="U67" s="21">
        <f>HLOOKUP($U$63,N63:T73,5,FALSE)</f>
        <v>584.23739467217717</v>
      </c>
    </row>
    <row r="68" spans="1:21">
      <c r="A68" s="18" t="s">
        <v>119</v>
      </c>
      <c r="B68" s="15">
        <v>35</v>
      </c>
      <c r="C68" s="15">
        <f t="shared" si="7"/>
        <v>27805.574980568195</v>
      </c>
      <c r="D68" s="44">
        <v>3.0000000000000001E-3</v>
      </c>
      <c r="E68" s="21">
        <v>2500</v>
      </c>
      <c r="F68" s="15"/>
      <c r="M68" s="20">
        <v>18</v>
      </c>
      <c r="N68" s="120">
        <f t="shared" si="8"/>
        <v>900</v>
      </c>
      <c r="O68" s="120">
        <f t="shared" si="9"/>
        <v>804.98447189992419</v>
      </c>
      <c r="P68" s="120">
        <f t="shared" si="10"/>
        <v>720</v>
      </c>
      <c r="Q68" s="120">
        <f t="shared" si="11"/>
        <v>657.26706900619934</v>
      </c>
      <c r="R68" s="120">
        <f t="shared" si="12"/>
        <v>608.5110634045318</v>
      </c>
      <c r="S68" s="120">
        <f t="shared" si="13"/>
        <v>569.20997883030827</v>
      </c>
      <c r="T68" s="121">
        <f t="shared" si="14"/>
        <v>536.6563145999495</v>
      </c>
      <c r="U68" s="21">
        <f>HLOOKUP($U$63,N63:T73,6,FALSE)</f>
        <v>657.26706900619934</v>
      </c>
    </row>
    <row r="69" spans="1:21">
      <c r="A69" s="18" t="s">
        <v>120</v>
      </c>
      <c r="B69" s="15">
        <v>40</v>
      </c>
      <c r="C69" s="15">
        <f t="shared" si="7"/>
        <v>29725.410005582766</v>
      </c>
      <c r="D69" s="44">
        <v>3.0000000000000001E-3</v>
      </c>
      <c r="E69" s="21">
        <v>2500</v>
      </c>
      <c r="F69" s="15"/>
      <c r="M69" s="20">
        <v>22</v>
      </c>
      <c r="N69" s="120">
        <f>$N$58/(1.7*SQRT($N$63))*M69</f>
        <v>1358.8235294117646</v>
      </c>
      <c r="O69" s="120">
        <f>$N$58/(1.7*SQRT($O$63))*M69</f>
        <v>1215.3687124763562</v>
      </c>
      <c r="P69" s="120">
        <f>$N$58/(1.7*SQRT($P$63))*M69</f>
        <v>1087.0588235294117</v>
      </c>
      <c r="Q69" s="120">
        <f>$N$58/(1.7*SQRT($Q$63))*M69</f>
        <v>992.34439830347742</v>
      </c>
      <c r="R69" s="120">
        <f>$N$58/(1.7*SQRT($R$63))*M69</f>
        <v>918.73238984605791</v>
      </c>
      <c r="S69" s="120">
        <f>$N$58/(1.7*SQRT($S$63))*M69</f>
        <v>859.39545823399476</v>
      </c>
      <c r="T69" s="121">
        <f>$N$58/(1.7*SQRT($T$63))*M69</f>
        <v>810.24580831757089</v>
      </c>
      <c r="U69" s="21">
        <f>HLOOKUP($U$63,N63:T73,7,FALSE)</f>
        <v>992.34439830347742</v>
      </c>
    </row>
    <row r="70" spans="1:21">
      <c r="A70" s="18" t="s">
        <v>125</v>
      </c>
      <c r="B70" s="15">
        <v>45</v>
      </c>
      <c r="C70" s="15">
        <f t="shared" si="7"/>
        <v>31528.558482747037</v>
      </c>
      <c r="D70" s="44">
        <v>3.0000000000000001E-3</v>
      </c>
      <c r="E70" s="21">
        <v>2500</v>
      </c>
      <c r="F70" s="15"/>
      <c r="M70" s="20">
        <v>25</v>
      </c>
      <c r="N70" s="120">
        <f t="shared" ref="N70:N73" si="15">$N$58/(1.7*SQRT($N$63))*M70</f>
        <v>1544.1176470588236</v>
      </c>
      <c r="O70" s="120">
        <f t="shared" ref="O70:O73" si="16">$N$58/(1.7*SQRT($O$63))*M70</f>
        <v>1381.100809632223</v>
      </c>
      <c r="P70" s="120">
        <f t="shared" ref="P70:P73" si="17">$N$58/(1.7*SQRT($P$63))*M70</f>
        <v>1235.2941176470588</v>
      </c>
      <c r="Q70" s="120">
        <f t="shared" ref="Q70:Q73" si="18">$N$58/(1.7*SQRT($Q$63))*M70</f>
        <v>1127.6640889812245</v>
      </c>
      <c r="R70" s="120">
        <f t="shared" ref="R70:R73" si="19">$N$58/(1.7*SQRT($R$63))*M70</f>
        <v>1044.0140793705204</v>
      </c>
      <c r="S70" s="120">
        <f t="shared" ref="S70:S73" si="20">$N$58/(1.7*SQRT($S$63))*M70</f>
        <v>976.58574799317591</v>
      </c>
      <c r="T70" s="121">
        <f t="shared" ref="T70:T73" si="21">$N$58/(1.7*SQRT($T$63))*M70</f>
        <v>920.7338730881487</v>
      </c>
      <c r="U70" s="21">
        <f>HLOOKUP($U$63,N63:T73,8,FALSE)</f>
        <v>1127.6640889812245</v>
      </c>
    </row>
    <row r="71" spans="1:21">
      <c r="A71" s="18" t="s">
        <v>126</v>
      </c>
      <c r="B71" s="15">
        <v>50</v>
      </c>
      <c r="C71" s="15">
        <f t="shared" si="7"/>
        <v>33234.018715767736</v>
      </c>
      <c r="D71" s="44">
        <v>3.0000000000000001E-3</v>
      </c>
      <c r="E71" s="21">
        <v>2500</v>
      </c>
      <c r="F71" s="15"/>
      <c r="M71" s="20">
        <v>28</v>
      </c>
      <c r="N71" s="120">
        <f t="shared" si="15"/>
        <v>1729.4117647058824</v>
      </c>
      <c r="O71" s="120">
        <f t="shared" si="16"/>
        <v>1546.8329067880898</v>
      </c>
      <c r="P71" s="120">
        <f t="shared" si="17"/>
        <v>1383.5294117647059</v>
      </c>
      <c r="Q71" s="120">
        <f t="shared" si="18"/>
        <v>1262.9837796589713</v>
      </c>
      <c r="R71" s="120">
        <f t="shared" si="19"/>
        <v>1169.2957688949828</v>
      </c>
      <c r="S71" s="120">
        <f t="shared" si="20"/>
        <v>1093.7760377523571</v>
      </c>
      <c r="T71" s="121">
        <f t="shared" si="21"/>
        <v>1031.2219378587265</v>
      </c>
      <c r="U71" s="21">
        <f>HLOOKUP($U$63,N63:T73,9,FALSE)</f>
        <v>1262.9837796589713</v>
      </c>
    </row>
    <row r="72" spans="1:21">
      <c r="A72" s="22" t="s">
        <v>127</v>
      </c>
      <c r="B72" s="32">
        <v>55</v>
      </c>
      <c r="C72" s="32">
        <f t="shared" si="7"/>
        <v>34856.132889349617</v>
      </c>
      <c r="D72" s="45">
        <v>3.0000000000000001E-3</v>
      </c>
      <c r="E72" s="23">
        <v>2500</v>
      </c>
      <c r="F72" s="15"/>
      <c r="M72" s="20">
        <v>32</v>
      </c>
      <c r="N72" s="120">
        <f t="shared" si="15"/>
        <v>1976.4705882352941</v>
      </c>
      <c r="O72" s="120">
        <f t="shared" si="16"/>
        <v>1767.8090363292454</v>
      </c>
      <c r="P72" s="120">
        <f t="shared" si="17"/>
        <v>1581.1764705882354</v>
      </c>
      <c r="Q72" s="120">
        <f t="shared" si="18"/>
        <v>1443.4100338959672</v>
      </c>
      <c r="R72" s="120">
        <f t="shared" si="19"/>
        <v>1336.3380215942661</v>
      </c>
      <c r="S72" s="120">
        <f t="shared" si="20"/>
        <v>1250.0297574312651</v>
      </c>
      <c r="T72" s="121">
        <f t="shared" si="21"/>
        <v>1178.5393575528303</v>
      </c>
      <c r="U72" s="21">
        <f>HLOOKUP($U$63,N63:T73,10,FALSE)</f>
        <v>1443.4100338959672</v>
      </c>
    </row>
    <row r="73" spans="1:21">
      <c r="B73" s="15"/>
      <c r="M73" s="36">
        <v>36</v>
      </c>
      <c r="N73" s="122">
        <f t="shared" si="15"/>
        <v>2223.5294117647059</v>
      </c>
      <c r="O73" s="122">
        <f t="shared" si="16"/>
        <v>1988.785165870401</v>
      </c>
      <c r="P73" s="122">
        <f t="shared" si="17"/>
        <v>1778.8235294117649</v>
      </c>
      <c r="Q73" s="122">
        <f t="shared" si="18"/>
        <v>1623.8362881329631</v>
      </c>
      <c r="R73" s="122">
        <f t="shared" si="19"/>
        <v>1503.3802742935495</v>
      </c>
      <c r="S73" s="122">
        <f t="shared" si="20"/>
        <v>1406.2834771101732</v>
      </c>
      <c r="T73" s="123">
        <f t="shared" si="21"/>
        <v>1325.8567772469341</v>
      </c>
      <c r="U73" s="23">
        <f>HLOOKUP($U$63,N63:T73,11,FALSE)</f>
        <v>1623.8362881329631</v>
      </c>
    </row>
    <row r="76" spans="1:21">
      <c r="A76" s="14" t="s">
        <v>203</v>
      </c>
    </row>
    <row r="77" spans="1:21">
      <c r="A77" s="46" t="s">
        <v>193</v>
      </c>
      <c r="B77" s="17"/>
    </row>
    <row r="78" spans="1:21">
      <c r="A78" s="18" t="s">
        <v>194</v>
      </c>
      <c r="B78" s="19">
        <v>1.2</v>
      </c>
    </row>
    <row r="79" spans="1:21">
      <c r="A79" s="18" t="s">
        <v>188</v>
      </c>
      <c r="B79" s="19">
        <v>1</v>
      </c>
    </row>
    <row r="80" spans="1:21">
      <c r="A80" s="22" t="s">
        <v>195</v>
      </c>
      <c r="B80" s="31">
        <v>0.8</v>
      </c>
    </row>
    <row r="82" spans="1:3">
      <c r="A82" s="46" t="s">
        <v>196</v>
      </c>
      <c r="B82" s="34"/>
      <c r="C82" s="17"/>
    </row>
    <row r="83" spans="1:3">
      <c r="A83" s="18" t="s">
        <v>197</v>
      </c>
      <c r="B83" s="12" t="s">
        <v>19</v>
      </c>
      <c r="C83" s="19" t="s">
        <v>202</v>
      </c>
    </row>
    <row r="84" spans="1:3">
      <c r="A84" s="18" t="s">
        <v>192</v>
      </c>
      <c r="B84" s="12">
        <v>1</v>
      </c>
      <c r="C84" s="19">
        <v>0.2</v>
      </c>
    </row>
    <row r="85" spans="1:3">
      <c r="A85" s="18" t="s">
        <v>198</v>
      </c>
      <c r="B85" s="12">
        <v>1.33</v>
      </c>
      <c r="C85" s="19">
        <v>0.35</v>
      </c>
    </row>
    <row r="86" spans="1:3">
      <c r="A86" s="18" t="s">
        <v>199</v>
      </c>
      <c r="B86" s="12">
        <v>1.8</v>
      </c>
      <c r="C86" s="19">
        <v>0.62</v>
      </c>
    </row>
    <row r="87" spans="1:3">
      <c r="A87" s="22" t="s">
        <v>200</v>
      </c>
      <c r="B87" s="30">
        <v>1.8</v>
      </c>
      <c r="C87" s="31">
        <v>1.35</v>
      </c>
    </row>
    <row r="89" spans="1:3">
      <c r="A89" s="46" t="s">
        <v>184</v>
      </c>
      <c r="B89" s="17" t="s">
        <v>211</v>
      </c>
      <c r="C89" s="12" t="s">
        <v>226</v>
      </c>
    </row>
    <row r="90" spans="1:3">
      <c r="A90" s="47">
        <v>1</v>
      </c>
      <c r="B90" s="19">
        <v>0.2</v>
      </c>
      <c r="C90" s="12">
        <v>0.5</v>
      </c>
    </row>
    <row r="91" spans="1:3">
      <c r="A91" s="47">
        <v>2</v>
      </c>
      <c r="B91" s="19">
        <v>0.3</v>
      </c>
      <c r="C91" s="12">
        <v>0.75</v>
      </c>
    </row>
    <row r="92" spans="1:3">
      <c r="A92" s="48">
        <v>3</v>
      </c>
      <c r="B92" s="31">
        <v>0.4</v>
      </c>
      <c r="C92" s="12">
        <v>1</v>
      </c>
    </row>
    <row r="94" spans="1:3">
      <c r="A94" s="12" t="s">
        <v>204</v>
      </c>
      <c r="B94" s="49" t="s">
        <v>205</v>
      </c>
      <c r="C94" s="12" t="s">
        <v>208</v>
      </c>
    </row>
    <row r="95" spans="1:3">
      <c r="A95" s="12" t="s">
        <v>206</v>
      </c>
      <c r="B95" s="12">
        <v>0.02</v>
      </c>
      <c r="C95" s="15">
        <v>4</v>
      </c>
    </row>
    <row r="96" spans="1:3">
      <c r="A96" s="12" t="s">
        <v>207</v>
      </c>
      <c r="B96" s="12">
        <v>0.05</v>
      </c>
      <c r="C96" s="15">
        <v>3</v>
      </c>
    </row>
    <row r="99" spans="1:3">
      <c r="A99" s="12" t="s">
        <v>209</v>
      </c>
    </row>
    <row r="100" spans="1:3">
      <c r="A100" s="12" t="s">
        <v>210</v>
      </c>
      <c r="B100" s="12">
        <v>0.02</v>
      </c>
      <c r="C100" s="12">
        <v>0.05</v>
      </c>
    </row>
    <row r="101" spans="1:3">
      <c r="A101" s="15">
        <v>3</v>
      </c>
      <c r="B101" s="12">
        <v>0.4</v>
      </c>
      <c r="C101" s="12">
        <v>0.28000000000000003</v>
      </c>
    </row>
    <row r="102" spans="1:3">
      <c r="A102" s="15">
        <v>4</v>
      </c>
      <c r="B102" s="12">
        <v>0.32</v>
      </c>
      <c r="C102" s="12">
        <v>0.22</v>
      </c>
    </row>
  </sheetData>
  <mergeCells count="5">
    <mergeCell ref="A2:D2"/>
    <mergeCell ref="A18:B18"/>
    <mergeCell ref="A38:C38"/>
    <mergeCell ref="H18:L18"/>
    <mergeCell ref="N61:T6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DF7E0-DA08-4326-BC2A-0A3C75C79F37}">
  <sheetPr codeName="Hoja5">
    <pageSetUpPr fitToPage="1"/>
  </sheetPr>
  <dimension ref="A1:N123"/>
  <sheetViews>
    <sheetView zoomScale="115" zoomScaleNormal="115" workbookViewId="0">
      <selection activeCell="B36" sqref="B36"/>
    </sheetView>
  </sheetViews>
  <sheetFormatPr baseColWidth="10" defaultRowHeight="13.2"/>
  <cols>
    <col min="1" max="1" width="11" style="109"/>
    <col min="2" max="4" width="7.69921875" style="112" customWidth="1"/>
    <col min="5" max="5" width="1.796875" style="112" customWidth="1"/>
    <col min="6" max="8" width="7.69921875" style="112" customWidth="1"/>
    <col min="9" max="9" width="1.796875" style="112" customWidth="1"/>
    <col min="10" max="12" width="7.69921875" style="112" customWidth="1"/>
    <col min="13" max="14" width="11" style="109"/>
    <col min="15" max="15" width="11.296875" style="109" customWidth="1"/>
    <col min="16" max="257" width="11" style="109"/>
    <col min="258" max="260" width="7.69921875" style="109" customWidth="1"/>
    <col min="261" max="261" width="1.796875" style="109" customWidth="1"/>
    <col min="262" max="264" width="7.69921875" style="109" customWidth="1"/>
    <col min="265" max="265" width="1.796875" style="109" customWidth="1"/>
    <col min="266" max="268" width="7.69921875" style="109" customWidth="1"/>
    <col min="269" max="270" width="11" style="109"/>
    <col min="271" max="271" width="11.296875" style="109" customWidth="1"/>
    <col min="272" max="513" width="11" style="109"/>
    <col min="514" max="516" width="7.69921875" style="109" customWidth="1"/>
    <col min="517" max="517" width="1.796875" style="109" customWidth="1"/>
    <col min="518" max="520" width="7.69921875" style="109" customWidth="1"/>
    <col min="521" max="521" width="1.796875" style="109" customWidth="1"/>
    <col min="522" max="524" width="7.69921875" style="109" customWidth="1"/>
    <col min="525" max="526" width="11" style="109"/>
    <col min="527" max="527" width="11.296875" style="109" customWidth="1"/>
    <col min="528" max="769" width="11" style="109"/>
    <col min="770" max="772" width="7.69921875" style="109" customWidth="1"/>
    <col min="773" max="773" width="1.796875" style="109" customWidth="1"/>
    <col min="774" max="776" width="7.69921875" style="109" customWidth="1"/>
    <col min="777" max="777" width="1.796875" style="109" customWidth="1"/>
    <col min="778" max="780" width="7.69921875" style="109" customWidth="1"/>
    <col min="781" max="782" width="11" style="109"/>
    <col min="783" max="783" width="11.296875" style="109" customWidth="1"/>
    <col min="784" max="1025" width="11" style="109"/>
    <col min="1026" max="1028" width="7.69921875" style="109" customWidth="1"/>
    <col min="1029" max="1029" width="1.796875" style="109" customWidth="1"/>
    <col min="1030" max="1032" width="7.69921875" style="109" customWidth="1"/>
    <col min="1033" max="1033" width="1.796875" style="109" customWidth="1"/>
    <col min="1034" max="1036" width="7.69921875" style="109" customWidth="1"/>
    <col min="1037" max="1038" width="11" style="109"/>
    <col min="1039" max="1039" width="11.296875" style="109" customWidth="1"/>
    <col min="1040" max="1281" width="11" style="109"/>
    <col min="1282" max="1284" width="7.69921875" style="109" customWidth="1"/>
    <col min="1285" max="1285" width="1.796875" style="109" customWidth="1"/>
    <col min="1286" max="1288" width="7.69921875" style="109" customWidth="1"/>
    <col min="1289" max="1289" width="1.796875" style="109" customWidth="1"/>
    <col min="1290" max="1292" width="7.69921875" style="109" customWidth="1"/>
    <col min="1293" max="1294" width="11" style="109"/>
    <col min="1295" max="1295" width="11.296875" style="109" customWidth="1"/>
    <col min="1296" max="1537" width="11" style="109"/>
    <col min="1538" max="1540" width="7.69921875" style="109" customWidth="1"/>
    <col min="1541" max="1541" width="1.796875" style="109" customWidth="1"/>
    <col min="1542" max="1544" width="7.69921875" style="109" customWidth="1"/>
    <col min="1545" max="1545" width="1.796875" style="109" customWidth="1"/>
    <col min="1546" max="1548" width="7.69921875" style="109" customWidth="1"/>
    <col min="1549" max="1550" width="11" style="109"/>
    <col min="1551" max="1551" width="11.296875" style="109" customWidth="1"/>
    <col min="1552" max="1793" width="11" style="109"/>
    <col min="1794" max="1796" width="7.69921875" style="109" customWidth="1"/>
    <col min="1797" max="1797" width="1.796875" style="109" customWidth="1"/>
    <col min="1798" max="1800" width="7.69921875" style="109" customWidth="1"/>
    <col min="1801" max="1801" width="1.796875" style="109" customWidth="1"/>
    <col min="1802" max="1804" width="7.69921875" style="109" customWidth="1"/>
    <col min="1805" max="1806" width="11" style="109"/>
    <col min="1807" max="1807" width="11.296875" style="109" customWidth="1"/>
    <col min="1808" max="2049" width="11" style="109"/>
    <col min="2050" max="2052" width="7.69921875" style="109" customWidth="1"/>
    <col min="2053" max="2053" width="1.796875" style="109" customWidth="1"/>
    <col min="2054" max="2056" width="7.69921875" style="109" customWidth="1"/>
    <col min="2057" max="2057" width="1.796875" style="109" customWidth="1"/>
    <col min="2058" max="2060" width="7.69921875" style="109" customWidth="1"/>
    <col min="2061" max="2062" width="11" style="109"/>
    <col min="2063" max="2063" width="11.296875" style="109" customWidth="1"/>
    <col min="2064" max="2305" width="11" style="109"/>
    <col min="2306" max="2308" width="7.69921875" style="109" customWidth="1"/>
    <col min="2309" max="2309" width="1.796875" style="109" customWidth="1"/>
    <col min="2310" max="2312" width="7.69921875" style="109" customWidth="1"/>
    <col min="2313" max="2313" width="1.796875" style="109" customWidth="1"/>
    <col min="2314" max="2316" width="7.69921875" style="109" customWidth="1"/>
    <col min="2317" max="2318" width="11" style="109"/>
    <col min="2319" max="2319" width="11.296875" style="109" customWidth="1"/>
    <col min="2320" max="2561" width="11" style="109"/>
    <col min="2562" max="2564" width="7.69921875" style="109" customWidth="1"/>
    <col min="2565" max="2565" width="1.796875" style="109" customWidth="1"/>
    <col min="2566" max="2568" width="7.69921875" style="109" customWidth="1"/>
    <col min="2569" max="2569" width="1.796875" style="109" customWidth="1"/>
    <col min="2570" max="2572" width="7.69921875" style="109" customWidth="1"/>
    <col min="2573" max="2574" width="11" style="109"/>
    <col min="2575" max="2575" width="11.296875" style="109" customWidth="1"/>
    <col min="2576" max="2817" width="11" style="109"/>
    <col min="2818" max="2820" width="7.69921875" style="109" customWidth="1"/>
    <col min="2821" max="2821" width="1.796875" style="109" customWidth="1"/>
    <col min="2822" max="2824" width="7.69921875" style="109" customWidth="1"/>
    <col min="2825" max="2825" width="1.796875" style="109" customWidth="1"/>
    <col min="2826" max="2828" width="7.69921875" style="109" customWidth="1"/>
    <col min="2829" max="2830" width="11" style="109"/>
    <col min="2831" max="2831" width="11.296875" style="109" customWidth="1"/>
    <col min="2832" max="3073" width="11" style="109"/>
    <col min="3074" max="3076" width="7.69921875" style="109" customWidth="1"/>
    <col min="3077" max="3077" width="1.796875" style="109" customWidth="1"/>
    <col min="3078" max="3080" width="7.69921875" style="109" customWidth="1"/>
    <col min="3081" max="3081" width="1.796875" style="109" customWidth="1"/>
    <col min="3082" max="3084" width="7.69921875" style="109" customWidth="1"/>
    <col min="3085" max="3086" width="11" style="109"/>
    <col min="3087" max="3087" width="11.296875" style="109" customWidth="1"/>
    <col min="3088" max="3329" width="11" style="109"/>
    <col min="3330" max="3332" width="7.69921875" style="109" customWidth="1"/>
    <col min="3333" max="3333" width="1.796875" style="109" customWidth="1"/>
    <col min="3334" max="3336" width="7.69921875" style="109" customWidth="1"/>
    <col min="3337" max="3337" width="1.796875" style="109" customWidth="1"/>
    <col min="3338" max="3340" width="7.69921875" style="109" customWidth="1"/>
    <col min="3341" max="3342" width="11" style="109"/>
    <col min="3343" max="3343" width="11.296875" style="109" customWidth="1"/>
    <col min="3344" max="3585" width="11" style="109"/>
    <col min="3586" max="3588" width="7.69921875" style="109" customWidth="1"/>
    <col min="3589" max="3589" width="1.796875" style="109" customWidth="1"/>
    <col min="3590" max="3592" width="7.69921875" style="109" customWidth="1"/>
    <col min="3593" max="3593" width="1.796875" style="109" customWidth="1"/>
    <col min="3594" max="3596" width="7.69921875" style="109" customWidth="1"/>
    <col min="3597" max="3598" width="11" style="109"/>
    <col min="3599" max="3599" width="11.296875" style="109" customWidth="1"/>
    <col min="3600" max="3841" width="11" style="109"/>
    <col min="3842" max="3844" width="7.69921875" style="109" customWidth="1"/>
    <col min="3845" max="3845" width="1.796875" style="109" customWidth="1"/>
    <col min="3846" max="3848" width="7.69921875" style="109" customWidth="1"/>
    <col min="3849" max="3849" width="1.796875" style="109" customWidth="1"/>
    <col min="3850" max="3852" width="7.69921875" style="109" customWidth="1"/>
    <col min="3853" max="3854" width="11" style="109"/>
    <col min="3855" max="3855" width="11.296875" style="109" customWidth="1"/>
    <col min="3856" max="4097" width="11" style="109"/>
    <col min="4098" max="4100" width="7.69921875" style="109" customWidth="1"/>
    <col min="4101" max="4101" width="1.796875" style="109" customWidth="1"/>
    <col min="4102" max="4104" width="7.69921875" style="109" customWidth="1"/>
    <col min="4105" max="4105" width="1.796875" style="109" customWidth="1"/>
    <col min="4106" max="4108" width="7.69921875" style="109" customWidth="1"/>
    <col min="4109" max="4110" width="11" style="109"/>
    <col min="4111" max="4111" width="11.296875" style="109" customWidth="1"/>
    <col min="4112" max="4353" width="11" style="109"/>
    <col min="4354" max="4356" width="7.69921875" style="109" customWidth="1"/>
    <col min="4357" max="4357" width="1.796875" style="109" customWidth="1"/>
    <col min="4358" max="4360" width="7.69921875" style="109" customWidth="1"/>
    <col min="4361" max="4361" width="1.796875" style="109" customWidth="1"/>
    <col min="4362" max="4364" width="7.69921875" style="109" customWidth="1"/>
    <col min="4365" max="4366" width="11" style="109"/>
    <col min="4367" max="4367" width="11.296875" style="109" customWidth="1"/>
    <col min="4368" max="4609" width="11" style="109"/>
    <col min="4610" max="4612" width="7.69921875" style="109" customWidth="1"/>
    <col min="4613" max="4613" width="1.796875" style="109" customWidth="1"/>
    <col min="4614" max="4616" width="7.69921875" style="109" customWidth="1"/>
    <col min="4617" max="4617" width="1.796875" style="109" customWidth="1"/>
    <col min="4618" max="4620" width="7.69921875" style="109" customWidth="1"/>
    <col min="4621" max="4622" width="11" style="109"/>
    <col min="4623" max="4623" width="11.296875" style="109" customWidth="1"/>
    <col min="4624" max="4865" width="11" style="109"/>
    <col min="4866" max="4868" width="7.69921875" style="109" customWidth="1"/>
    <col min="4869" max="4869" width="1.796875" style="109" customWidth="1"/>
    <col min="4870" max="4872" width="7.69921875" style="109" customWidth="1"/>
    <col min="4873" max="4873" width="1.796875" style="109" customWidth="1"/>
    <col min="4874" max="4876" width="7.69921875" style="109" customWidth="1"/>
    <col min="4877" max="4878" width="11" style="109"/>
    <col min="4879" max="4879" width="11.296875" style="109" customWidth="1"/>
    <col min="4880" max="5121" width="11" style="109"/>
    <col min="5122" max="5124" width="7.69921875" style="109" customWidth="1"/>
    <col min="5125" max="5125" width="1.796875" style="109" customWidth="1"/>
    <col min="5126" max="5128" width="7.69921875" style="109" customWidth="1"/>
    <col min="5129" max="5129" width="1.796875" style="109" customWidth="1"/>
    <col min="5130" max="5132" width="7.69921875" style="109" customWidth="1"/>
    <col min="5133" max="5134" width="11" style="109"/>
    <col min="5135" max="5135" width="11.296875" style="109" customWidth="1"/>
    <col min="5136" max="5377" width="11" style="109"/>
    <col min="5378" max="5380" width="7.69921875" style="109" customWidth="1"/>
    <col min="5381" max="5381" width="1.796875" style="109" customWidth="1"/>
    <col min="5382" max="5384" width="7.69921875" style="109" customWidth="1"/>
    <col min="5385" max="5385" width="1.796875" style="109" customWidth="1"/>
    <col min="5386" max="5388" width="7.69921875" style="109" customWidth="1"/>
    <col min="5389" max="5390" width="11" style="109"/>
    <col min="5391" max="5391" width="11.296875" style="109" customWidth="1"/>
    <col min="5392" max="5633" width="11" style="109"/>
    <col min="5634" max="5636" width="7.69921875" style="109" customWidth="1"/>
    <col min="5637" max="5637" width="1.796875" style="109" customWidth="1"/>
    <col min="5638" max="5640" width="7.69921875" style="109" customWidth="1"/>
    <col min="5641" max="5641" width="1.796875" style="109" customWidth="1"/>
    <col min="5642" max="5644" width="7.69921875" style="109" customWidth="1"/>
    <col min="5645" max="5646" width="11" style="109"/>
    <col min="5647" max="5647" width="11.296875" style="109" customWidth="1"/>
    <col min="5648" max="5889" width="11" style="109"/>
    <col min="5890" max="5892" width="7.69921875" style="109" customWidth="1"/>
    <col min="5893" max="5893" width="1.796875" style="109" customWidth="1"/>
    <col min="5894" max="5896" width="7.69921875" style="109" customWidth="1"/>
    <col min="5897" max="5897" width="1.796875" style="109" customWidth="1"/>
    <col min="5898" max="5900" width="7.69921875" style="109" customWidth="1"/>
    <col min="5901" max="5902" width="11" style="109"/>
    <col min="5903" max="5903" width="11.296875" style="109" customWidth="1"/>
    <col min="5904" max="6145" width="11" style="109"/>
    <col min="6146" max="6148" width="7.69921875" style="109" customWidth="1"/>
    <col min="6149" max="6149" width="1.796875" style="109" customWidth="1"/>
    <col min="6150" max="6152" width="7.69921875" style="109" customWidth="1"/>
    <col min="6153" max="6153" width="1.796875" style="109" customWidth="1"/>
    <col min="6154" max="6156" width="7.69921875" style="109" customWidth="1"/>
    <col min="6157" max="6158" width="11" style="109"/>
    <col min="6159" max="6159" width="11.296875" style="109" customWidth="1"/>
    <col min="6160" max="6401" width="11" style="109"/>
    <col min="6402" max="6404" width="7.69921875" style="109" customWidth="1"/>
    <col min="6405" max="6405" width="1.796875" style="109" customWidth="1"/>
    <col min="6406" max="6408" width="7.69921875" style="109" customWidth="1"/>
    <col min="6409" max="6409" width="1.796875" style="109" customWidth="1"/>
    <col min="6410" max="6412" width="7.69921875" style="109" customWidth="1"/>
    <col min="6413" max="6414" width="11" style="109"/>
    <col min="6415" max="6415" width="11.296875" style="109" customWidth="1"/>
    <col min="6416" max="6657" width="11" style="109"/>
    <col min="6658" max="6660" width="7.69921875" style="109" customWidth="1"/>
    <col min="6661" max="6661" width="1.796875" style="109" customWidth="1"/>
    <col min="6662" max="6664" width="7.69921875" style="109" customWidth="1"/>
    <col min="6665" max="6665" width="1.796875" style="109" customWidth="1"/>
    <col min="6666" max="6668" width="7.69921875" style="109" customWidth="1"/>
    <col min="6669" max="6670" width="11" style="109"/>
    <col min="6671" max="6671" width="11.296875" style="109" customWidth="1"/>
    <col min="6672" max="6913" width="11" style="109"/>
    <col min="6914" max="6916" width="7.69921875" style="109" customWidth="1"/>
    <col min="6917" max="6917" width="1.796875" style="109" customWidth="1"/>
    <col min="6918" max="6920" width="7.69921875" style="109" customWidth="1"/>
    <col min="6921" max="6921" width="1.796875" style="109" customWidth="1"/>
    <col min="6922" max="6924" width="7.69921875" style="109" customWidth="1"/>
    <col min="6925" max="6926" width="11" style="109"/>
    <col min="6927" max="6927" width="11.296875" style="109" customWidth="1"/>
    <col min="6928" max="7169" width="11" style="109"/>
    <col min="7170" max="7172" width="7.69921875" style="109" customWidth="1"/>
    <col min="7173" max="7173" width="1.796875" style="109" customWidth="1"/>
    <col min="7174" max="7176" width="7.69921875" style="109" customWidth="1"/>
    <col min="7177" max="7177" width="1.796875" style="109" customWidth="1"/>
    <col min="7178" max="7180" width="7.69921875" style="109" customWidth="1"/>
    <col min="7181" max="7182" width="11" style="109"/>
    <col min="7183" max="7183" width="11.296875" style="109" customWidth="1"/>
    <col min="7184" max="7425" width="11" style="109"/>
    <col min="7426" max="7428" width="7.69921875" style="109" customWidth="1"/>
    <col min="7429" max="7429" width="1.796875" style="109" customWidth="1"/>
    <col min="7430" max="7432" width="7.69921875" style="109" customWidth="1"/>
    <col min="7433" max="7433" width="1.796875" style="109" customWidth="1"/>
    <col min="7434" max="7436" width="7.69921875" style="109" customWidth="1"/>
    <col min="7437" max="7438" width="11" style="109"/>
    <col min="7439" max="7439" width="11.296875" style="109" customWidth="1"/>
    <col min="7440" max="7681" width="11" style="109"/>
    <col min="7682" max="7684" width="7.69921875" style="109" customWidth="1"/>
    <col min="7685" max="7685" width="1.796875" style="109" customWidth="1"/>
    <col min="7686" max="7688" width="7.69921875" style="109" customWidth="1"/>
    <col min="7689" max="7689" width="1.796875" style="109" customWidth="1"/>
    <col min="7690" max="7692" width="7.69921875" style="109" customWidth="1"/>
    <col min="7693" max="7694" width="11" style="109"/>
    <col min="7695" max="7695" width="11.296875" style="109" customWidth="1"/>
    <col min="7696" max="7937" width="11" style="109"/>
    <col min="7938" max="7940" width="7.69921875" style="109" customWidth="1"/>
    <col min="7941" max="7941" width="1.796875" style="109" customWidth="1"/>
    <col min="7942" max="7944" width="7.69921875" style="109" customWidth="1"/>
    <col min="7945" max="7945" width="1.796875" style="109" customWidth="1"/>
    <col min="7946" max="7948" width="7.69921875" style="109" customWidth="1"/>
    <col min="7949" max="7950" width="11" style="109"/>
    <col min="7951" max="7951" width="11.296875" style="109" customWidth="1"/>
    <col min="7952" max="8193" width="11" style="109"/>
    <col min="8194" max="8196" width="7.69921875" style="109" customWidth="1"/>
    <col min="8197" max="8197" width="1.796875" style="109" customWidth="1"/>
    <col min="8198" max="8200" width="7.69921875" style="109" customWidth="1"/>
    <col min="8201" max="8201" width="1.796875" style="109" customWidth="1"/>
    <col min="8202" max="8204" width="7.69921875" style="109" customWidth="1"/>
    <col min="8205" max="8206" width="11" style="109"/>
    <col min="8207" max="8207" width="11.296875" style="109" customWidth="1"/>
    <col min="8208" max="8449" width="11" style="109"/>
    <col min="8450" max="8452" width="7.69921875" style="109" customWidth="1"/>
    <col min="8453" max="8453" width="1.796875" style="109" customWidth="1"/>
    <col min="8454" max="8456" width="7.69921875" style="109" customWidth="1"/>
    <col min="8457" max="8457" width="1.796875" style="109" customWidth="1"/>
    <col min="8458" max="8460" width="7.69921875" style="109" customWidth="1"/>
    <col min="8461" max="8462" width="11" style="109"/>
    <col min="8463" max="8463" width="11.296875" style="109" customWidth="1"/>
    <col min="8464" max="8705" width="11" style="109"/>
    <col min="8706" max="8708" width="7.69921875" style="109" customWidth="1"/>
    <col min="8709" max="8709" width="1.796875" style="109" customWidth="1"/>
    <col min="8710" max="8712" width="7.69921875" style="109" customWidth="1"/>
    <col min="8713" max="8713" width="1.796875" style="109" customWidth="1"/>
    <col min="8714" max="8716" width="7.69921875" style="109" customWidth="1"/>
    <col min="8717" max="8718" width="11" style="109"/>
    <col min="8719" max="8719" width="11.296875" style="109" customWidth="1"/>
    <col min="8720" max="8961" width="11" style="109"/>
    <col min="8962" max="8964" width="7.69921875" style="109" customWidth="1"/>
    <col min="8965" max="8965" width="1.796875" style="109" customWidth="1"/>
    <col min="8966" max="8968" width="7.69921875" style="109" customWidth="1"/>
    <col min="8969" max="8969" width="1.796875" style="109" customWidth="1"/>
    <col min="8970" max="8972" width="7.69921875" style="109" customWidth="1"/>
    <col min="8973" max="8974" width="11" style="109"/>
    <col min="8975" max="8975" width="11.296875" style="109" customWidth="1"/>
    <col min="8976" max="9217" width="11" style="109"/>
    <col min="9218" max="9220" width="7.69921875" style="109" customWidth="1"/>
    <col min="9221" max="9221" width="1.796875" style="109" customWidth="1"/>
    <col min="9222" max="9224" width="7.69921875" style="109" customWidth="1"/>
    <col min="9225" max="9225" width="1.796875" style="109" customWidth="1"/>
    <col min="9226" max="9228" width="7.69921875" style="109" customWidth="1"/>
    <col min="9229" max="9230" width="11" style="109"/>
    <col min="9231" max="9231" width="11.296875" style="109" customWidth="1"/>
    <col min="9232" max="9473" width="11" style="109"/>
    <col min="9474" max="9476" width="7.69921875" style="109" customWidth="1"/>
    <col min="9477" max="9477" width="1.796875" style="109" customWidth="1"/>
    <col min="9478" max="9480" width="7.69921875" style="109" customWidth="1"/>
    <col min="9481" max="9481" width="1.796875" style="109" customWidth="1"/>
    <col min="9482" max="9484" width="7.69921875" style="109" customWidth="1"/>
    <col min="9485" max="9486" width="11" style="109"/>
    <col min="9487" max="9487" width="11.296875" style="109" customWidth="1"/>
    <col min="9488" max="9729" width="11" style="109"/>
    <col min="9730" max="9732" width="7.69921875" style="109" customWidth="1"/>
    <col min="9733" max="9733" width="1.796875" style="109" customWidth="1"/>
    <col min="9734" max="9736" width="7.69921875" style="109" customWidth="1"/>
    <col min="9737" max="9737" width="1.796875" style="109" customWidth="1"/>
    <col min="9738" max="9740" width="7.69921875" style="109" customWidth="1"/>
    <col min="9741" max="9742" width="11" style="109"/>
    <col min="9743" max="9743" width="11.296875" style="109" customWidth="1"/>
    <col min="9744" max="9985" width="11" style="109"/>
    <col min="9986" max="9988" width="7.69921875" style="109" customWidth="1"/>
    <col min="9989" max="9989" width="1.796875" style="109" customWidth="1"/>
    <col min="9990" max="9992" width="7.69921875" style="109" customWidth="1"/>
    <col min="9993" max="9993" width="1.796875" style="109" customWidth="1"/>
    <col min="9994" max="9996" width="7.69921875" style="109" customWidth="1"/>
    <col min="9997" max="9998" width="11" style="109"/>
    <col min="9999" max="9999" width="11.296875" style="109" customWidth="1"/>
    <col min="10000" max="10241" width="11" style="109"/>
    <col min="10242" max="10244" width="7.69921875" style="109" customWidth="1"/>
    <col min="10245" max="10245" width="1.796875" style="109" customWidth="1"/>
    <col min="10246" max="10248" width="7.69921875" style="109" customWidth="1"/>
    <col min="10249" max="10249" width="1.796875" style="109" customWidth="1"/>
    <col min="10250" max="10252" width="7.69921875" style="109" customWidth="1"/>
    <col min="10253" max="10254" width="11" style="109"/>
    <col min="10255" max="10255" width="11.296875" style="109" customWidth="1"/>
    <col min="10256" max="10497" width="11" style="109"/>
    <col min="10498" max="10500" width="7.69921875" style="109" customWidth="1"/>
    <col min="10501" max="10501" width="1.796875" style="109" customWidth="1"/>
    <col min="10502" max="10504" width="7.69921875" style="109" customWidth="1"/>
    <col min="10505" max="10505" width="1.796875" style="109" customWidth="1"/>
    <col min="10506" max="10508" width="7.69921875" style="109" customWidth="1"/>
    <col min="10509" max="10510" width="11" style="109"/>
    <col min="10511" max="10511" width="11.296875" style="109" customWidth="1"/>
    <col min="10512" max="10753" width="11" style="109"/>
    <col min="10754" max="10756" width="7.69921875" style="109" customWidth="1"/>
    <col min="10757" max="10757" width="1.796875" style="109" customWidth="1"/>
    <col min="10758" max="10760" width="7.69921875" style="109" customWidth="1"/>
    <col min="10761" max="10761" width="1.796875" style="109" customWidth="1"/>
    <col min="10762" max="10764" width="7.69921875" style="109" customWidth="1"/>
    <col min="10765" max="10766" width="11" style="109"/>
    <col min="10767" max="10767" width="11.296875" style="109" customWidth="1"/>
    <col min="10768" max="11009" width="11" style="109"/>
    <col min="11010" max="11012" width="7.69921875" style="109" customWidth="1"/>
    <col min="11013" max="11013" width="1.796875" style="109" customWidth="1"/>
    <col min="11014" max="11016" width="7.69921875" style="109" customWidth="1"/>
    <col min="11017" max="11017" width="1.796875" style="109" customWidth="1"/>
    <col min="11018" max="11020" width="7.69921875" style="109" customWidth="1"/>
    <col min="11021" max="11022" width="11" style="109"/>
    <col min="11023" max="11023" width="11.296875" style="109" customWidth="1"/>
    <col min="11024" max="11265" width="11" style="109"/>
    <col min="11266" max="11268" width="7.69921875" style="109" customWidth="1"/>
    <col min="11269" max="11269" width="1.796875" style="109" customWidth="1"/>
    <col min="11270" max="11272" width="7.69921875" style="109" customWidth="1"/>
    <col min="11273" max="11273" width="1.796875" style="109" customWidth="1"/>
    <col min="11274" max="11276" width="7.69921875" style="109" customWidth="1"/>
    <col min="11277" max="11278" width="11" style="109"/>
    <col min="11279" max="11279" width="11.296875" style="109" customWidth="1"/>
    <col min="11280" max="11521" width="11" style="109"/>
    <col min="11522" max="11524" width="7.69921875" style="109" customWidth="1"/>
    <col min="11525" max="11525" width="1.796875" style="109" customWidth="1"/>
    <col min="11526" max="11528" width="7.69921875" style="109" customWidth="1"/>
    <col min="11529" max="11529" width="1.796875" style="109" customWidth="1"/>
    <col min="11530" max="11532" width="7.69921875" style="109" customWidth="1"/>
    <col min="11533" max="11534" width="11" style="109"/>
    <col min="11535" max="11535" width="11.296875" style="109" customWidth="1"/>
    <col min="11536" max="11777" width="11" style="109"/>
    <col min="11778" max="11780" width="7.69921875" style="109" customWidth="1"/>
    <col min="11781" max="11781" width="1.796875" style="109" customWidth="1"/>
    <col min="11782" max="11784" width="7.69921875" style="109" customWidth="1"/>
    <col min="11785" max="11785" width="1.796875" style="109" customWidth="1"/>
    <col min="11786" max="11788" width="7.69921875" style="109" customWidth="1"/>
    <col min="11789" max="11790" width="11" style="109"/>
    <col min="11791" max="11791" width="11.296875" style="109" customWidth="1"/>
    <col min="11792" max="12033" width="11" style="109"/>
    <col min="12034" max="12036" width="7.69921875" style="109" customWidth="1"/>
    <col min="12037" max="12037" width="1.796875" style="109" customWidth="1"/>
    <col min="12038" max="12040" width="7.69921875" style="109" customWidth="1"/>
    <col min="12041" max="12041" width="1.796875" style="109" customWidth="1"/>
    <col min="12042" max="12044" width="7.69921875" style="109" customWidth="1"/>
    <col min="12045" max="12046" width="11" style="109"/>
    <col min="12047" max="12047" width="11.296875" style="109" customWidth="1"/>
    <col min="12048" max="12289" width="11" style="109"/>
    <col min="12290" max="12292" width="7.69921875" style="109" customWidth="1"/>
    <col min="12293" max="12293" width="1.796875" style="109" customWidth="1"/>
    <col min="12294" max="12296" width="7.69921875" style="109" customWidth="1"/>
    <col min="12297" max="12297" width="1.796875" style="109" customWidth="1"/>
    <col min="12298" max="12300" width="7.69921875" style="109" customWidth="1"/>
    <col min="12301" max="12302" width="11" style="109"/>
    <col min="12303" max="12303" width="11.296875" style="109" customWidth="1"/>
    <col min="12304" max="12545" width="11" style="109"/>
    <col min="12546" max="12548" width="7.69921875" style="109" customWidth="1"/>
    <col min="12549" max="12549" width="1.796875" style="109" customWidth="1"/>
    <col min="12550" max="12552" width="7.69921875" style="109" customWidth="1"/>
    <col min="12553" max="12553" width="1.796875" style="109" customWidth="1"/>
    <col min="12554" max="12556" width="7.69921875" style="109" customWidth="1"/>
    <col min="12557" max="12558" width="11" style="109"/>
    <col min="12559" max="12559" width="11.296875" style="109" customWidth="1"/>
    <col min="12560" max="12801" width="11" style="109"/>
    <col min="12802" max="12804" width="7.69921875" style="109" customWidth="1"/>
    <col min="12805" max="12805" width="1.796875" style="109" customWidth="1"/>
    <col min="12806" max="12808" width="7.69921875" style="109" customWidth="1"/>
    <col min="12809" max="12809" width="1.796875" style="109" customWidth="1"/>
    <col min="12810" max="12812" width="7.69921875" style="109" customWidth="1"/>
    <col min="12813" max="12814" width="11" style="109"/>
    <col min="12815" max="12815" width="11.296875" style="109" customWidth="1"/>
    <col min="12816" max="13057" width="11" style="109"/>
    <col min="13058" max="13060" width="7.69921875" style="109" customWidth="1"/>
    <col min="13061" max="13061" width="1.796875" style="109" customWidth="1"/>
    <col min="13062" max="13064" width="7.69921875" style="109" customWidth="1"/>
    <col min="13065" max="13065" width="1.796875" style="109" customWidth="1"/>
    <col min="13066" max="13068" width="7.69921875" style="109" customWidth="1"/>
    <col min="13069" max="13070" width="11" style="109"/>
    <col min="13071" max="13071" width="11.296875" style="109" customWidth="1"/>
    <col min="13072" max="13313" width="11" style="109"/>
    <col min="13314" max="13316" width="7.69921875" style="109" customWidth="1"/>
    <col min="13317" max="13317" width="1.796875" style="109" customWidth="1"/>
    <col min="13318" max="13320" width="7.69921875" style="109" customWidth="1"/>
    <col min="13321" max="13321" width="1.796875" style="109" customWidth="1"/>
    <col min="13322" max="13324" width="7.69921875" style="109" customWidth="1"/>
    <col min="13325" max="13326" width="11" style="109"/>
    <col min="13327" max="13327" width="11.296875" style="109" customWidth="1"/>
    <col min="13328" max="13569" width="11" style="109"/>
    <col min="13570" max="13572" width="7.69921875" style="109" customWidth="1"/>
    <col min="13573" max="13573" width="1.796875" style="109" customWidth="1"/>
    <col min="13574" max="13576" width="7.69921875" style="109" customWidth="1"/>
    <col min="13577" max="13577" width="1.796875" style="109" customWidth="1"/>
    <col min="13578" max="13580" width="7.69921875" style="109" customWidth="1"/>
    <col min="13581" max="13582" width="11" style="109"/>
    <col min="13583" max="13583" width="11.296875" style="109" customWidth="1"/>
    <col min="13584" max="13825" width="11" style="109"/>
    <col min="13826" max="13828" width="7.69921875" style="109" customWidth="1"/>
    <col min="13829" max="13829" width="1.796875" style="109" customWidth="1"/>
    <col min="13830" max="13832" width="7.69921875" style="109" customWidth="1"/>
    <col min="13833" max="13833" width="1.796875" style="109" customWidth="1"/>
    <col min="13834" max="13836" width="7.69921875" style="109" customWidth="1"/>
    <col min="13837" max="13838" width="11" style="109"/>
    <col min="13839" max="13839" width="11.296875" style="109" customWidth="1"/>
    <col min="13840" max="14081" width="11" style="109"/>
    <col min="14082" max="14084" width="7.69921875" style="109" customWidth="1"/>
    <col min="14085" max="14085" width="1.796875" style="109" customWidth="1"/>
    <col min="14086" max="14088" width="7.69921875" style="109" customWidth="1"/>
    <col min="14089" max="14089" width="1.796875" style="109" customWidth="1"/>
    <col min="14090" max="14092" width="7.69921875" style="109" customWidth="1"/>
    <col min="14093" max="14094" width="11" style="109"/>
    <col min="14095" max="14095" width="11.296875" style="109" customWidth="1"/>
    <col min="14096" max="14337" width="11" style="109"/>
    <col min="14338" max="14340" width="7.69921875" style="109" customWidth="1"/>
    <col min="14341" max="14341" width="1.796875" style="109" customWidth="1"/>
    <col min="14342" max="14344" width="7.69921875" style="109" customWidth="1"/>
    <col min="14345" max="14345" width="1.796875" style="109" customWidth="1"/>
    <col min="14346" max="14348" width="7.69921875" style="109" customWidth="1"/>
    <col min="14349" max="14350" width="11" style="109"/>
    <col min="14351" max="14351" width="11.296875" style="109" customWidth="1"/>
    <col min="14352" max="14593" width="11" style="109"/>
    <col min="14594" max="14596" width="7.69921875" style="109" customWidth="1"/>
    <col min="14597" max="14597" width="1.796875" style="109" customWidth="1"/>
    <col min="14598" max="14600" width="7.69921875" style="109" customWidth="1"/>
    <col min="14601" max="14601" width="1.796875" style="109" customWidth="1"/>
    <col min="14602" max="14604" width="7.69921875" style="109" customWidth="1"/>
    <col min="14605" max="14606" width="11" style="109"/>
    <col min="14607" max="14607" width="11.296875" style="109" customWidth="1"/>
    <col min="14608" max="14849" width="11" style="109"/>
    <col min="14850" max="14852" width="7.69921875" style="109" customWidth="1"/>
    <col min="14853" max="14853" width="1.796875" style="109" customWidth="1"/>
    <col min="14854" max="14856" width="7.69921875" style="109" customWidth="1"/>
    <col min="14857" max="14857" width="1.796875" style="109" customWidth="1"/>
    <col min="14858" max="14860" width="7.69921875" style="109" customWidth="1"/>
    <col min="14861" max="14862" width="11" style="109"/>
    <col min="14863" max="14863" width="11.296875" style="109" customWidth="1"/>
    <col min="14864" max="15105" width="11" style="109"/>
    <col min="15106" max="15108" width="7.69921875" style="109" customWidth="1"/>
    <col min="15109" max="15109" width="1.796875" style="109" customWidth="1"/>
    <col min="15110" max="15112" width="7.69921875" style="109" customWidth="1"/>
    <col min="15113" max="15113" width="1.796875" style="109" customWidth="1"/>
    <col min="15114" max="15116" width="7.69921875" style="109" customWidth="1"/>
    <col min="15117" max="15118" width="11" style="109"/>
    <col min="15119" max="15119" width="11.296875" style="109" customWidth="1"/>
    <col min="15120" max="15361" width="11" style="109"/>
    <col min="15362" max="15364" width="7.69921875" style="109" customWidth="1"/>
    <col min="15365" max="15365" width="1.796875" style="109" customWidth="1"/>
    <col min="15366" max="15368" width="7.69921875" style="109" customWidth="1"/>
    <col min="15369" max="15369" width="1.796875" style="109" customWidth="1"/>
    <col min="15370" max="15372" width="7.69921875" style="109" customWidth="1"/>
    <col min="15373" max="15374" width="11" style="109"/>
    <col min="15375" max="15375" width="11.296875" style="109" customWidth="1"/>
    <col min="15376" max="15617" width="11" style="109"/>
    <col min="15618" max="15620" width="7.69921875" style="109" customWidth="1"/>
    <col min="15621" max="15621" width="1.796875" style="109" customWidth="1"/>
    <col min="15622" max="15624" width="7.69921875" style="109" customWidth="1"/>
    <col min="15625" max="15625" width="1.796875" style="109" customWidth="1"/>
    <col min="15626" max="15628" width="7.69921875" style="109" customWidth="1"/>
    <col min="15629" max="15630" width="11" style="109"/>
    <col min="15631" max="15631" width="11.296875" style="109" customWidth="1"/>
    <col min="15632" max="15873" width="11" style="109"/>
    <col min="15874" max="15876" width="7.69921875" style="109" customWidth="1"/>
    <col min="15877" max="15877" width="1.796875" style="109" customWidth="1"/>
    <col min="15878" max="15880" width="7.69921875" style="109" customWidth="1"/>
    <col min="15881" max="15881" width="1.796875" style="109" customWidth="1"/>
    <col min="15882" max="15884" width="7.69921875" style="109" customWidth="1"/>
    <col min="15885" max="15886" width="11" style="109"/>
    <col min="15887" max="15887" width="11.296875" style="109" customWidth="1"/>
    <col min="15888" max="16129" width="11" style="109"/>
    <col min="16130" max="16132" width="7.69921875" style="109" customWidth="1"/>
    <col min="16133" max="16133" width="1.796875" style="109" customWidth="1"/>
    <col min="16134" max="16136" width="7.69921875" style="109" customWidth="1"/>
    <col min="16137" max="16137" width="1.796875" style="109" customWidth="1"/>
    <col min="16138" max="16140" width="7.69921875" style="109" customWidth="1"/>
    <col min="16141" max="16142" width="11" style="109"/>
    <col min="16143" max="16143" width="11.296875" style="109" customWidth="1"/>
    <col min="16144" max="16384" width="11" style="109"/>
  </cols>
  <sheetData>
    <row r="1" spans="1:14" ht="19.8">
      <c r="B1" s="151" t="s">
        <v>580</v>
      </c>
      <c r="C1" s="151"/>
      <c r="D1" s="151"/>
      <c r="E1" s="151"/>
      <c r="F1" s="151"/>
      <c r="G1" s="151"/>
      <c r="H1" s="151"/>
      <c r="I1" s="151"/>
      <c r="J1" s="151"/>
      <c r="K1" s="151"/>
      <c r="L1" s="151"/>
    </row>
    <row r="3" spans="1:14" ht="15.6">
      <c r="B3" s="110" t="s">
        <v>581</v>
      </c>
      <c r="C3" s="111" t="s">
        <v>582</v>
      </c>
      <c r="D3" s="110" t="s">
        <v>583</v>
      </c>
      <c r="F3" s="111" t="s">
        <v>582</v>
      </c>
      <c r="G3" s="110" t="s">
        <v>581</v>
      </c>
      <c r="H3" s="110" t="s">
        <v>584</v>
      </c>
      <c r="M3" s="112"/>
      <c r="N3" s="112"/>
    </row>
    <row r="4" spans="1:14">
      <c r="A4" s="109" t="str">
        <f>C4&amp;"@"&amp;D4*10</f>
        <v>6@300</v>
      </c>
      <c r="B4" s="113">
        <v>0.94</v>
      </c>
      <c r="C4" s="113">
        <v>6</v>
      </c>
      <c r="D4" s="113">
        <v>30</v>
      </c>
      <c r="F4" s="113">
        <v>8</v>
      </c>
      <c r="G4" s="113">
        <v>0.503</v>
      </c>
      <c r="H4" s="115">
        <f>+G4/10000*7850</f>
        <v>0.39485500000000001</v>
      </c>
      <c r="J4" s="116">
        <f>(PI()*(C4/10)^2)/4*(100/D4)</f>
        <v>0.94247779607693805</v>
      </c>
    </row>
    <row r="5" spans="1:14">
      <c r="A5" s="109" t="str">
        <f t="shared" ref="A5:A68" si="0">C5&amp;"@"&amp;D5*10</f>
        <v>6@250</v>
      </c>
      <c r="B5" s="113">
        <v>1.1299999999999999</v>
      </c>
      <c r="C5" s="113">
        <v>6</v>
      </c>
      <c r="D5" s="113">
        <v>25</v>
      </c>
      <c r="F5" s="113">
        <v>10</v>
      </c>
      <c r="G5" s="113">
        <v>0.78500000000000003</v>
      </c>
      <c r="H5" s="115">
        <f t="shared" ref="H5:H13" si="1">+G5/10000*7850</f>
        <v>0.61622500000000002</v>
      </c>
      <c r="J5" s="116">
        <f t="shared" ref="J5:J68" si="2">(PI()*(C5/10)^2)/4*(100/D5)</f>
        <v>1.1309733552923256</v>
      </c>
    </row>
    <row r="6" spans="1:14">
      <c r="A6" s="109" t="str">
        <f t="shared" si="0"/>
        <v>6@200</v>
      </c>
      <c r="B6" s="113">
        <v>1.41</v>
      </c>
      <c r="C6" s="113">
        <v>6</v>
      </c>
      <c r="D6" s="113">
        <v>20</v>
      </c>
      <c r="F6" s="113">
        <v>12</v>
      </c>
      <c r="G6" s="113">
        <v>1.1299999999999999</v>
      </c>
      <c r="H6" s="115">
        <f t="shared" si="1"/>
        <v>0.88705000000000001</v>
      </c>
      <c r="J6" s="116">
        <f t="shared" si="2"/>
        <v>1.4137166941154069</v>
      </c>
    </row>
    <row r="7" spans="1:14">
      <c r="A7" s="109" t="str">
        <f t="shared" si="0"/>
        <v>6@180</v>
      </c>
      <c r="B7" s="113">
        <v>1.57</v>
      </c>
      <c r="C7" s="113">
        <v>6</v>
      </c>
      <c r="D7" s="113">
        <v>18</v>
      </c>
      <c r="F7" s="113">
        <v>16</v>
      </c>
      <c r="G7" s="113">
        <v>2.0099999999999998</v>
      </c>
      <c r="H7" s="115">
        <f t="shared" si="1"/>
        <v>1.5778499999999998</v>
      </c>
      <c r="J7" s="116">
        <f t="shared" si="2"/>
        <v>1.5707963267948966</v>
      </c>
    </row>
    <row r="8" spans="1:14">
      <c r="A8" s="109" t="str">
        <f t="shared" si="0"/>
        <v>8@300</v>
      </c>
      <c r="B8" s="113">
        <v>1.68</v>
      </c>
      <c r="C8" s="113">
        <v>8</v>
      </c>
      <c r="D8" s="113">
        <v>30</v>
      </c>
      <c r="F8" s="113">
        <v>18</v>
      </c>
      <c r="G8" s="113">
        <v>2.54</v>
      </c>
      <c r="H8" s="115">
        <f t="shared" si="1"/>
        <v>1.9939</v>
      </c>
      <c r="J8" s="116">
        <f t="shared" si="2"/>
        <v>1.6755160819145565</v>
      </c>
    </row>
    <row r="9" spans="1:14">
      <c r="A9" s="109" t="str">
        <f t="shared" si="0"/>
        <v>6@160</v>
      </c>
      <c r="B9" s="113">
        <v>1.77</v>
      </c>
      <c r="C9" s="113">
        <v>6</v>
      </c>
      <c r="D9" s="113">
        <v>16</v>
      </c>
      <c r="F9" s="113">
        <v>22</v>
      </c>
      <c r="G9" s="113">
        <v>3.8</v>
      </c>
      <c r="H9" s="115">
        <f t="shared" si="1"/>
        <v>2.9829999999999997</v>
      </c>
      <c r="J9" s="116">
        <f t="shared" si="2"/>
        <v>1.7671458676442586</v>
      </c>
    </row>
    <row r="10" spans="1:14">
      <c r="A10" s="109" t="str">
        <f t="shared" si="0"/>
        <v>6@150</v>
      </c>
      <c r="B10" s="113">
        <v>1.88</v>
      </c>
      <c r="C10" s="113">
        <v>6</v>
      </c>
      <c r="D10" s="113">
        <v>15</v>
      </c>
      <c r="F10" s="113">
        <v>25</v>
      </c>
      <c r="G10" s="113">
        <v>4.91</v>
      </c>
      <c r="H10" s="115">
        <f t="shared" si="1"/>
        <v>3.8543500000000002</v>
      </c>
      <c r="J10" s="116">
        <f t="shared" si="2"/>
        <v>1.8849555921538761</v>
      </c>
    </row>
    <row r="11" spans="1:14">
      <c r="A11" s="109" t="str">
        <f t="shared" si="0"/>
        <v>8@250</v>
      </c>
      <c r="B11" s="113">
        <v>2.0099999999999998</v>
      </c>
      <c r="C11" s="113">
        <v>8</v>
      </c>
      <c r="D11" s="113">
        <v>25</v>
      </c>
      <c r="F11" s="113">
        <v>28</v>
      </c>
      <c r="G11" s="113">
        <v>6.16</v>
      </c>
      <c r="H11" s="115">
        <f t="shared" si="1"/>
        <v>4.8356000000000003</v>
      </c>
      <c r="J11" s="116">
        <f t="shared" si="2"/>
        <v>2.0106192982974678</v>
      </c>
    </row>
    <row r="12" spans="1:14">
      <c r="A12" s="109" t="str">
        <f t="shared" si="0"/>
        <v>6@140</v>
      </c>
      <c r="B12" s="113">
        <v>2.02</v>
      </c>
      <c r="C12" s="113">
        <v>6</v>
      </c>
      <c r="D12" s="113">
        <v>14</v>
      </c>
      <c r="F12" s="113">
        <v>32</v>
      </c>
      <c r="G12" s="113">
        <v>8.0399999999999991</v>
      </c>
      <c r="H12" s="115">
        <f t="shared" si="1"/>
        <v>6.311399999999999</v>
      </c>
      <c r="J12" s="116">
        <f t="shared" si="2"/>
        <v>2.0195952773077241</v>
      </c>
    </row>
    <row r="13" spans="1:14">
      <c r="A13" s="109" t="str">
        <f t="shared" si="0"/>
        <v>6@120</v>
      </c>
      <c r="B13" s="113">
        <v>2.36</v>
      </c>
      <c r="C13" s="113">
        <v>6</v>
      </c>
      <c r="D13" s="113">
        <v>12</v>
      </c>
      <c r="F13" s="113">
        <v>36</v>
      </c>
      <c r="G13" s="113">
        <v>10.199999999999999</v>
      </c>
      <c r="H13" s="115">
        <f t="shared" si="1"/>
        <v>8.0069999999999997</v>
      </c>
      <c r="J13" s="116">
        <f t="shared" si="2"/>
        <v>2.3561944901923453</v>
      </c>
    </row>
    <row r="14" spans="1:14">
      <c r="A14" s="109" t="str">
        <f t="shared" si="0"/>
        <v>8@200</v>
      </c>
      <c r="B14" s="114">
        <v>2.5099999999999998</v>
      </c>
      <c r="C14" s="114">
        <v>8</v>
      </c>
      <c r="D14" s="114">
        <v>20</v>
      </c>
      <c r="J14" s="116">
        <f t="shared" si="2"/>
        <v>2.5132741228718345</v>
      </c>
    </row>
    <row r="15" spans="1:14">
      <c r="A15" s="109" t="str">
        <f t="shared" si="0"/>
        <v>10@300</v>
      </c>
      <c r="B15" s="113">
        <v>2.62</v>
      </c>
      <c r="C15" s="113">
        <v>10</v>
      </c>
      <c r="D15" s="113">
        <v>30</v>
      </c>
      <c r="J15" s="116">
        <f t="shared" si="2"/>
        <v>2.6179938779914944</v>
      </c>
    </row>
    <row r="16" spans="1:14">
      <c r="A16" s="109" t="str">
        <f t="shared" si="0"/>
        <v>8@180</v>
      </c>
      <c r="B16" s="113">
        <v>2.79</v>
      </c>
      <c r="C16" s="113">
        <v>8</v>
      </c>
      <c r="D16" s="113">
        <v>18</v>
      </c>
      <c r="J16" s="116">
        <f t="shared" si="2"/>
        <v>2.7925268031909272</v>
      </c>
    </row>
    <row r="17" spans="1:10">
      <c r="A17" s="109" t="str">
        <f t="shared" si="0"/>
        <v>6@100</v>
      </c>
      <c r="B17" s="113">
        <v>2.83</v>
      </c>
      <c r="C17" s="113">
        <v>6</v>
      </c>
      <c r="D17" s="113">
        <v>10</v>
      </c>
      <c r="J17" s="116">
        <f t="shared" si="2"/>
        <v>2.8274333882308138</v>
      </c>
    </row>
    <row r="18" spans="1:10">
      <c r="A18" s="109" t="str">
        <f t="shared" si="0"/>
        <v>6@90</v>
      </c>
      <c r="B18" s="113">
        <v>3.14</v>
      </c>
      <c r="C18" s="113">
        <v>6</v>
      </c>
      <c r="D18" s="113">
        <v>9</v>
      </c>
      <c r="J18" s="116">
        <f t="shared" si="2"/>
        <v>3.1415926535897931</v>
      </c>
    </row>
    <row r="19" spans="1:10">
      <c r="A19" s="109" t="str">
        <f t="shared" si="0"/>
        <v>8@160</v>
      </c>
      <c r="B19" s="113">
        <v>3.14</v>
      </c>
      <c r="C19" s="113">
        <v>8</v>
      </c>
      <c r="D19" s="113">
        <v>16</v>
      </c>
      <c r="J19" s="116">
        <f t="shared" si="2"/>
        <v>3.1415926535897936</v>
      </c>
    </row>
    <row r="20" spans="1:10">
      <c r="A20" s="109" t="str">
        <f t="shared" si="0"/>
        <v>10@250</v>
      </c>
      <c r="B20" s="113">
        <v>3.14</v>
      </c>
      <c r="C20" s="113">
        <v>10</v>
      </c>
      <c r="D20" s="113">
        <v>25</v>
      </c>
      <c r="J20" s="116">
        <f t="shared" si="2"/>
        <v>3.1415926535897931</v>
      </c>
    </row>
    <row r="21" spans="1:10">
      <c r="A21" s="109" t="str">
        <f t="shared" si="0"/>
        <v>8@150</v>
      </c>
      <c r="B21" s="114">
        <v>3.35</v>
      </c>
      <c r="C21" s="114">
        <v>8</v>
      </c>
      <c r="D21" s="114">
        <v>15</v>
      </c>
      <c r="J21" s="116">
        <f t="shared" si="2"/>
        <v>3.351032163829113</v>
      </c>
    </row>
    <row r="22" spans="1:10">
      <c r="A22" s="109" t="str">
        <f t="shared" si="0"/>
        <v>6@80</v>
      </c>
      <c r="B22" s="113">
        <v>3.53</v>
      </c>
      <c r="C22" s="113">
        <v>6</v>
      </c>
      <c r="D22" s="113">
        <v>8</v>
      </c>
      <c r="J22" s="116">
        <f t="shared" si="2"/>
        <v>3.5342917352885173</v>
      </c>
    </row>
    <row r="23" spans="1:10">
      <c r="A23" s="109" t="str">
        <f t="shared" si="0"/>
        <v>8@140</v>
      </c>
      <c r="B23" s="113">
        <v>3.59</v>
      </c>
      <c r="C23" s="113">
        <v>8</v>
      </c>
      <c r="D23" s="113">
        <v>14</v>
      </c>
      <c r="J23" s="116">
        <f t="shared" si="2"/>
        <v>3.5903916041026211</v>
      </c>
    </row>
    <row r="24" spans="1:10">
      <c r="A24" s="109" t="str">
        <f t="shared" si="0"/>
        <v>12@300</v>
      </c>
      <c r="B24" s="113">
        <v>3.77</v>
      </c>
      <c r="C24" s="113">
        <v>12</v>
      </c>
      <c r="D24" s="113">
        <v>30</v>
      </c>
      <c r="J24" s="116">
        <f t="shared" si="2"/>
        <v>3.7699111843077522</v>
      </c>
    </row>
    <row r="25" spans="1:10">
      <c r="A25" s="109" t="str">
        <f t="shared" si="0"/>
        <v>10@200</v>
      </c>
      <c r="B25" s="114">
        <v>3.93</v>
      </c>
      <c r="C25" s="114">
        <v>10</v>
      </c>
      <c r="D25" s="114">
        <v>20</v>
      </c>
      <c r="J25" s="116">
        <f t="shared" si="2"/>
        <v>3.9269908169872414</v>
      </c>
    </row>
    <row r="26" spans="1:10">
      <c r="A26" s="109" t="str">
        <f t="shared" si="0"/>
        <v>8@120</v>
      </c>
      <c r="B26" s="113">
        <v>4.1900000000000004</v>
      </c>
      <c r="C26" s="113">
        <v>8</v>
      </c>
      <c r="D26" s="113">
        <v>12</v>
      </c>
      <c r="J26" s="116">
        <f t="shared" si="2"/>
        <v>4.1887902047863914</v>
      </c>
    </row>
    <row r="27" spans="1:10">
      <c r="A27" s="109" t="str">
        <f t="shared" si="0"/>
        <v>10@180</v>
      </c>
      <c r="B27" s="113">
        <v>4.3600000000000003</v>
      </c>
      <c r="C27" s="113">
        <v>10</v>
      </c>
      <c r="D27" s="113">
        <v>18</v>
      </c>
      <c r="J27" s="116">
        <f t="shared" si="2"/>
        <v>4.3633231299858233</v>
      </c>
    </row>
    <row r="28" spans="1:10">
      <c r="A28" s="109" t="str">
        <f t="shared" si="0"/>
        <v>12@250</v>
      </c>
      <c r="B28" s="113">
        <v>4.5199999999999996</v>
      </c>
      <c r="C28" s="113">
        <v>12</v>
      </c>
      <c r="D28" s="113">
        <v>25</v>
      </c>
      <c r="J28" s="116">
        <f t="shared" si="2"/>
        <v>4.5238934211693023</v>
      </c>
    </row>
    <row r="29" spans="1:10">
      <c r="A29" s="109" t="str">
        <f t="shared" si="0"/>
        <v>10@160</v>
      </c>
      <c r="B29" s="113">
        <v>4.91</v>
      </c>
      <c r="C29" s="113">
        <v>10</v>
      </c>
      <c r="D29" s="113">
        <v>16</v>
      </c>
      <c r="J29" s="116">
        <f t="shared" si="2"/>
        <v>4.908738521234052</v>
      </c>
    </row>
    <row r="30" spans="1:10">
      <c r="A30" s="109" t="str">
        <f t="shared" si="0"/>
        <v>8@100</v>
      </c>
      <c r="B30" s="113">
        <v>5.03</v>
      </c>
      <c r="C30" s="113">
        <v>8</v>
      </c>
      <c r="D30" s="113">
        <v>10</v>
      </c>
      <c r="J30" s="116">
        <f t="shared" si="2"/>
        <v>5.026548245743669</v>
      </c>
    </row>
    <row r="31" spans="1:10">
      <c r="A31" s="109" t="str">
        <f t="shared" si="0"/>
        <v>10@150</v>
      </c>
      <c r="B31" s="114">
        <v>5.24</v>
      </c>
      <c r="C31" s="114">
        <v>10</v>
      </c>
      <c r="D31" s="114">
        <v>15</v>
      </c>
      <c r="J31" s="116">
        <f t="shared" si="2"/>
        <v>5.2359877559829888</v>
      </c>
    </row>
    <row r="32" spans="1:10">
      <c r="A32" s="109" t="str">
        <f t="shared" si="0"/>
        <v>8@90</v>
      </c>
      <c r="B32" s="113">
        <v>5.59</v>
      </c>
      <c r="C32" s="113">
        <v>8</v>
      </c>
      <c r="D32" s="113">
        <v>9</v>
      </c>
      <c r="J32" s="116">
        <f t="shared" si="2"/>
        <v>5.5850536063818543</v>
      </c>
    </row>
    <row r="33" spans="1:10">
      <c r="A33" s="109" t="str">
        <f t="shared" si="0"/>
        <v>10@140</v>
      </c>
      <c r="B33" s="113">
        <v>5.61</v>
      </c>
      <c r="C33" s="113">
        <v>10</v>
      </c>
      <c r="D33" s="113">
        <v>14</v>
      </c>
      <c r="J33" s="116">
        <f t="shared" si="2"/>
        <v>5.6099868814103448</v>
      </c>
    </row>
    <row r="34" spans="1:10">
      <c r="A34" s="109" t="str">
        <f t="shared" si="0"/>
        <v>12@200</v>
      </c>
      <c r="B34" s="114">
        <v>5.65</v>
      </c>
      <c r="C34" s="114">
        <v>12</v>
      </c>
      <c r="D34" s="114">
        <v>20</v>
      </c>
      <c r="J34" s="116">
        <f t="shared" si="2"/>
        <v>5.6548667764616276</v>
      </c>
    </row>
    <row r="35" spans="1:10">
      <c r="A35" s="109" t="str">
        <f t="shared" si="0"/>
        <v>8@80</v>
      </c>
      <c r="B35" s="113">
        <v>6.28</v>
      </c>
      <c r="C35" s="113">
        <v>8</v>
      </c>
      <c r="D35" s="113">
        <v>8</v>
      </c>
      <c r="J35" s="116">
        <f t="shared" si="2"/>
        <v>6.2831853071795871</v>
      </c>
    </row>
    <row r="36" spans="1:10">
      <c r="A36" s="109" t="str">
        <f t="shared" si="0"/>
        <v>12@180</v>
      </c>
      <c r="B36" s="113">
        <v>6.28</v>
      </c>
      <c r="C36" s="113">
        <v>12</v>
      </c>
      <c r="D36" s="113">
        <v>18</v>
      </c>
      <c r="J36" s="116">
        <f t="shared" si="2"/>
        <v>6.2831853071795862</v>
      </c>
    </row>
    <row r="37" spans="1:10">
      <c r="A37" s="109" t="str">
        <f t="shared" si="0"/>
        <v>10@120</v>
      </c>
      <c r="B37" s="113">
        <v>6.54</v>
      </c>
      <c r="C37" s="113">
        <v>10</v>
      </c>
      <c r="D37" s="113">
        <v>12</v>
      </c>
      <c r="J37" s="116">
        <f t="shared" si="2"/>
        <v>6.5449846949787363</v>
      </c>
    </row>
    <row r="38" spans="1:10">
      <c r="A38" s="109" t="str">
        <f t="shared" si="0"/>
        <v>16@300</v>
      </c>
      <c r="B38" s="113">
        <v>6.7</v>
      </c>
      <c r="C38" s="113">
        <v>16</v>
      </c>
      <c r="D38" s="113">
        <v>30</v>
      </c>
      <c r="J38" s="116">
        <f t="shared" si="2"/>
        <v>6.7020643276582259</v>
      </c>
    </row>
    <row r="39" spans="1:10">
      <c r="A39" s="109" t="str">
        <f t="shared" si="0"/>
        <v>12@160</v>
      </c>
      <c r="B39" s="113">
        <v>7.07</v>
      </c>
      <c r="C39" s="113">
        <v>12</v>
      </c>
      <c r="D39" s="113">
        <v>16</v>
      </c>
      <c r="J39" s="116">
        <f t="shared" si="2"/>
        <v>7.0685834705770345</v>
      </c>
    </row>
    <row r="40" spans="1:10">
      <c r="A40" s="109" t="str">
        <f t="shared" si="0"/>
        <v>12@150</v>
      </c>
      <c r="B40" s="113">
        <v>7.54</v>
      </c>
      <c r="C40" s="113">
        <v>12</v>
      </c>
      <c r="D40" s="113">
        <v>15</v>
      </c>
      <c r="J40" s="116">
        <f t="shared" si="2"/>
        <v>7.5398223686155044</v>
      </c>
    </row>
    <row r="41" spans="1:10">
      <c r="A41" s="109" t="str">
        <f t="shared" si="0"/>
        <v>10@100</v>
      </c>
      <c r="B41" s="113">
        <v>7.85</v>
      </c>
      <c r="C41" s="113">
        <v>10</v>
      </c>
      <c r="D41" s="113">
        <v>10</v>
      </c>
      <c r="J41" s="116">
        <f t="shared" si="2"/>
        <v>7.8539816339744828</v>
      </c>
    </row>
    <row r="42" spans="1:10">
      <c r="A42" s="109" t="str">
        <f t="shared" si="0"/>
        <v>16@250</v>
      </c>
      <c r="B42" s="113">
        <v>8.0399999999999991</v>
      </c>
      <c r="C42" s="113">
        <v>16</v>
      </c>
      <c r="D42" s="113">
        <v>25</v>
      </c>
      <c r="J42" s="116">
        <f t="shared" si="2"/>
        <v>8.0424771931898711</v>
      </c>
    </row>
    <row r="43" spans="1:10">
      <c r="A43" s="109" t="str">
        <f t="shared" si="0"/>
        <v>12@140</v>
      </c>
      <c r="B43" s="113">
        <v>8.08</v>
      </c>
      <c r="C43" s="113">
        <v>12</v>
      </c>
      <c r="D43" s="113">
        <v>14</v>
      </c>
      <c r="J43" s="116">
        <f t="shared" si="2"/>
        <v>8.0783811092308966</v>
      </c>
    </row>
    <row r="44" spans="1:10">
      <c r="A44" s="109" t="str">
        <f t="shared" si="0"/>
        <v>18@300</v>
      </c>
      <c r="B44" s="113">
        <v>8.48</v>
      </c>
      <c r="C44" s="113">
        <v>18</v>
      </c>
      <c r="D44" s="113">
        <v>30</v>
      </c>
      <c r="J44" s="116">
        <f t="shared" si="2"/>
        <v>8.4823001646924432</v>
      </c>
    </row>
    <row r="45" spans="1:10">
      <c r="A45" s="109" t="str">
        <f t="shared" si="0"/>
        <v>10@90</v>
      </c>
      <c r="B45" s="113">
        <v>8.73</v>
      </c>
      <c r="C45" s="113">
        <v>10</v>
      </c>
      <c r="D45" s="113">
        <v>9</v>
      </c>
      <c r="J45" s="116">
        <f t="shared" si="2"/>
        <v>8.7266462599716466</v>
      </c>
    </row>
    <row r="46" spans="1:10">
      <c r="A46" s="109" t="str">
        <f t="shared" si="0"/>
        <v>12@120</v>
      </c>
      <c r="B46" s="113">
        <v>9.42</v>
      </c>
      <c r="C46" s="113">
        <v>12</v>
      </c>
      <c r="D46" s="113">
        <v>12</v>
      </c>
      <c r="J46" s="116">
        <f t="shared" si="2"/>
        <v>9.4247779607693811</v>
      </c>
    </row>
    <row r="47" spans="1:10">
      <c r="A47" s="109" t="str">
        <f t="shared" si="0"/>
        <v>10@80</v>
      </c>
      <c r="B47" s="113">
        <v>9.82</v>
      </c>
      <c r="C47" s="113">
        <v>10</v>
      </c>
      <c r="D47" s="113">
        <v>8</v>
      </c>
      <c r="J47" s="116">
        <f t="shared" si="2"/>
        <v>9.8174770424681039</v>
      </c>
    </row>
    <row r="48" spans="1:10">
      <c r="A48" s="109" t="str">
        <f t="shared" si="0"/>
        <v>16@200</v>
      </c>
      <c r="B48" s="113">
        <v>10.050000000000001</v>
      </c>
      <c r="C48" s="113">
        <v>16</v>
      </c>
      <c r="D48" s="113">
        <v>20</v>
      </c>
      <c r="J48" s="116">
        <f t="shared" si="2"/>
        <v>10.053096491487338</v>
      </c>
    </row>
    <row r="49" spans="1:10">
      <c r="A49" s="109" t="str">
        <f t="shared" si="0"/>
        <v>18@250</v>
      </c>
      <c r="B49" s="113">
        <v>10.18</v>
      </c>
      <c r="C49" s="113">
        <v>18</v>
      </c>
      <c r="D49" s="113">
        <v>25</v>
      </c>
      <c r="J49" s="116">
        <f t="shared" si="2"/>
        <v>10.178760197630931</v>
      </c>
    </row>
    <row r="50" spans="1:10">
      <c r="A50" s="109" t="str">
        <f t="shared" si="0"/>
        <v>16@180</v>
      </c>
      <c r="B50" s="113">
        <v>11.16</v>
      </c>
      <c r="C50" s="113">
        <v>16</v>
      </c>
      <c r="D50" s="113">
        <v>18</v>
      </c>
      <c r="J50" s="116">
        <f t="shared" si="2"/>
        <v>11.170107212763709</v>
      </c>
    </row>
    <row r="51" spans="1:10">
      <c r="A51" s="109" t="str">
        <f t="shared" si="0"/>
        <v>12@100</v>
      </c>
      <c r="B51" s="113">
        <v>11.31</v>
      </c>
      <c r="C51" s="113">
        <v>12</v>
      </c>
      <c r="D51" s="113">
        <v>10</v>
      </c>
      <c r="J51" s="116">
        <f t="shared" si="2"/>
        <v>11.309733552923255</v>
      </c>
    </row>
    <row r="52" spans="1:10">
      <c r="A52" s="109" t="str">
        <f t="shared" si="0"/>
        <v>12@90</v>
      </c>
      <c r="B52" s="113">
        <v>12.57</v>
      </c>
      <c r="C52" s="113">
        <v>12</v>
      </c>
      <c r="D52" s="113">
        <v>9</v>
      </c>
      <c r="J52" s="116">
        <f t="shared" si="2"/>
        <v>12.566370614359172</v>
      </c>
    </row>
    <row r="53" spans="1:10">
      <c r="A53" s="109" t="str">
        <f t="shared" si="0"/>
        <v>16@160</v>
      </c>
      <c r="B53" s="113">
        <v>12.57</v>
      </c>
      <c r="C53" s="113">
        <v>16</v>
      </c>
      <c r="D53" s="113">
        <v>16</v>
      </c>
      <c r="J53" s="116">
        <f t="shared" si="2"/>
        <v>12.566370614359174</v>
      </c>
    </row>
    <row r="54" spans="1:10">
      <c r="A54" s="109" t="str">
        <f t="shared" si="0"/>
        <v>22@300</v>
      </c>
      <c r="B54" s="113">
        <v>12.67</v>
      </c>
      <c r="C54" s="113">
        <v>22</v>
      </c>
      <c r="D54" s="113">
        <v>30</v>
      </c>
      <c r="J54" s="116">
        <f t="shared" si="2"/>
        <v>12.671090369478835</v>
      </c>
    </row>
    <row r="55" spans="1:10">
      <c r="A55" s="109" t="str">
        <f t="shared" si="0"/>
        <v>18@200</v>
      </c>
      <c r="B55" s="114">
        <v>12.72</v>
      </c>
      <c r="C55" s="114">
        <v>18</v>
      </c>
      <c r="D55" s="114">
        <v>20</v>
      </c>
      <c r="J55" s="116">
        <f t="shared" si="2"/>
        <v>12.723450247038663</v>
      </c>
    </row>
    <row r="56" spans="1:10">
      <c r="A56" s="109" t="str">
        <f t="shared" si="0"/>
        <v>16@150</v>
      </c>
      <c r="B56" s="113">
        <v>13.4</v>
      </c>
      <c r="C56" s="113">
        <v>16</v>
      </c>
      <c r="D56" s="113">
        <v>15</v>
      </c>
      <c r="J56" s="116">
        <f t="shared" si="2"/>
        <v>13.404128655316452</v>
      </c>
    </row>
    <row r="57" spans="1:10">
      <c r="A57" s="109" t="str">
        <f t="shared" si="0"/>
        <v>18@180</v>
      </c>
      <c r="B57" s="113">
        <v>14.12</v>
      </c>
      <c r="C57" s="113">
        <v>18</v>
      </c>
      <c r="D57" s="113">
        <v>18</v>
      </c>
      <c r="J57" s="116">
        <f t="shared" si="2"/>
        <v>14.137166941154071</v>
      </c>
    </row>
    <row r="58" spans="1:10">
      <c r="A58" s="109" t="str">
        <f t="shared" si="0"/>
        <v>12@80</v>
      </c>
      <c r="B58" s="113">
        <v>14.14</v>
      </c>
      <c r="C58" s="113">
        <v>12</v>
      </c>
      <c r="D58" s="113">
        <v>8</v>
      </c>
      <c r="J58" s="116">
        <f t="shared" si="2"/>
        <v>14.137166941154069</v>
      </c>
    </row>
    <row r="59" spans="1:10">
      <c r="A59" s="109" t="str">
        <f t="shared" si="0"/>
        <v>16@140</v>
      </c>
      <c r="B59" s="113">
        <v>14.36</v>
      </c>
      <c r="C59" s="113">
        <v>16</v>
      </c>
      <c r="D59" s="113">
        <v>14</v>
      </c>
      <c r="J59" s="116">
        <f t="shared" si="2"/>
        <v>14.361566416410485</v>
      </c>
    </row>
    <row r="60" spans="1:10">
      <c r="A60" s="109" t="str">
        <f t="shared" si="0"/>
        <v>22@250</v>
      </c>
      <c r="B60" s="113">
        <v>15.21</v>
      </c>
      <c r="C60" s="113">
        <v>22</v>
      </c>
      <c r="D60" s="113">
        <v>25</v>
      </c>
      <c r="J60" s="116">
        <f t="shared" si="2"/>
        <v>15.205308443374602</v>
      </c>
    </row>
    <row r="61" spans="1:10">
      <c r="A61" s="109" t="str">
        <f t="shared" si="0"/>
        <v>18@160</v>
      </c>
      <c r="B61" s="113">
        <v>15.9</v>
      </c>
      <c r="C61" s="113">
        <v>18</v>
      </c>
      <c r="D61" s="113">
        <v>16</v>
      </c>
      <c r="J61" s="116">
        <f t="shared" si="2"/>
        <v>15.904312808798329</v>
      </c>
    </row>
    <row r="62" spans="1:10">
      <c r="A62" s="109" t="str">
        <f t="shared" si="0"/>
        <v>25@300</v>
      </c>
      <c r="B62" s="113">
        <v>16.36</v>
      </c>
      <c r="C62" s="113">
        <v>25</v>
      </c>
      <c r="D62" s="113">
        <v>30</v>
      </c>
      <c r="J62" s="116">
        <f t="shared" si="2"/>
        <v>16.362461737446839</v>
      </c>
    </row>
    <row r="63" spans="1:10">
      <c r="A63" s="109" t="str">
        <f t="shared" si="0"/>
        <v>16@120</v>
      </c>
      <c r="B63" s="113">
        <v>16.75</v>
      </c>
      <c r="C63" s="113">
        <v>16</v>
      </c>
      <c r="D63" s="113">
        <v>12</v>
      </c>
      <c r="J63" s="116">
        <f t="shared" si="2"/>
        <v>16.755160819145566</v>
      </c>
    </row>
    <row r="64" spans="1:10">
      <c r="A64" s="109" t="str">
        <f t="shared" si="0"/>
        <v>18@150</v>
      </c>
      <c r="B64" s="113">
        <v>16.96</v>
      </c>
      <c r="C64" s="113">
        <v>18</v>
      </c>
      <c r="D64" s="113">
        <v>15</v>
      </c>
      <c r="J64" s="116">
        <f t="shared" si="2"/>
        <v>16.964600329384886</v>
      </c>
    </row>
    <row r="65" spans="1:10">
      <c r="A65" s="109" t="str">
        <f t="shared" si="0"/>
        <v>18@140</v>
      </c>
      <c r="B65" s="113">
        <v>18.170000000000002</v>
      </c>
      <c r="C65" s="113">
        <v>18</v>
      </c>
      <c r="D65" s="113">
        <v>14</v>
      </c>
      <c r="J65" s="116">
        <f t="shared" si="2"/>
        <v>18.176357495769519</v>
      </c>
    </row>
    <row r="66" spans="1:10">
      <c r="A66" s="109" t="str">
        <f t="shared" si="0"/>
        <v>22@200</v>
      </c>
      <c r="B66" s="114">
        <v>19.010000000000002</v>
      </c>
      <c r="C66" s="114">
        <v>22</v>
      </c>
      <c r="D66" s="114">
        <v>20</v>
      </c>
      <c r="J66" s="116">
        <f t="shared" si="2"/>
        <v>19.006635554218253</v>
      </c>
    </row>
    <row r="67" spans="1:10">
      <c r="A67" s="109" t="str">
        <f t="shared" si="0"/>
        <v>25@250</v>
      </c>
      <c r="B67" s="113">
        <v>19.63</v>
      </c>
      <c r="C67" s="113">
        <v>25</v>
      </c>
      <c r="D67" s="113">
        <v>25</v>
      </c>
      <c r="J67" s="116">
        <f t="shared" si="2"/>
        <v>19.634954084936208</v>
      </c>
    </row>
    <row r="68" spans="1:10">
      <c r="A68" s="109" t="str">
        <f t="shared" si="0"/>
        <v>16@100</v>
      </c>
      <c r="B68" s="113">
        <v>20.11</v>
      </c>
      <c r="C68" s="113">
        <v>16</v>
      </c>
      <c r="D68" s="113">
        <v>10</v>
      </c>
      <c r="J68" s="116">
        <f t="shared" si="2"/>
        <v>20.106192982974676</v>
      </c>
    </row>
    <row r="69" spans="1:10">
      <c r="A69" s="109" t="str">
        <f t="shared" ref="A69:A123" si="3">C69&amp;"@"&amp;D69*10</f>
        <v>28@300</v>
      </c>
      <c r="B69" s="110">
        <v>20.53</v>
      </c>
      <c r="C69" s="110">
        <v>28</v>
      </c>
      <c r="D69" s="110">
        <v>30</v>
      </c>
      <c r="J69" s="116">
        <f t="shared" ref="J69:J123" si="4">(PI()*(C69/10)^2)/4*(100/D69)</f>
        <v>20.525072003453314</v>
      </c>
    </row>
    <row r="70" spans="1:10">
      <c r="A70" s="109" t="str">
        <f t="shared" si="3"/>
        <v>22@180</v>
      </c>
      <c r="B70" s="113">
        <v>21.1</v>
      </c>
      <c r="C70" s="113">
        <v>22</v>
      </c>
      <c r="D70" s="113">
        <v>18</v>
      </c>
      <c r="J70" s="116">
        <f t="shared" si="4"/>
        <v>21.118483949131392</v>
      </c>
    </row>
    <row r="71" spans="1:10">
      <c r="A71" s="109" t="str">
        <f t="shared" si="3"/>
        <v>18@120</v>
      </c>
      <c r="B71" s="113">
        <v>21.2</v>
      </c>
      <c r="C71" s="113">
        <v>18</v>
      </c>
      <c r="D71" s="113">
        <v>12</v>
      </c>
      <c r="J71" s="116">
        <f t="shared" si="4"/>
        <v>21.205750411731106</v>
      </c>
    </row>
    <row r="72" spans="1:10">
      <c r="A72" s="109" t="str">
        <f t="shared" si="3"/>
        <v>16@90</v>
      </c>
      <c r="B72" s="113">
        <v>22.34</v>
      </c>
      <c r="C72" s="113">
        <v>16</v>
      </c>
      <c r="D72" s="113">
        <v>9</v>
      </c>
      <c r="J72" s="116">
        <f t="shared" si="4"/>
        <v>22.340214425527417</v>
      </c>
    </row>
    <row r="73" spans="1:10">
      <c r="A73" s="109" t="str">
        <f t="shared" si="3"/>
        <v>22@160</v>
      </c>
      <c r="B73" s="113">
        <v>23.76</v>
      </c>
      <c r="C73" s="113">
        <v>22</v>
      </c>
      <c r="D73" s="113">
        <v>16</v>
      </c>
      <c r="J73" s="116">
        <f t="shared" si="4"/>
        <v>23.758294442772815</v>
      </c>
    </row>
    <row r="74" spans="1:10">
      <c r="A74" s="109" t="str">
        <f t="shared" si="3"/>
        <v>25@200</v>
      </c>
      <c r="B74" s="114">
        <v>24.54</v>
      </c>
      <c r="C74" s="114">
        <v>25</v>
      </c>
      <c r="D74" s="114">
        <v>20</v>
      </c>
      <c r="J74" s="116">
        <f t="shared" si="4"/>
        <v>24.543692606170261</v>
      </c>
    </row>
    <row r="75" spans="1:10">
      <c r="A75" s="109" t="str">
        <f t="shared" si="3"/>
        <v>28@250</v>
      </c>
      <c r="B75" s="113">
        <v>24.63</v>
      </c>
      <c r="C75" s="113">
        <v>28</v>
      </c>
      <c r="D75" s="113">
        <v>25</v>
      </c>
      <c r="J75" s="116">
        <f t="shared" si="4"/>
        <v>24.630086404143974</v>
      </c>
    </row>
    <row r="76" spans="1:10">
      <c r="A76" s="109" t="str">
        <f t="shared" si="3"/>
        <v>16@80</v>
      </c>
      <c r="B76" s="113">
        <v>25.13</v>
      </c>
      <c r="C76" s="113">
        <v>16</v>
      </c>
      <c r="D76" s="113">
        <v>8</v>
      </c>
      <c r="J76" s="116">
        <f t="shared" si="4"/>
        <v>25.132741228718348</v>
      </c>
    </row>
    <row r="77" spans="1:10">
      <c r="A77" s="109" t="str">
        <f t="shared" si="3"/>
        <v>22@150</v>
      </c>
      <c r="B77" s="113">
        <v>25.34</v>
      </c>
      <c r="C77" s="113">
        <v>22</v>
      </c>
      <c r="D77" s="113">
        <v>15</v>
      </c>
      <c r="J77" s="116">
        <f t="shared" si="4"/>
        <v>25.342180738957669</v>
      </c>
    </row>
    <row r="78" spans="1:10">
      <c r="A78" s="109" t="str">
        <f t="shared" si="3"/>
        <v>18@100</v>
      </c>
      <c r="B78" s="113">
        <v>25.45</v>
      </c>
      <c r="C78" s="113">
        <v>18</v>
      </c>
      <c r="D78" s="113">
        <v>10</v>
      </c>
      <c r="J78" s="116">
        <f t="shared" si="4"/>
        <v>25.446900494077326</v>
      </c>
    </row>
    <row r="79" spans="1:10">
      <c r="A79" s="109" t="str">
        <f t="shared" si="3"/>
        <v>32@300</v>
      </c>
      <c r="B79" s="113">
        <v>26.81</v>
      </c>
      <c r="C79" s="113">
        <v>32</v>
      </c>
      <c r="D79" s="113">
        <v>30</v>
      </c>
      <c r="J79" s="116">
        <f t="shared" si="4"/>
        <v>26.808257310632904</v>
      </c>
    </row>
    <row r="80" spans="1:10">
      <c r="A80" s="109" t="str">
        <f t="shared" si="3"/>
        <v>22@140</v>
      </c>
      <c r="B80" s="113">
        <v>27.15</v>
      </c>
      <c r="C80" s="113">
        <v>22</v>
      </c>
      <c r="D80" s="113">
        <v>14</v>
      </c>
      <c r="J80" s="116">
        <f t="shared" si="4"/>
        <v>27.152336506026074</v>
      </c>
    </row>
    <row r="81" spans="1:10">
      <c r="A81" s="109" t="str">
        <f t="shared" si="3"/>
        <v>25@180</v>
      </c>
      <c r="B81" s="113">
        <v>27.27</v>
      </c>
      <c r="C81" s="113">
        <v>25</v>
      </c>
      <c r="D81" s="113">
        <v>18</v>
      </c>
      <c r="J81" s="116">
        <f t="shared" si="4"/>
        <v>27.270769562411399</v>
      </c>
    </row>
    <row r="82" spans="1:10">
      <c r="A82" s="109" t="str">
        <f t="shared" si="3"/>
        <v>18@90</v>
      </c>
      <c r="B82" s="113">
        <v>28.27</v>
      </c>
      <c r="C82" s="113">
        <v>18</v>
      </c>
      <c r="D82" s="113">
        <v>9</v>
      </c>
      <c r="J82" s="116">
        <f t="shared" si="4"/>
        <v>28.274333882308142</v>
      </c>
    </row>
    <row r="83" spans="1:10">
      <c r="A83" s="109" t="str">
        <f t="shared" si="3"/>
        <v>25@160</v>
      </c>
      <c r="B83" s="113">
        <v>30.68</v>
      </c>
      <c r="C83" s="113">
        <v>25</v>
      </c>
      <c r="D83" s="113">
        <v>16</v>
      </c>
      <c r="J83" s="116">
        <f t="shared" si="4"/>
        <v>30.679615757712824</v>
      </c>
    </row>
    <row r="84" spans="1:10">
      <c r="A84" s="109" t="str">
        <f t="shared" si="3"/>
        <v>28@200</v>
      </c>
      <c r="B84" s="110">
        <v>30.79</v>
      </c>
      <c r="C84" s="110">
        <v>28</v>
      </c>
      <c r="D84" s="110">
        <v>20</v>
      </c>
      <c r="J84" s="116">
        <f t="shared" si="4"/>
        <v>30.787608005179969</v>
      </c>
    </row>
    <row r="85" spans="1:10">
      <c r="A85" s="109" t="str">
        <f t="shared" si="3"/>
        <v>22@120</v>
      </c>
      <c r="B85" s="113">
        <v>31.68</v>
      </c>
      <c r="C85" s="113">
        <v>22</v>
      </c>
      <c r="D85" s="113">
        <v>12</v>
      </c>
      <c r="J85" s="116">
        <f t="shared" si="4"/>
        <v>31.677725923697089</v>
      </c>
    </row>
    <row r="86" spans="1:10">
      <c r="A86" s="109" t="str">
        <f t="shared" si="3"/>
        <v>18@80</v>
      </c>
      <c r="B86" s="113">
        <v>31.81</v>
      </c>
      <c r="C86" s="113">
        <v>18</v>
      </c>
      <c r="D86" s="113">
        <v>8</v>
      </c>
      <c r="J86" s="116">
        <f t="shared" si="4"/>
        <v>31.808625617596658</v>
      </c>
    </row>
    <row r="87" spans="1:10">
      <c r="A87" s="109" t="str">
        <f t="shared" si="3"/>
        <v>32@250</v>
      </c>
      <c r="B87" s="113">
        <v>32.17</v>
      </c>
      <c r="C87" s="113">
        <v>32</v>
      </c>
      <c r="D87" s="113">
        <v>25</v>
      </c>
      <c r="J87" s="116">
        <f t="shared" si="4"/>
        <v>32.169908772759484</v>
      </c>
    </row>
    <row r="88" spans="1:10">
      <c r="A88" s="109" t="str">
        <f t="shared" si="3"/>
        <v>25@150</v>
      </c>
      <c r="B88" s="113">
        <v>32.72</v>
      </c>
      <c r="C88" s="113">
        <v>25</v>
      </c>
      <c r="D88" s="113">
        <v>15</v>
      </c>
      <c r="J88" s="116">
        <f t="shared" si="4"/>
        <v>32.724923474893679</v>
      </c>
    </row>
    <row r="89" spans="1:10">
      <c r="A89" s="109" t="str">
        <f t="shared" si="3"/>
        <v>36@300</v>
      </c>
      <c r="B89" s="113">
        <v>33.93</v>
      </c>
      <c r="C89" s="113">
        <v>36</v>
      </c>
      <c r="D89" s="113">
        <v>30</v>
      </c>
      <c r="J89" s="116">
        <f t="shared" si="4"/>
        <v>33.929200658769773</v>
      </c>
    </row>
    <row r="90" spans="1:10">
      <c r="A90" s="109" t="str">
        <f t="shared" si="3"/>
        <v>28@180</v>
      </c>
      <c r="B90" s="113">
        <v>34.17</v>
      </c>
      <c r="C90" s="113">
        <v>28</v>
      </c>
      <c r="D90" s="113">
        <v>18</v>
      </c>
      <c r="J90" s="116">
        <f t="shared" si="4"/>
        <v>34.208453339088848</v>
      </c>
    </row>
    <row r="91" spans="1:10">
      <c r="A91" s="109" t="str">
        <f t="shared" si="3"/>
        <v>25@140</v>
      </c>
      <c r="B91" s="113">
        <v>35.06</v>
      </c>
      <c r="C91" s="113">
        <v>25</v>
      </c>
      <c r="D91" s="113">
        <v>14</v>
      </c>
      <c r="J91" s="116">
        <f t="shared" si="4"/>
        <v>35.06241800881466</v>
      </c>
    </row>
    <row r="92" spans="1:10">
      <c r="A92" s="109" t="str">
        <f t="shared" si="3"/>
        <v>32@220</v>
      </c>
      <c r="B92" s="113">
        <v>36.549999999999997</v>
      </c>
      <c r="C92" s="113">
        <v>32</v>
      </c>
      <c r="D92" s="113">
        <v>22</v>
      </c>
      <c r="J92" s="116">
        <f t="shared" si="4"/>
        <v>36.556714514499419</v>
      </c>
    </row>
    <row r="93" spans="1:10">
      <c r="A93" s="109" t="str">
        <f t="shared" si="3"/>
        <v>28@160</v>
      </c>
      <c r="B93" s="113">
        <v>38.479999999999997</v>
      </c>
      <c r="C93" s="113">
        <v>28</v>
      </c>
      <c r="D93" s="113">
        <v>16</v>
      </c>
      <c r="J93" s="116">
        <f t="shared" si="4"/>
        <v>38.484510006474956</v>
      </c>
    </row>
    <row r="94" spans="1:10">
      <c r="A94" s="109" t="str">
        <f t="shared" si="3"/>
        <v>32@200</v>
      </c>
      <c r="B94" s="114">
        <v>40.21</v>
      </c>
      <c r="C94" s="114">
        <v>32</v>
      </c>
      <c r="D94" s="114">
        <v>20</v>
      </c>
      <c r="J94" s="116">
        <f t="shared" si="4"/>
        <v>40.212385965949352</v>
      </c>
    </row>
    <row r="95" spans="1:10">
      <c r="A95" s="109" t="str">
        <f t="shared" si="3"/>
        <v>36@250</v>
      </c>
      <c r="B95" s="113">
        <v>40.72</v>
      </c>
      <c r="C95" s="113">
        <v>36</v>
      </c>
      <c r="D95" s="113">
        <v>25</v>
      </c>
      <c r="J95" s="116">
        <f t="shared" si="4"/>
        <v>40.715040790523723</v>
      </c>
    </row>
    <row r="96" spans="1:10">
      <c r="A96" s="109" t="str">
        <f t="shared" si="3"/>
        <v>25@120</v>
      </c>
      <c r="B96" s="113">
        <v>40.909999999999997</v>
      </c>
      <c r="C96" s="113">
        <v>25</v>
      </c>
      <c r="D96" s="113">
        <v>12</v>
      </c>
      <c r="J96" s="116">
        <f t="shared" si="4"/>
        <v>40.906154343617104</v>
      </c>
    </row>
    <row r="97" spans="1:10">
      <c r="A97" s="109" t="str">
        <f t="shared" si="3"/>
        <v>28@150</v>
      </c>
      <c r="B97" s="113">
        <v>41.05</v>
      </c>
      <c r="C97" s="113">
        <v>28</v>
      </c>
      <c r="D97" s="113">
        <v>15</v>
      </c>
      <c r="J97" s="116">
        <f t="shared" si="4"/>
        <v>41.050144006906628</v>
      </c>
    </row>
    <row r="98" spans="1:10">
      <c r="A98" s="109" t="str">
        <f t="shared" si="3"/>
        <v>22@90</v>
      </c>
      <c r="B98" s="113">
        <v>42.24</v>
      </c>
      <c r="C98" s="113">
        <v>22</v>
      </c>
      <c r="D98" s="113">
        <v>9</v>
      </c>
      <c r="J98" s="116">
        <f t="shared" si="4"/>
        <v>42.236967898262783</v>
      </c>
    </row>
    <row r="99" spans="1:10">
      <c r="A99" s="109" t="str">
        <f t="shared" si="3"/>
        <v>28@140</v>
      </c>
      <c r="B99" s="113">
        <v>43.98</v>
      </c>
      <c r="C99" s="113">
        <v>28</v>
      </c>
      <c r="D99" s="113">
        <v>14</v>
      </c>
      <c r="J99" s="116">
        <f t="shared" si="4"/>
        <v>43.982297150257097</v>
      </c>
    </row>
    <row r="100" spans="1:10">
      <c r="A100" s="109" t="str">
        <f t="shared" si="3"/>
        <v>32@180</v>
      </c>
      <c r="B100" s="113">
        <v>44.64</v>
      </c>
      <c r="C100" s="113">
        <v>32</v>
      </c>
      <c r="D100" s="113">
        <v>18</v>
      </c>
      <c r="J100" s="116">
        <f t="shared" si="4"/>
        <v>44.680428851054835</v>
      </c>
    </row>
    <row r="101" spans="1:10">
      <c r="A101" s="109" t="str">
        <f t="shared" si="3"/>
        <v>22@80</v>
      </c>
      <c r="B101" s="113">
        <v>47.52</v>
      </c>
      <c r="C101" s="113">
        <v>22</v>
      </c>
      <c r="D101" s="113">
        <v>8</v>
      </c>
      <c r="J101" s="116">
        <f t="shared" si="4"/>
        <v>47.51658888554563</v>
      </c>
    </row>
    <row r="102" spans="1:10">
      <c r="A102" s="109" t="str">
        <f t="shared" si="3"/>
        <v>25@100</v>
      </c>
      <c r="B102" s="113">
        <v>49.09</v>
      </c>
      <c r="C102" s="113">
        <v>25</v>
      </c>
      <c r="D102" s="113">
        <v>10</v>
      </c>
      <c r="J102" s="116">
        <f t="shared" si="4"/>
        <v>49.087385212340521</v>
      </c>
    </row>
    <row r="103" spans="1:10">
      <c r="A103" s="109" t="str">
        <f t="shared" si="3"/>
        <v>36@200</v>
      </c>
      <c r="B103" s="113">
        <v>50.89</v>
      </c>
      <c r="C103" s="113">
        <v>36</v>
      </c>
      <c r="D103" s="113">
        <v>20</v>
      </c>
      <c r="J103" s="116">
        <f t="shared" si="4"/>
        <v>50.893800988154652</v>
      </c>
    </row>
    <row r="104" spans="1:10">
      <c r="A104" s="109" t="str">
        <f t="shared" si="3"/>
        <v>28@120</v>
      </c>
      <c r="B104" s="113">
        <v>51.31</v>
      </c>
      <c r="C104" s="113">
        <v>28</v>
      </c>
      <c r="D104" s="113">
        <v>12</v>
      </c>
      <c r="J104" s="116">
        <f t="shared" si="4"/>
        <v>51.312680008633279</v>
      </c>
    </row>
    <row r="105" spans="1:10">
      <c r="A105" s="109" t="str">
        <f t="shared" si="3"/>
        <v>32@150</v>
      </c>
      <c r="B105" s="113">
        <v>53.62</v>
      </c>
      <c r="C105" s="113">
        <v>32</v>
      </c>
      <c r="D105" s="113">
        <v>15</v>
      </c>
      <c r="J105" s="116">
        <f t="shared" si="4"/>
        <v>53.616514621265807</v>
      </c>
    </row>
    <row r="106" spans="1:10">
      <c r="A106" s="109" t="str">
        <f t="shared" si="3"/>
        <v>25@90</v>
      </c>
      <c r="B106" s="113">
        <v>54.54</v>
      </c>
      <c r="C106" s="113">
        <v>25</v>
      </c>
      <c r="D106" s="113">
        <v>9</v>
      </c>
      <c r="J106" s="116">
        <f t="shared" si="4"/>
        <v>54.541539124822798</v>
      </c>
    </row>
    <row r="107" spans="1:10">
      <c r="A107" s="109" t="str">
        <f t="shared" si="3"/>
        <v>36@180</v>
      </c>
      <c r="B107" s="113">
        <v>56.49</v>
      </c>
      <c r="C107" s="113">
        <v>36</v>
      </c>
      <c r="D107" s="113">
        <v>18</v>
      </c>
      <c r="J107" s="116">
        <f t="shared" si="4"/>
        <v>56.548667764616283</v>
      </c>
    </row>
    <row r="108" spans="1:10">
      <c r="A108" s="109" t="str">
        <f t="shared" si="3"/>
        <v>32@140</v>
      </c>
      <c r="B108" s="113">
        <v>57.44</v>
      </c>
      <c r="C108" s="113">
        <v>32</v>
      </c>
      <c r="D108" s="113">
        <v>14</v>
      </c>
      <c r="J108" s="116">
        <f t="shared" si="4"/>
        <v>57.446265665641938</v>
      </c>
    </row>
    <row r="109" spans="1:10">
      <c r="A109" s="109" t="str">
        <f t="shared" si="3"/>
        <v>25@80</v>
      </c>
      <c r="B109" s="113">
        <v>61.36</v>
      </c>
      <c r="C109" s="113">
        <v>25</v>
      </c>
      <c r="D109" s="113">
        <v>8</v>
      </c>
      <c r="J109" s="116">
        <f t="shared" si="4"/>
        <v>61.359231515425648</v>
      </c>
    </row>
    <row r="110" spans="1:10">
      <c r="A110" s="109" t="str">
        <f t="shared" si="3"/>
        <v>28@100</v>
      </c>
      <c r="B110" s="113">
        <v>61.58</v>
      </c>
      <c r="C110" s="113">
        <v>28</v>
      </c>
      <c r="D110" s="113">
        <v>10</v>
      </c>
      <c r="J110" s="116">
        <f t="shared" si="4"/>
        <v>61.575216010359938</v>
      </c>
    </row>
    <row r="111" spans="1:10">
      <c r="A111" s="109" t="str">
        <f t="shared" si="3"/>
        <v>36@160</v>
      </c>
      <c r="B111" s="113">
        <v>63.62</v>
      </c>
      <c r="C111" s="113">
        <v>36</v>
      </c>
      <c r="D111" s="113">
        <v>16</v>
      </c>
      <c r="J111" s="116">
        <f t="shared" si="4"/>
        <v>63.617251235193315</v>
      </c>
    </row>
    <row r="112" spans="1:10">
      <c r="A112" s="109" t="str">
        <f t="shared" si="3"/>
        <v>32@120</v>
      </c>
      <c r="B112" s="113">
        <v>67.02</v>
      </c>
      <c r="C112" s="113">
        <v>32</v>
      </c>
      <c r="D112" s="113">
        <v>12</v>
      </c>
      <c r="J112" s="116">
        <f t="shared" si="4"/>
        <v>67.020643276582263</v>
      </c>
    </row>
    <row r="113" spans="1:10">
      <c r="A113" s="109" t="str">
        <f t="shared" si="3"/>
        <v>36@150</v>
      </c>
      <c r="B113" s="113">
        <v>67.86</v>
      </c>
      <c r="C113" s="113">
        <v>36</v>
      </c>
      <c r="D113" s="113">
        <v>15</v>
      </c>
      <c r="J113" s="116">
        <f t="shared" si="4"/>
        <v>67.858401317539546</v>
      </c>
    </row>
    <row r="114" spans="1:10">
      <c r="A114" s="109" t="str">
        <f t="shared" si="3"/>
        <v>28@90</v>
      </c>
      <c r="B114" s="113">
        <v>68.42</v>
      </c>
      <c r="C114" s="113">
        <v>28</v>
      </c>
      <c r="D114" s="113">
        <v>9</v>
      </c>
      <c r="J114" s="116">
        <f t="shared" si="4"/>
        <v>68.416906678177696</v>
      </c>
    </row>
    <row r="115" spans="1:10">
      <c r="A115" s="109" t="str">
        <f t="shared" si="3"/>
        <v>36@140</v>
      </c>
      <c r="B115" s="113">
        <v>72.7</v>
      </c>
      <c r="C115" s="113">
        <v>36</v>
      </c>
      <c r="D115" s="113">
        <v>14</v>
      </c>
      <c r="J115" s="116">
        <f t="shared" si="4"/>
        <v>72.705429983078076</v>
      </c>
    </row>
    <row r="116" spans="1:10">
      <c r="A116" s="109" t="str">
        <f t="shared" si="3"/>
        <v>28@80</v>
      </c>
      <c r="B116" s="113">
        <v>76.97</v>
      </c>
      <c r="C116" s="113">
        <v>28</v>
      </c>
      <c r="D116" s="113">
        <v>8</v>
      </c>
      <c r="J116" s="116">
        <f t="shared" si="4"/>
        <v>76.969020012949912</v>
      </c>
    </row>
    <row r="117" spans="1:10">
      <c r="A117" s="109" t="str">
        <f t="shared" si="3"/>
        <v>32@100</v>
      </c>
      <c r="B117" s="113">
        <v>80.42</v>
      </c>
      <c r="C117" s="113">
        <v>32</v>
      </c>
      <c r="D117" s="113">
        <v>10</v>
      </c>
      <c r="J117" s="116">
        <f t="shared" si="4"/>
        <v>80.424771931898704</v>
      </c>
    </row>
    <row r="118" spans="1:10">
      <c r="A118" s="109" t="str">
        <f t="shared" si="3"/>
        <v>36@120</v>
      </c>
      <c r="B118" s="113">
        <v>84.82</v>
      </c>
      <c r="C118" s="113">
        <v>36</v>
      </c>
      <c r="D118" s="113">
        <v>12</v>
      </c>
      <c r="J118" s="116">
        <f t="shared" si="4"/>
        <v>84.823001646924425</v>
      </c>
    </row>
    <row r="119" spans="1:10">
      <c r="A119" s="109" t="str">
        <f t="shared" si="3"/>
        <v>32@90</v>
      </c>
      <c r="B119" s="113">
        <v>89.36</v>
      </c>
      <c r="C119" s="113">
        <v>32</v>
      </c>
      <c r="D119" s="113">
        <v>9</v>
      </c>
      <c r="J119" s="116">
        <f t="shared" si="4"/>
        <v>89.360857702109669</v>
      </c>
    </row>
    <row r="120" spans="1:10">
      <c r="A120" s="109" t="str">
        <f t="shared" si="3"/>
        <v>32@80</v>
      </c>
      <c r="B120" s="113">
        <v>100.53</v>
      </c>
      <c r="C120" s="113">
        <v>32</v>
      </c>
      <c r="D120" s="113">
        <v>8</v>
      </c>
      <c r="J120" s="116">
        <f t="shared" si="4"/>
        <v>100.53096491487339</v>
      </c>
    </row>
    <row r="121" spans="1:10">
      <c r="A121" s="109" t="str">
        <f t="shared" si="3"/>
        <v>36@100</v>
      </c>
      <c r="B121" s="113">
        <v>101.79</v>
      </c>
      <c r="C121" s="113">
        <v>36</v>
      </c>
      <c r="D121" s="113">
        <v>10</v>
      </c>
      <c r="J121" s="116">
        <f t="shared" si="4"/>
        <v>101.7876019763093</v>
      </c>
    </row>
    <row r="122" spans="1:10">
      <c r="A122" s="109" t="str">
        <f t="shared" si="3"/>
        <v>36@90</v>
      </c>
      <c r="B122" s="113">
        <v>113.1</v>
      </c>
      <c r="C122" s="113">
        <v>36</v>
      </c>
      <c r="D122" s="113">
        <v>9</v>
      </c>
      <c r="J122" s="116">
        <f t="shared" si="4"/>
        <v>113.09733552923257</v>
      </c>
    </row>
    <row r="123" spans="1:10">
      <c r="A123" s="109" t="str">
        <f t="shared" si="3"/>
        <v>36@80</v>
      </c>
      <c r="B123" s="113">
        <v>127.24</v>
      </c>
      <c r="C123" s="113">
        <v>36</v>
      </c>
      <c r="D123" s="113">
        <v>8</v>
      </c>
      <c r="J123" s="116">
        <f t="shared" si="4"/>
        <v>127.23450247038663</v>
      </c>
    </row>
  </sheetData>
  <mergeCells count="1">
    <mergeCell ref="B1:L1"/>
  </mergeCells>
  <printOptions horizontalCentered="1"/>
  <pageMargins left="0.74803149606299213" right="0.74803149606299213" top="0.98425196850393704" bottom="0.98425196850393704" header="0" footer="0"/>
  <pageSetup scale="93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FANULAR_RES</vt:lpstr>
      <vt:lpstr>FANULAR</vt:lpstr>
      <vt:lpstr>VARS</vt:lpstr>
      <vt:lpstr>acero por ml</vt:lpstr>
      <vt:lpstr>'acero por ml'!Área_de_impresión</vt:lpstr>
      <vt:lpstr>FANULAR!Área_de_impresión</vt:lpstr>
      <vt:lpstr>FANULAR_RES!Área_de_impresión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Conexiones en perfiles soldados</dc:title>
  <dc:creator>Sergio Lagos</dc:creator>
  <dc:description>PSC Ingeniería</dc:description>
  <cp:lastModifiedBy>Francisco Carrasco</cp:lastModifiedBy>
  <cp:lastPrinted>2019-10-21T13:37:56Z</cp:lastPrinted>
  <dcterms:created xsi:type="dcterms:W3CDTF">2019-09-05T14:08:39Z</dcterms:created>
  <dcterms:modified xsi:type="dcterms:W3CDTF">2026-04-22T14:13:49Z</dcterms:modified>
</cp:coreProperties>
</file>