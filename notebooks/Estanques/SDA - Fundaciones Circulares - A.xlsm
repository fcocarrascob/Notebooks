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EsteLibro"/>
  <mc:AlternateContent xmlns:mc="http://schemas.openxmlformats.org/markup-compatibility/2006">
    <mc:Choice Requires="x15">
      <x15ac:absPath xmlns:x15ac="http://schemas.microsoft.com/office/spreadsheetml/2010/11/ac" url="D:\pCloudSync\SDA Structural Design Academy\Curso Práctico 10 (2025-03) - Estanques Avanzado\01 - Clases\"/>
    </mc:Choice>
  </mc:AlternateContent>
  <xr:revisionPtr revIDLastSave="0" documentId="13_ncr:1_{7E420AC6-3281-4931-9005-6DDE9F2D1520}" xr6:coauthVersionLast="47" xr6:coauthVersionMax="47" xr10:uidLastSave="{00000000-0000-0000-0000-000000000000}"/>
  <bookViews>
    <workbookView xWindow="29610" yWindow="-120" windowWidth="28110" windowHeight="16440" tabRatio="831" xr2:uid="{00000000-000D-0000-FFFF-FFFF00000000}"/>
  </bookViews>
  <sheets>
    <sheet name="Anillo de fundacion" sheetId="8" r:id="rId1"/>
    <sheet name="Grafico Anillo de fundacion" sheetId="17" state="veryHidden" r:id="rId2"/>
  </sheets>
  <functionGroups builtInGroupCount="19"/>
  <definedNames>
    <definedName name="_xlnm.Print_Area" localSheetId="0">'Anillo de fundacion'!$B$7:$L$59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hs1" localSheetId="0" hidden="1">'Anillo de fundacion'!#REF!</definedName>
    <definedName name="solver_lhs2" localSheetId="0" hidden="1">'Anillo de fundacion'!#REF!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el1" localSheetId="0" hidden="1">3</definedName>
    <definedName name="solver_rel2" localSheetId="0" hidden="1">3</definedName>
    <definedName name="solver_rhs1" localSheetId="0" hidden="1">0</definedName>
    <definedName name="solver_rhs2" localSheetId="0" hidden="1">0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  <definedName name="_xlnm.Print_Titles" localSheetId="0">'Anillo de fundacion'!$1:$6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8" l="1"/>
  <c r="D20" i="8"/>
  <c r="D19" i="8"/>
  <c r="U18" i="8"/>
  <c r="N70" i="8"/>
  <c r="AE20" i="8"/>
  <c r="AF20" i="8" s="1"/>
  <c r="AG20" i="8"/>
  <c r="AD21" i="8"/>
  <c r="AD22" i="8"/>
  <c r="AD23" i="8" s="1"/>
  <c r="AD24" i="8" s="1"/>
  <c r="AD25" i="8" s="1"/>
  <c r="AD26" i="8" s="1"/>
  <c r="AD27" i="8" s="1"/>
  <c r="AD28" i="8" s="1"/>
  <c r="AD29" i="8" s="1"/>
  <c r="AD30" i="8" s="1"/>
  <c r="AD31" i="8" s="1"/>
  <c r="AD32" i="8" s="1"/>
  <c r="AD33" i="8" s="1"/>
  <c r="AD34" i="8" s="1"/>
  <c r="AD35" i="8" s="1"/>
  <c r="AD36" i="8" s="1"/>
  <c r="AD37" i="8" s="1"/>
  <c r="AD38" i="8" s="1"/>
  <c r="AD39" i="8" s="1"/>
  <c r="AD40" i="8" s="1"/>
  <c r="AD41" i="8" s="1"/>
  <c r="AD42" i="8" s="1"/>
  <c r="AD43" i="8" s="1"/>
  <c r="AD44" i="8" s="1"/>
  <c r="AD45" i="8" s="1"/>
  <c r="AD46" i="8" s="1"/>
  <c r="AD47" i="8" s="1"/>
  <c r="AD48" i="8" s="1"/>
  <c r="AD49" i="8" s="1"/>
  <c r="AD50" i="8" s="1"/>
  <c r="AD51" i="8" s="1"/>
  <c r="AD52" i="8" s="1"/>
  <c r="AD53" i="8" s="1"/>
  <c r="AD54" i="8" s="1"/>
  <c r="AD55" i="8" s="1"/>
  <c r="AD56" i="8" s="1"/>
  <c r="AD57" i="8" s="1"/>
  <c r="AD58" i="8" s="1"/>
  <c r="AD59" i="8" s="1"/>
  <c r="AD60" i="8" s="1"/>
  <c r="D31" i="8"/>
  <c r="O32" i="8"/>
  <c r="P32" i="8" s="1"/>
  <c r="J33" i="8"/>
  <c r="O33" i="8"/>
  <c r="P33" i="8" s="1"/>
  <c r="Q33" i="8" s="1"/>
  <c r="R33" i="8" s="1"/>
  <c r="J34" i="8"/>
  <c r="O34" i="8"/>
  <c r="P34" i="8" s="1"/>
  <c r="Q34" i="8" s="1"/>
  <c r="R34" i="8" s="1"/>
  <c r="S34" i="8" s="1"/>
  <c r="U37" i="8"/>
  <c r="J38" i="8"/>
  <c r="U19" i="8" s="1"/>
  <c r="O40" i="8"/>
  <c r="P40" i="8"/>
  <c r="Q40" i="8"/>
  <c r="R40" i="8"/>
  <c r="R41" i="8" s="1"/>
  <c r="S40" i="8"/>
  <c r="S41" i="8" s="1"/>
  <c r="S42" i="8" s="1"/>
  <c r="S43" i="8" s="1"/>
  <c r="S44" i="8" s="1"/>
  <c r="S45" i="8" s="1"/>
  <c r="S46" i="8" s="1"/>
  <c r="S47" i="8" s="1"/>
  <c r="S48" i="8" s="1"/>
  <c r="S49" i="8" s="1"/>
  <c r="T40" i="8"/>
  <c r="T41" i="8" s="1"/>
  <c r="T42" i="8" s="1"/>
  <c r="T43" i="8" s="1"/>
  <c r="T44" i="8" s="1"/>
  <c r="T45" i="8" s="1"/>
  <c r="T46" i="8" s="1"/>
  <c r="T47" i="8" s="1"/>
  <c r="T48" i="8" s="1"/>
  <c r="T49" i="8" s="1"/>
  <c r="O41" i="8"/>
  <c r="O42" i="8" s="1"/>
  <c r="O43" i="8" s="1"/>
  <c r="O44" i="8" s="1"/>
  <c r="O45" i="8" s="1"/>
  <c r="O46" i="8" s="1"/>
  <c r="P41" i="8"/>
  <c r="P42" i="8" s="1"/>
  <c r="Q42" i="8"/>
  <c r="R43" i="8"/>
  <c r="R44" i="8" s="1"/>
  <c r="R45" i="8" s="1"/>
  <c r="R46" i="8" s="1"/>
  <c r="Q44" i="8"/>
  <c r="P45" i="8"/>
  <c r="Q46" i="8"/>
  <c r="Q47" i="8" s="1"/>
  <c r="R48" i="8"/>
  <c r="N69" i="8"/>
  <c r="U32" i="8"/>
  <c r="U33" i="8"/>
  <c r="U31" i="8"/>
  <c r="U23" i="8"/>
  <c r="U22" i="8"/>
  <c r="U28" i="8"/>
  <c r="U34" i="8"/>
  <c r="U24" i="8"/>
  <c r="U21" i="8"/>
  <c r="U20" i="8"/>
  <c r="U26" i="8"/>
  <c r="U27" i="8"/>
  <c r="U30" i="8"/>
  <c r="U25" i="8"/>
  <c r="U29" i="8"/>
  <c r="N13" i="8" l="1"/>
  <c r="AE21" i="8"/>
  <c r="AI20" i="8"/>
  <c r="D26" i="8"/>
  <c r="U38" i="8"/>
  <c r="D27" i="8"/>
  <c r="N72" i="8"/>
  <c r="AH21" i="8"/>
  <c r="AH20" i="8"/>
  <c r="U50" i="8"/>
  <c r="U52" i="8"/>
  <c r="U55" i="8"/>
  <c r="U49" i="8"/>
  <c r="U42" i="8"/>
  <c r="U46" i="8"/>
  <c r="U53" i="8"/>
  <c r="U45" i="8"/>
  <c r="U44" i="8"/>
  <c r="U40" i="8"/>
  <c r="U51" i="8"/>
  <c r="U48" i="8"/>
  <c r="U54" i="8"/>
  <c r="U58" i="8"/>
  <c r="U57" i="8"/>
  <c r="U43" i="8"/>
  <c r="U41" i="8"/>
  <c r="U56" i="8"/>
  <c r="U47" i="8"/>
  <c r="U39" i="8"/>
  <c r="AF21" i="8" l="1"/>
  <c r="AI21" i="8"/>
  <c r="AE22" i="8"/>
  <c r="AG21" i="8"/>
  <c r="D30" i="8"/>
  <c r="J36" i="8" s="1"/>
  <c r="J35" i="8" l="1"/>
  <c r="F31" i="8" s="1"/>
  <c r="N12" i="8"/>
  <c r="N14" i="8" s="1"/>
  <c r="AF22" i="8"/>
  <c r="AE23" i="8"/>
  <c r="AI22" i="8"/>
  <c r="AH22" i="8"/>
  <c r="AG22" i="8"/>
  <c r="J37" i="8" l="1"/>
  <c r="C33" i="8"/>
  <c r="N15" i="8"/>
  <c r="AF23" i="8"/>
  <c r="AI23" i="8"/>
  <c r="AH23" i="8"/>
  <c r="AG23" i="8"/>
  <c r="AE24" i="8"/>
  <c r="N59" i="8"/>
  <c r="N60" i="8"/>
  <c r="D37" i="8" l="1"/>
  <c r="N62" i="8"/>
  <c r="D39" i="8" s="1"/>
  <c r="N61" i="8"/>
  <c r="N63" i="8" s="1"/>
  <c r="N65" i="8" s="1"/>
  <c r="D36" i="8"/>
  <c r="AH24" i="8"/>
  <c r="AI24" i="8"/>
  <c r="AG24" i="8"/>
  <c r="AF24" i="8"/>
  <c r="AE25" i="8"/>
  <c r="N64" i="8" l="1"/>
  <c r="N66" i="8" s="1"/>
  <c r="N67" i="8" s="1"/>
  <c r="D40" i="8" s="1"/>
  <c r="D41" i="8" s="1"/>
  <c r="E41" i="8" s="1"/>
  <c r="D38" i="8"/>
  <c r="AJ20" i="8" s="1"/>
  <c r="AJ21" i="8" s="1"/>
  <c r="AJ22" i="8" s="1"/>
  <c r="AJ23" i="8" s="1"/>
  <c r="AG25" i="8"/>
  <c r="AH25" i="8"/>
  <c r="AI25" i="8"/>
  <c r="AF25" i="8"/>
  <c r="AE26" i="8"/>
  <c r="AH26" i="8" l="1"/>
  <c r="AG26" i="8"/>
  <c r="AE27" i="8"/>
  <c r="AF26" i="8"/>
  <c r="AI26" i="8"/>
  <c r="AE28" i="8" l="1"/>
  <c r="AF27" i="8"/>
  <c r="AI27" i="8"/>
  <c r="AG27" i="8"/>
  <c r="AH27" i="8"/>
  <c r="AF28" i="8" l="1"/>
  <c r="AI28" i="8"/>
  <c r="AG28" i="8"/>
  <c r="AH28" i="8"/>
  <c r="AE29" i="8"/>
  <c r="AI29" i="8" l="1"/>
  <c r="AF29" i="8"/>
  <c r="AE30" i="8"/>
  <c r="AH29" i="8"/>
  <c r="AG29" i="8"/>
  <c r="AI30" i="8" l="1"/>
  <c r="AH30" i="8"/>
  <c r="AE31" i="8"/>
  <c r="AF30" i="8"/>
  <c r="AG30" i="8"/>
  <c r="AH31" i="8" l="1"/>
  <c r="AE32" i="8"/>
  <c r="AI31" i="8"/>
  <c r="AG31" i="8"/>
  <c r="AF31" i="8"/>
  <c r="AH32" i="8" l="1"/>
  <c r="AI32" i="8"/>
  <c r="AE33" i="8"/>
  <c r="AG32" i="8"/>
  <c r="AF32" i="8"/>
  <c r="AE34" i="8" l="1"/>
  <c r="AG33" i="8"/>
  <c r="AH33" i="8"/>
  <c r="AI33" i="8"/>
  <c r="AF33" i="8"/>
  <c r="AI34" i="8" l="1"/>
  <c r="AG34" i="8"/>
  <c r="AE35" i="8"/>
  <c r="AF34" i="8"/>
  <c r="AH34" i="8"/>
  <c r="AG35" i="8" l="1"/>
  <c r="AH35" i="8"/>
  <c r="AE36" i="8"/>
  <c r="AF35" i="8"/>
  <c r="AI35" i="8"/>
  <c r="AF36" i="8" l="1"/>
  <c r="AH36" i="8"/>
  <c r="AG36" i="8"/>
  <c r="AI36" i="8"/>
  <c r="AE37" i="8"/>
  <c r="AF37" i="8" l="1"/>
  <c r="AH37" i="8"/>
  <c r="AE38" i="8"/>
  <c r="AG37" i="8"/>
  <c r="AI37" i="8"/>
  <c r="AG38" i="8" l="1"/>
  <c r="AF38" i="8"/>
  <c r="AE39" i="8"/>
  <c r="AH38" i="8"/>
  <c r="AI38" i="8"/>
  <c r="AF39" i="8" l="1"/>
  <c r="AE40" i="8"/>
  <c r="AI39" i="8"/>
  <c r="AH39" i="8"/>
  <c r="AG39" i="8"/>
  <c r="AH40" i="8" l="1"/>
  <c r="AF40" i="8"/>
  <c r="AG40" i="8"/>
  <c r="AI40" i="8"/>
  <c r="AE41" i="8"/>
  <c r="AK21" i="8"/>
  <c r="AK20" i="8"/>
  <c r="AK23" i="8" l="1"/>
  <c r="AK22" i="8"/>
  <c r="AE42" i="8"/>
  <c r="AH41" i="8"/>
  <c r="AI41" i="8"/>
  <c r="AF41" i="8"/>
  <c r="AG41" i="8"/>
  <c r="AH42" i="8" l="1"/>
  <c r="AG42" i="8"/>
  <c r="AE43" i="8"/>
  <c r="AI42" i="8"/>
  <c r="AF42" i="8"/>
  <c r="AI43" i="8" l="1"/>
  <c r="AE44" i="8"/>
  <c r="AH43" i="8"/>
  <c r="AG43" i="8"/>
  <c r="AF43" i="8"/>
  <c r="AI44" i="8" l="1"/>
  <c r="AG44" i="8"/>
  <c r="AF44" i="8"/>
  <c r="AH44" i="8"/>
  <c r="AE45" i="8"/>
  <c r="AH45" i="8" l="1"/>
  <c r="AG45" i="8"/>
  <c r="AF45" i="8"/>
  <c r="AE46" i="8"/>
  <c r="AI45" i="8"/>
  <c r="AH46" i="8" l="1"/>
  <c r="AG46" i="8"/>
  <c r="AE47" i="8"/>
  <c r="AF46" i="8"/>
  <c r="AI46" i="8"/>
  <c r="AI47" i="8" l="1"/>
  <c r="AF47" i="8"/>
  <c r="AH47" i="8"/>
  <c r="AG47" i="8"/>
  <c r="AE48" i="8"/>
  <c r="AF48" i="8" l="1"/>
  <c r="AI48" i="8"/>
  <c r="AH48" i="8"/>
  <c r="AE49" i="8"/>
  <c r="AG48" i="8"/>
  <c r="AG49" i="8" l="1"/>
  <c r="AF49" i="8"/>
  <c r="AI49" i="8"/>
  <c r="AH49" i="8"/>
  <c r="AE50" i="8"/>
  <c r="AF50" i="8" l="1"/>
  <c r="AE51" i="8"/>
  <c r="AG50" i="8"/>
  <c r="AI50" i="8"/>
  <c r="AH50" i="8"/>
  <c r="AE52" i="8" l="1"/>
  <c r="AI51" i="8"/>
  <c r="AG51" i="8"/>
  <c r="AH51" i="8"/>
  <c r="AF51" i="8"/>
  <c r="AE53" i="8" l="1"/>
  <c r="AI52" i="8"/>
  <c r="AG52" i="8"/>
  <c r="AH52" i="8"/>
  <c r="AF52" i="8"/>
  <c r="AE54" i="8" l="1"/>
  <c r="AI53" i="8"/>
  <c r="AG53" i="8"/>
  <c r="AH53" i="8"/>
  <c r="AF53" i="8"/>
  <c r="AE55" i="8" l="1"/>
  <c r="AI54" i="8"/>
  <c r="AG54" i="8"/>
  <c r="AH54" i="8"/>
  <c r="AF54" i="8"/>
  <c r="AE56" i="8" l="1"/>
  <c r="AI55" i="8"/>
  <c r="AH55" i="8"/>
  <c r="AG55" i="8"/>
  <c r="AF55" i="8"/>
  <c r="AH56" i="8" l="1"/>
  <c r="AI56" i="8"/>
  <c r="AG56" i="8"/>
  <c r="AF56" i="8"/>
  <c r="AE57" i="8"/>
  <c r="AH57" i="8" l="1"/>
  <c r="AG57" i="8"/>
  <c r="AF57" i="8"/>
  <c r="AE58" i="8"/>
  <c r="AI57" i="8"/>
  <c r="AH58" i="8" l="1"/>
  <c r="AI58" i="8"/>
  <c r="AG58" i="8"/>
  <c r="AE59" i="8"/>
  <c r="AF58" i="8"/>
  <c r="AH59" i="8" l="1"/>
  <c r="AI59" i="8"/>
  <c r="AG59" i="8"/>
  <c r="AF59" i="8"/>
  <c r="AE60" i="8"/>
  <c r="AG60" i="8" l="1"/>
  <c r="AI60" i="8"/>
  <c r="AF60" i="8"/>
  <c r="AH60" i="8"/>
</calcChain>
</file>

<file path=xl/sharedStrings.xml><?xml version="1.0" encoding="utf-8"?>
<sst xmlns="http://schemas.openxmlformats.org/spreadsheetml/2006/main" count="114" uniqueCount="77">
  <si>
    <t>t</t>
  </si>
  <si>
    <t>M</t>
  </si>
  <si>
    <t>Dimensiones</t>
  </si>
  <si>
    <t>a</t>
  </si>
  <si>
    <t>m</t>
  </si>
  <si>
    <t>P</t>
  </si>
  <si>
    <t>rad</t>
  </si>
  <si>
    <t>R</t>
  </si>
  <si>
    <t>ton/m2</t>
  </si>
  <si>
    <t>Ri</t>
  </si>
  <si>
    <t xml:space="preserve">Solicitaciones </t>
  </si>
  <si>
    <t>c</t>
  </si>
  <si>
    <t>m2</t>
  </si>
  <si>
    <t>c/R</t>
  </si>
  <si>
    <t>Ri/R</t>
  </si>
  <si>
    <t>z/R</t>
  </si>
  <si>
    <t>smax/s</t>
  </si>
  <si>
    <t>z</t>
  </si>
  <si>
    <t>q min</t>
  </si>
  <si>
    <t>q max</t>
  </si>
  <si>
    <t>A apoyada</t>
  </si>
  <si>
    <t>A sg</t>
  </si>
  <si>
    <t>A sc</t>
  </si>
  <si>
    <t>Anillo de Fundación</t>
  </si>
  <si>
    <t>t m</t>
  </si>
  <si>
    <r>
      <t>t/cm</t>
    </r>
    <r>
      <rPr>
        <vertAlign val="superscript"/>
        <sz val="8"/>
        <rFont val="Arial"/>
        <family val="2"/>
      </rPr>
      <t>2</t>
    </r>
  </si>
  <si>
    <r>
      <t>t/m</t>
    </r>
    <r>
      <rPr>
        <vertAlign val="superscript"/>
        <sz val="8"/>
        <rFont val="Arial"/>
        <family val="2"/>
      </rPr>
      <t>3</t>
    </r>
  </si>
  <si>
    <t>V</t>
  </si>
  <si>
    <r>
      <t>kg/cm</t>
    </r>
    <r>
      <rPr>
        <vertAlign val="superscript"/>
        <sz val="8"/>
        <rFont val="Arial"/>
        <family val="2"/>
      </rPr>
      <t>3</t>
    </r>
  </si>
  <si>
    <t>q</t>
  </si>
  <si>
    <r>
      <t>H</t>
    </r>
    <r>
      <rPr>
        <vertAlign val="subscript"/>
        <sz val="8"/>
        <rFont val="Arial"/>
        <family val="2"/>
      </rPr>
      <t>z</t>
    </r>
  </si>
  <si>
    <r>
      <t>L</t>
    </r>
    <r>
      <rPr>
        <vertAlign val="subscript"/>
        <sz val="8"/>
        <rFont val="Arial"/>
        <family val="2"/>
      </rPr>
      <t>z</t>
    </r>
  </si>
  <si>
    <r>
      <t>m</t>
    </r>
    <r>
      <rPr>
        <vertAlign val="superscript"/>
        <sz val="8"/>
        <rFont val="Arial"/>
        <family val="2"/>
      </rPr>
      <t>3</t>
    </r>
  </si>
  <si>
    <t>X</t>
  </si>
  <si>
    <t>Y</t>
  </si>
  <si>
    <r>
      <t>s</t>
    </r>
    <r>
      <rPr>
        <sz val="8"/>
        <rFont val="Arial"/>
        <family val="2"/>
      </rPr>
      <t>c</t>
    </r>
  </si>
  <si>
    <r>
      <t>s</t>
    </r>
    <r>
      <rPr>
        <sz val="8"/>
        <rFont val="Arial"/>
        <family val="2"/>
      </rPr>
      <t>b</t>
    </r>
  </si>
  <si>
    <r>
      <t>s</t>
    </r>
    <r>
      <rPr>
        <sz val="8"/>
        <rFont val="Arial"/>
        <family val="2"/>
      </rPr>
      <t>max/</t>
    </r>
    <r>
      <rPr>
        <sz val="8"/>
        <rFont val="Symbol"/>
        <family val="1"/>
        <charset val="2"/>
      </rPr>
      <t>s</t>
    </r>
  </si>
  <si>
    <r>
      <t>s</t>
    </r>
    <r>
      <rPr>
        <sz val="8"/>
        <rFont val="Arial"/>
        <family val="2"/>
      </rPr>
      <t>max</t>
    </r>
  </si>
  <si>
    <r>
      <t>a</t>
    </r>
    <r>
      <rPr>
        <sz val="8"/>
        <rFont val="Arial"/>
        <family val="2"/>
      </rPr>
      <t>1</t>
    </r>
  </si>
  <si>
    <r>
      <t>m</t>
    </r>
    <r>
      <rPr>
        <vertAlign val="superscript"/>
        <sz val="8"/>
        <rFont val="Arial"/>
        <family val="2"/>
      </rPr>
      <t>2</t>
    </r>
  </si>
  <si>
    <r>
      <t>t/m</t>
    </r>
    <r>
      <rPr>
        <vertAlign val="superscript"/>
        <sz val="8"/>
        <rFont val="Arial"/>
        <family val="2"/>
      </rPr>
      <t>2</t>
    </r>
  </si>
  <si>
    <r>
      <t>P</t>
    </r>
    <r>
      <rPr>
        <vertAlign val="subscript"/>
        <sz val="8"/>
        <rFont val="Arial"/>
        <family val="2"/>
      </rPr>
      <t>g</t>
    </r>
  </si>
  <si>
    <r>
      <t>M</t>
    </r>
    <r>
      <rPr>
        <vertAlign val="subscript"/>
        <sz val="8"/>
        <rFont val="Arial"/>
        <family val="2"/>
      </rPr>
      <t>g</t>
    </r>
  </si>
  <si>
    <r>
      <t xml:space="preserve">A </t>
    </r>
    <r>
      <rPr>
        <vertAlign val="subscript"/>
        <sz val="8"/>
        <rFont val="Arial"/>
        <family val="2"/>
      </rPr>
      <t>sección</t>
    </r>
  </si>
  <si>
    <r>
      <t xml:space="preserve">W </t>
    </r>
    <r>
      <rPr>
        <vertAlign val="subscript"/>
        <sz val="8"/>
        <rFont val="Arial"/>
        <family val="2"/>
      </rPr>
      <t>sección</t>
    </r>
  </si>
  <si>
    <t>Externo</t>
  </si>
  <si>
    <t>Interno</t>
  </si>
  <si>
    <t>Linea</t>
  </si>
  <si>
    <r>
      <t>s</t>
    </r>
    <r>
      <rPr>
        <sz val="8"/>
        <rFont val="Arial"/>
        <family val="2"/>
      </rPr>
      <t xml:space="preserve"> </t>
    </r>
    <r>
      <rPr>
        <vertAlign val="subscript"/>
        <sz val="8"/>
        <rFont val="Arial"/>
        <family val="2"/>
      </rPr>
      <t>(c=0.0)</t>
    </r>
  </si>
  <si>
    <r>
      <t>A</t>
    </r>
    <r>
      <rPr>
        <vertAlign val="subscript"/>
        <sz val="8"/>
        <rFont val="Arial"/>
        <family val="2"/>
      </rPr>
      <t xml:space="preserve"> apoyada</t>
    </r>
  </si>
  <si>
    <r>
      <t>s</t>
    </r>
    <r>
      <rPr>
        <vertAlign val="subscript"/>
        <sz val="8"/>
        <rFont val="Arial"/>
        <family val="2"/>
      </rPr>
      <t>max</t>
    </r>
    <r>
      <rPr>
        <sz val="8"/>
        <rFont val="Arial"/>
        <family val="2"/>
      </rPr>
      <t>/</t>
    </r>
    <r>
      <rPr>
        <sz val="8"/>
        <rFont val="Symbol"/>
        <family val="1"/>
        <charset val="2"/>
      </rPr>
      <t>s</t>
    </r>
  </si>
  <si>
    <t>t/m2</t>
  </si>
  <si>
    <t>Df</t>
  </si>
  <si>
    <t>Hp</t>
  </si>
  <si>
    <t>Hz</t>
  </si>
  <si>
    <t>Rp</t>
  </si>
  <si>
    <t>Rpi</t>
  </si>
  <si>
    <r>
      <t>g</t>
    </r>
    <r>
      <rPr>
        <vertAlign val="subscript"/>
        <sz val="8"/>
        <rFont val="Arial"/>
        <family val="2"/>
      </rPr>
      <t>h</t>
    </r>
  </si>
  <si>
    <r>
      <t>g</t>
    </r>
    <r>
      <rPr>
        <vertAlign val="subscript"/>
        <sz val="8"/>
        <rFont val="Arial"/>
        <family val="2"/>
      </rPr>
      <t>s</t>
    </r>
  </si>
  <si>
    <r>
      <t>W</t>
    </r>
    <r>
      <rPr>
        <vertAlign val="subscript"/>
        <sz val="8"/>
        <rFont val="Arial"/>
        <family val="2"/>
      </rPr>
      <t>h</t>
    </r>
  </si>
  <si>
    <r>
      <t>W</t>
    </r>
    <r>
      <rPr>
        <vertAlign val="subscript"/>
        <sz val="8"/>
        <rFont val="Arial"/>
        <family val="2"/>
      </rPr>
      <t>s</t>
    </r>
  </si>
  <si>
    <t>Solicitaciones en Sello de Fundación</t>
  </si>
  <si>
    <r>
      <t>s</t>
    </r>
    <r>
      <rPr>
        <vertAlign val="subscript"/>
        <sz val="8"/>
        <rFont val="Arial"/>
        <family val="2"/>
      </rPr>
      <t>max</t>
    </r>
  </si>
  <si>
    <r>
      <t>k</t>
    </r>
    <r>
      <rPr>
        <vertAlign val="subscript"/>
        <sz val="8"/>
        <rFont val="Arial"/>
        <family val="2"/>
      </rPr>
      <t>v</t>
    </r>
  </si>
  <si>
    <r>
      <t>E</t>
    </r>
    <r>
      <rPr>
        <vertAlign val="subscript"/>
        <sz val="8"/>
        <rFont val="Arial"/>
        <family val="2"/>
      </rPr>
      <t>h</t>
    </r>
  </si>
  <si>
    <t>Solución según tablas de Beton Kalender</t>
  </si>
  <si>
    <t>SUBJECT:</t>
  </si>
  <si>
    <t>CALC NO.:</t>
  </si>
  <si>
    <t>REVISION</t>
  </si>
  <si>
    <t>ORIGINATOR:</t>
  </si>
  <si>
    <t>Page:</t>
  </si>
  <si>
    <t>XX</t>
  </si>
  <si>
    <t>REVIEWER:</t>
  </si>
  <si>
    <t>C.P.L.</t>
  </si>
  <si>
    <t>of :</t>
  </si>
  <si>
    <t>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</si>
</sst>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2"/>
      <color indexed="12"/>
      <name val="Arial"/>
      <family val="2"/>
    </font>
    <font>
      <vertAlign val="subscript"/>
      <sz val="8"/>
      <name val="Arial"/>
      <family val="2"/>
    </font>
    <font>
      <sz val="8"/>
      <color indexed="12"/>
      <name val="Arial"/>
      <family val="2"/>
    </font>
    <font>
      <vertAlign val="superscript"/>
      <sz val="8"/>
      <name val="Arial"/>
      <family val="2"/>
    </font>
    <font>
      <sz val="8"/>
      <name val="Symbol"/>
      <family val="1"/>
      <charset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0" borderId="0"/>
  </cellStyleXfs>
  <cellXfs count="116">
    <xf numFmtId="0" fontId="0" fillId="0" borderId="0" xfId="0"/>
    <xf numFmtId="2" fontId="2" fillId="2" borderId="0" xfId="0" applyNumberFormat="1" applyFont="1" applyFill="1" applyAlignment="1" applyProtection="1">
      <alignment vertical="center"/>
      <protection hidden="1"/>
    </xf>
    <xf numFmtId="0" fontId="2" fillId="0" borderId="0" xfId="0" applyFont="1" applyProtection="1">
      <protection hidden="1"/>
    </xf>
    <xf numFmtId="0" fontId="2" fillId="3" borderId="0" xfId="0" applyFont="1" applyFill="1" applyProtection="1">
      <protection hidden="1"/>
    </xf>
    <xf numFmtId="0" fontId="2" fillId="3" borderId="0" xfId="0" applyFont="1" applyFill="1" applyAlignment="1" applyProtection="1">
      <alignment horizontal="center"/>
      <protection hidden="1"/>
    </xf>
    <xf numFmtId="0" fontId="10" fillId="2" borderId="0" xfId="0" applyFont="1" applyFill="1" applyProtection="1">
      <protection hidden="1"/>
    </xf>
    <xf numFmtId="0" fontId="10" fillId="3" borderId="0" xfId="0" applyFont="1" applyFill="1" applyProtection="1">
      <protection hidden="1"/>
    </xf>
    <xf numFmtId="0" fontId="10" fillId="0" borderId="0" xfId="0" applyFont="1" applyProtection="1">
      <protection hidden="1"/>
    </xf>
    <xf numFmtId="0" fontId="10" fillId="3" borderId="6" xfId="0" applyFont="1" applyFill="1" applyBorder="1" applyProtection="1">
      <protection hidden="1"/>
    </xf>
    <xf numFmtId="0" fontId="10" fillId="2" borderId="3" xfId="0" applyFont="1" applyFill="1" applyBorder="1" applyProtection="1">
      <protection hidden="1"/>
    </xf>
    <xf numFmtId="0" fontId="10" fillId="2" borderId="4" xfId="0" applyFont="1" applyFill="1" applyBorder="1" applyProtection="1">
      <protection hidden="1"/>
    </xf>
    <xf numFmtId="0" fontId="10" fillId="2" borderId="5" xfId="0" applyFont="1" applyFill="1" applyBorder="1" applyProtection="1">
      <protection hidden="1"/>
    </xf>
    <xf numFmtId="0" fontId="8" fillId="3" borderId="9" xfId="0" applyFont="1" applyFill="1" applyBorder="1" applyProtection="1">
      <protection hidden="1"/>
    </xf>
    <xf numFmtId="165" fontId="10" fillId="3" borderId="2" xfId="0" applyNumberFormat="1" applyFont="1" applyFill="1" applyBorder="1" applyProtection="1">
      <protection hidden="1"/>
    </xf>
    <xf numFmtId="0" fontId="10" fillId="3" borderId="3" xfId="0" applyFont="1" applyFill="1" applyBorder="1" applyProtection="1">
      <protection hidden="1"/>
    </xf>
    <xf numFmtId="0" fontId="8" fillId="3" borderId="6" xfId="0" applyFont="1" applyFill="1" applyBorder="1" applyProtection="1">
      <protection hidden="1"/>
    </xf>
    <xf numFmtId="165" fontId="10" fillId="3" borderId="7" xfId="0" applyNumberFormat="1" applyFont="1" applyFill="1" applyBorder="1" applyProtection="1">
      <protection hidden="1"/>
    </xf>
    <xf numFmtId="0" fontId="10" fillId="3" borderId="8" xfId="0" applyFont="1" applyFill="1" applyBorder="1" applyProtection="1">
      <protection hidden="1"/>
    </xf>
    <xf numFmtId="0" fontId="2" fillId="3" borderId="9" xfId="0" applyFont="1" applyFill="1" applyBorder="1" applyProtection="1">
      <protection hidden="1"/>
    </xf>
    <xf numFmtId="0" fontId="2" fillId="3" borderId="6" xfId="0" applyFont="1" applyFill="1" applyBorder="1" applyProtection="1">
      <protection hidden="1"/>
    </xf>
    <xf numFmtId="0" fontId="3" fillId="3" borderId="20" xfId="0" applyFont="1" applyFill="1" applyBorder="1" applyAlignment="1" applyProtection="1">
      <alignment horizontal="center"/>
      <protection hidden="1"/>
    </xf>
    <xf numFmtId="0" fontId="10" fillId="3" borderId="21" xfId="0" applyFont="1" applyFill="1" applyBorder="1" applyAlignment="1" applyProtection="1">
      <alignment horizontal="center"/>
      <protection hidden="1"/>
    </xf>
    <xf numFmtId="0" fontId="10" fillId="3" borderId="22" xfId="0" applyFont="1" applyFill="1" applyBorder="1" applyAlignment="1" applyProtection="1">
      <alignment horizontal="center"/>
      <protection hidden="1"/>
    </xf>
    <xf numFmtId="0" fontId="10" fillId="3" borderId="7" xfId="0" applyFont="1" applyFill="1" applyBorder="1" applyAlignment="1" applyProtection="1">
      <alignment horizontal="center"/>
      <protection hidden="1"/>
    </xf>
    <xf numFmtId="0" fontId="10" fillId="3" borderId="8" xfId="0" applyFont="1" applyFill="1" applyBorder="1" applyAlignment="1" applyProtection="1">
      <alignment horizontal="center"/>
      <protection hidden="1"/>
    </xf>
    <xf numFmtId="2" fontId="10" fillId="3" borderId="23" xfId="0" applyNumberFormat="1" applyFont="1" applyFill="1" applyBorder="1" applyAlignment="1" applyProtection="1">
      <alignment horizontal="center"/>
      <protection hidden="1"/>
    </xf>
    <xf numFmtId="0" fontId="10" fillId="2" borderId="9" xfId="0" applyFont="1" applyFill="1" applyBorder="1" applyProtection="1">
      <protection hidden="1"/>
    </xf>
    <xf numFmtId="2" fontId="10" fillId="3" borderId="0" xfId="0" applyNumberFormat="1" applyFont="1" applyFill="1" applyAlignment="1" applyProtection="1">
      <alignment horizontal="center"/>
      <protection hidden="1"/>
    </xf>
    <xf numFmtId="2" fontId="10" fillId="3" borderId="5" xfId="0" applyNumberFormat="1" applyFont="1" applyFill="1" applyBorder="1" applyAlignment="1" applyProtection="1">
      <alignment horizontal="center"/>
      <protection hidden="1"/>
    </xf>
    <xf numFmtId="165" fontId="10" fillId="2" borderId="0" xfId="0" applyNumberFormat="1" applyFont="1" applyFill="1" applyProtection="1">
      <protection hidden="1"/>
    </xf>
    <xf numFmtId="0" fontId="9" fillId="2" borderId="0" xfId="0" applyFont="1" applyFill="1" applyProtection="1">
      <protection hidden="1"/>
    </xf>
    <xf numFmtId="0" fontId="8" fillId="2" borderId="4" xfId="0" applyFont="1" applyFill="1" applyBorder="1" applyProtection="1">
      <protection hidden="1"/>
    </xf>
    <xf numFmtId="2" fontId="10" fillId="2" borderId="0" xfId="0" applyNumberFormat="1" applyFont="1" applyFill="1" applyProtection="1">
      <protection hidden="1"/>
    </xf>
    <xf numFmtId="0" fontId="3" fillId="2" borderId="0" xfId="0" applyFont="1" applyFill="1" applyProtection="1">
      <protection hidden="1"/>
    </xf>
    <xf numFmtId="2" fontId="10" fillId="3" borderId="22" xfId="0" applyNumberFormat="1" applyFont="1" applyFill="1" applyBorder="1" applyAlignment="1" applyProtection="1">
      <alignment horizontal="center"/>
      <protection hidden="1"/>
    </xf>
    <xf numFmtId="2" fontId="10" fillId="3" borderId="7" xfId="0" applyNumberFormat="1" applyFont="1" applyFill="1" applyBorder="1" applyAlignment="1" applyProtection="1">
      <alignment horizontal="center"/>
      <protection hidden="1"/>
    </xf>
    <xf numFmtId="2" fontId="10" fillId="3" borderId="8" xfId="0" applyNumberFormat="1" applyFont="1" applyFill="1" applyBorder="1" applyAlignment="1" applyProtection="1">
      <alignment horizontal="center"/>
      <protection hidden="1"/>
    </xf>
    <xf numFmtId="0" fontId="10" fillId="3" borderId="0" xfId="0" applyFont="1" applyFill="1" applyAlignment="1" applyProtection="1">
      <alignment horizontal="center"/>
      <protection hidden="1"/>
    </xf>
    <xf numFmtId="2" fontId="2" fillId="2" borderId="0" xfId="0" applyNumberFormat="1" applyFont="1" applyFill="1" applyProtection="1">
      <protection hidden="1"/>
    </xf>
    <xf numFmtId="2" fontId="10" fillId="2" borderId="2" xfId="0" applyNumberFormat="1" applyFont="1" applyFill="1" applyBorder="1" applyProtection="1">
      <protection hidden="1"/>
    </xf>
    <xf numFmtId="0" fontId="8" fillId="3" borderId="4" xfId="0" applyFont="1" applyFill="1" applyBorder="1" applyProtection="1">
      <protection hidden="1"/>
    </xf>
    <xf numFmtId="165" fontId="10" fillId="3" borderId="0" xfId="0" applyNumberFormat="1" applyFont="1" applyFill="1" applyProtection="1">
      <protection hidden="1"/>
    </xf>
    <xf numFmtId="0" fontId="10" fillId="3" borderId="5" xfId="0" applyFont="1" applyFill="1" applyBorder="1" applyProtection="1">
      <protection hidden="1"/>
    </xf>
    <xf numFmtId="0" fontId="10" fillId="3" borderId="4" xfId="0" applyFont="1" applyFill="1" applyBorder="1" applyProtection="1">
      <protection hidden="1"/>
    </xf>
    <xf numFmtId="0" fontId="2" fillId="2" borderId="0" xfId="0" applyFont="1" applyFill="1" applyProtection="1">
      <protection hidden="1"/>
    </xf>
    <xf numFmtId="0" fontId="9" fillId="2" borderId="0" xfId="0" applyFont="1" applyFill="1" applyAlignment="1" applyProtection="1">
      <alignment horizontal="left"/>
      <protection hidden="1"/>
    </xf>
    <xf numFmtId="0" fontId="8" fillId="2" borderId="0" xfId="0" applyFont="1" applyFill="1" applyProtection="1">
      <protection hidden="1"/>
    </xf>
    <xf numFmtId="9" fontId="10" fillId="2" borderId="0" xfId="1" applyFont="1" applyFill="1" applyBorder="1" applyProtection="1">
      <protection hidden="1"/>
    </xf>
    <xf numFmtId="2" fontId="10" fillId="2" borderId="0" xfId="0" applyNumberFormat="1" applyFont="1" applyFill="1" applyAlignment="1" applyProtection="1">
      <alignment horizontal="center"/>
      <protection hidden="1"/>
    </xf>
    <xf numFmtId="0" fontId="10" fillId="0" borderId="14" xfId="0" applyFont="1" applyBorder="1" applyProtection="1">
      <protection hidden="1"/>
    </xf>
    <xf numFmtId="0" fontId="10" fillId="0" borderId="13" xfId="0" applyFont="1" applyBorder="1" applyAlignment="1" applyProtection="1">
      <alignment horizontal="center"/>
      <protection hidden="1"/>
    </xf>
    <xf numFmtId="0" fontId="10" fillId="0" borderId="12" xfId="0" applyFont="1" applyBorder="1" applyProtection="1">
      <protection hidden="1"/>
    </xf>
    <xf numFmtId="2" fontId="10" fillId="0" borderId="0" xfId="0" applyNumberFormat="1" applyFont="1" applyAlignment="1" applyProtection="1">
      <alignment horizontal="center"/>
      <protection hidden="1"/>
    </xf>
    <xf numFmtId="2" fontId="10" fillId="2" borderId="19" xfId="0" applyNumberFormat="1" applyFont="1" applyFill="1" applyBorder="1" applyAlignment="1" applyProtection="1">
      <alignment horizontal="center"/>
      <protection hidden="1"/>
    </xf>
    <xf numFmtId="0" fontId="10" fillId="0" borderId="18" xfId="0" applyFont="1" applyBorder="1" applyProtection="1">
      <protection hidden="1"/>
    </xf>
    <xf numFmtId="0" fontId="10" fillId="2" borderId="1" xfId="0" applyFont="1" applyFill="1" applyBorder="1" applyProtection="1">
      <protection hidden="1"/>
    </xf>
    <xf numFmtId="0" fontId="10" fillId="2" borderId="17" xfId="0" applyFont="1" applyFill="1" applyBorder="1" applyProtection="1">
      <protection hidden="1"/>
    </xf>
    <xf numFmtId="2" fontId="10" fillId="2" borderId="12" xfId="0" applyNumberFormat="1" applyFont="1" applyFill="1" applyBorder="1" applyAlignment="1" applyProtection="1">
      <alignment horizontal="center"/>
      <protection hidden="1"/>
    </xf>
    <xf numFmtId="0" fontId="10" fillId="2" borderId="18" xfId="0" applyFont="1" applyFill="1" applyBorder="1" applyProtection="1">
      <protection hidden="1"/>
    </xf>
    <xf numFmtId="0" fontId="8" fillId="0" borderId="1" xfId="0" applyFont="1" applyBorder="1" applyAlignment="1" applyProtection="1">
      <alignment horizontal="center"/>
      <protection hidden="1"/>
    </xf>
    <xf numFmtId="0" fontId="10" fillId="2" borderId="18" xfId="0" applyFont="1" applyFill="1" applyBorder="1" applyAlignment="1" applyProtection="1">
      <alignment horizontal="center"/>
      <protection hidden="1"/>
    </xf>
    <xf numFmtId="0" fontId="10" fillId="2" borderId="17" xfId="0" applyFont="1" applyFill="1" applyBorder="1" applyAlignment="1" applyProtection="1">
      <alignment horizontal="center"/>
      <protection hidden="1"/>
    </xf>
    <xf numFmtId="0" fontId="10" fillId="2" borderId="1" xfId="0" applyFont="1" applyFill="1" applyBorder="1" applyAlignment="1" applyProtection="1">
      <alignment horizontal="center"/>
      <protection hidden="1"/>
    </xf>
    <xf numFmtId="2" fontId="10" fillId="2" borderId="18" xfId="0" applyNumberFormat="1" applyFont="1" applyFill="1" applyBorder="1" applyAlignment="1" applyProtection="1">
      <alignment horizontal="center"/>
      <protection hidden="1"/>
    </xf>
    <xf numFmtId="2" fontId="10" fillId="2" borderId="17" xfId="0" applyNumberFormat="1" applyFont="1" applyFill="1" applyBorder="1" applyAlignment="1" applyProtection="1">
      <alignment horizontal="center"/>
      <protection hidden="1"/>
    </xf>
    <xf numFmtId="9" fontId="2" fillId="2" borderId="0" xfId="1" applyFont="1" applyFill="1" applyBorder="1" applyProtection="1">
      <protection hidden="1"/>
    </xf>
    <xf numFmtId="164" fontId="10" fillId="2" borderId="0" xfId="0" applyNumberFormat="1" applyFont="1" applyFill="1" applyProtection="1">
      <protection hidden="1"/>
    </xf>
    <xf numFmtId="2" fontId="2" fillId="2" borderId="14" xfId="0" applyNumberFormat="1" applyFont="1" applyFill="1" applyBorder="1" applyAlignment="1" applyProtection="1">
      <alignment vertical="center"/>
      <protection hidden="1"/>
    </xf>
    <xf numFmtId="2" fontId="2" fillId="2" borderId="13" xfId="0" applyNumberFormat="1" applyFont="1" applyFill="1" applyBorder="1" applyAlignment="1" applyProtection="1">
      <alignment vertical="center"/>
      <protection hidden="1"/>
    </xf>
    <xf numFmtId="2" fontId="2" fillId="2" borderId="16" xfId="0" applyNumberFormat="1" applyFont="1" applyFill="1" applyBorder="1" applyAlignment="1" applyProtection="1">
      <alignment vertical="center"/>
      <protection hidden="1"/>
    </xf>
    <xf numFmtId="2" fontId="2" fillId="2" borderId="12" xfId="0" applyNumberFormat="1" applyFont="1" applyFill="1" applyBorder="1" applyAlignment="1" applyProtection="1">
      <alignment vertical="center"/>
      <protection hidden="1"/>
    </xf>
    <xf numFmtId="2" fontId="2" fillId="2" borderId="19" xfId="0" applyNumberFormat="1" applyFont="1" applyFill="1" applyBorder="1" applyAlignment="1" applyProtection="1">
      <alignment vertical="center"/>
      <protection hidden="1"/>
    </xf>
    <xf numFmtId="2" fontId="2" fillId="2" borderId="18" xfId="0" applyNumberFormat="1" applyFont="1" applyFill="1" applyBorder="1" applyAlignment="1" applyProtection="1">
      <alignment vertical="center"/>
      <protection hidden="1"/>
    </xf>
    <xf numFmtId="2" fontId="2" fillId="2" borderId="1" xfId="0" applyNumberFormat="1" applyFont="1" applyFill="1" applyBorder="1" applyAlignment="1" applyProtection="1">
      <alignment vertical="center"/>
      <protection hidden="1"/>
    </xf>
    <xf numFmtId="2" fontId="2" fillId="2" borderId="17" xfId="0" applyNumberFormat="1" applyFont="1" applyFill="1" applyBorder="1" applyAlignment="1" applyProtection="1">
      <alignment vertical="center"/>
      <protection hidden="1"/>
    </xf>
    <xf numFmtId="2" fontId="6" fillId="2" borderId="0" xfId="0" applyNumberFormat="1" applyFont="1" applyFill="1" applyProtection="1">
      <protection locked="0"/>
    </xf>
    <xf numFmtId="0" fontId="6" fillId="2" borderId="0" xfId="0" applyFont="1" applyFill="1" applyProtection="1">
      <protection hidden="1"/>
    </xf>
    <xf numFmtId="0" fontId="0" fillId="4" borderId="0" xfId="0" applyFill="1"/>
    <xf numFmtId="0" fontId="3" fillId="0" borderId="2" xfId="2" applyFont="1" applyBorder="1" applyAlignment="1" applyProtection="1">
      <alignment vertical="center"/>
      <protection locked="0"/>
    </xf>
    <xf numFmtId="0" fontId="2" fillId="0" borderId="2" xfId="2" applyFont="1" applyBorder="1" applyAlignment="1" applyProtection="1">
      <alignment vertical="center"/>
      <protection locked="0"/>
    </xf>
    <xf numFmtId="0" fontId="3" fillId="0" borderId="9" xfId="2" applyFont="1" applyBorder="1" applyAlignment="1" applyProtection="1">
      <alignment vertical="center"/>
      <protection locked="0"/>
    </xf>
    <xf numFmtId="0" fontId="2" fillId="0" borderId="3" xfId="2" applyFont="1" applyBorder="1" applyAlignment="1" applyProtection="1">
      <alignment vertical="center"/>
      <protection locked="0"/>
    </xf>
    <xf numFmtId="0" fontId="2" fillId="0" borderId="0" xfId="2" applyFont="1" applyAlignment="1" applyProtection="1">
      <alignment vertical="center"/>
      <protection locked="0"/>
    </xf>
    <xf numFmtId="0" fontId="6" fillId="0" borderId="0" xfId="2" applyFont="1" applyAlignment="1" applyProtection="1">
      <alignment vertical="center"/>
      <protection locked="0"/>
    </xf>
    <xf numFmtId="0" fontId="2" fillId="0" borderId="4" xfId="2" applyFont="1" applyBorder="1" applyAlignment="1" applyProtection="1">
      <alignment vertical="center"/>
      <protection locked="0"/>
    </xf>
    <xf numFmtId="0" fontId="2" fillId="0" borderId="5" xfId="2" applyFont="1" applyBorder="1" applyAlignment="1" applyProtection="1">
      <alignment vertical="center"/>
      <protection locked="0"/>
    </xf>
    <xf numFmtId="0" fontId="3" fillId="0" borderId="15" xfId="2" applyFont="1" applyBorder="1" applyAlignment="1" applyProtection="1">
      <alignment vertical="center" wrapText="1"/>
      <protection locked="0"/>
    </xf>
    <xf numFmtId="0" fontId="3" fillId="0" borderId="11" xfId="2" applyFont="1" applyBorder="1" applyAlignment="1" applyProtection="1">
      <alignment vertical="center" wrapText="1"/>
      <protection locked="0"/>
    </xf>
    <xf numFmtId="0" fontId="3" fillId="0" borderId="10" xfId="2" applyFont="1" applyBorder="1" applyAlignment="1" applyProtection="1">
      <alignment horizontal="center" vertical="center" wrapText="1"/>
      <protection locked="0"/>
    </xf>
    <xf numFmtId="0" fontId="2" fillId="0" borderId="9" xfId="2" applyFont="1" applyBorder="1" applyAlignment="1" applyProtection="1">
      <alignment vertical="center"/>
      <protection locked="0"/>
    </xf>
    <xf numFmtId="0" fontId="3" fillId="0" borderId="15" xfId="2" applyFont="1" applyBorder="1" applyAlignment="1" applyProtection="1">
      <alignment vertical="center"/>
      <protection locked="0"/>
    </xf>
    <xf numFmtId="0" fontId="6" fillId="0" borderId="10" xfId="2" applyFont="1" applyBorder="1" applyAlignment="1" applyProtection="1">
      <alignment horizontal="center" vertical="center" wrapText="1"/>
      <protection locked="0"/>
    </xf>
    <xf numFmtId="0" fontId="2" fillId="0" borderId="10" xfId="2" applyFont="1" applyBorder="1" applyAlignment="1" applyProtection="1">
      <alignment horizontal="center" vertical="center" wrapText="1"/>
      <protection locked="0"/>
    </xf>
    <xf numFmtId="0" fontId="3" fillId="0" borderId="4" xfId="2" applyFont="1" applyBorder="1" applyAlignment="1" applyProtection="1">
      <alignment vertical="center"/>
      <protection locked="0"/>
    </xf>
    <xf numFmtId="0" fontId="6" fillId="0" borderId="5" xfId="2" applyFont="1" applyBorder="1" applyAlignment="1" applyProtection="1">
      <alignment vertical="center"/>
      <protection locked="0"/>
    </xf>
    <xf numFmtId="17" fontId="6" fillId="0" borderId="10" xfId="2" applyNumberFormat="1" applyFont="1" applyBorder="1" applyAlignment="1" applyProtection="1">
      <alignment horizontal="center" vertical="center" wrapText="1"/>
      <protection locked="0"/>
    </xf>
    <xf numFmtId="0" fontId="2" fillId="0" borderId="6" xfId="2" applyFont="1" applyBorder="1" applyAlignment="1" applyProtection="1">
      <alignment vertical="center"/>
      <protection locked="0"/>
    </xf>
    <xf numFmtId="0" fontId="2" fillId="0" borderId="8" xfId="2" applyFont="1" applyBorder="1" applyAlignment="1" applyProtection="1">
      <alignment vertical="center"/>
      <protection locked="0"/>
    </xf>
    <xf numFmtId="0" fontId="3" fillId="0" borderId="9" xfId="2" applyFont="1" applyBorder="1" applyAlignment="1">
      <alignment vertical="center" wrapText="1"/>
    </xf>
    <xf numFmtId="0" fontId="3" fillId="0" borderId="2" xfId="2" applyFont="1" applyBorder="1" applyAlignment="1">
      <alignment vertical="center" wrapText="1"/>
    </xf>
    <xf numFmtId="0" fontId="3" fillId="0" borderId="3" xfId="2" applyFont="1" applyBorder="1" applyAlignment="1">
      <alignment vertical="center" wrapText="1"/>
    </xf>
    <xf numFmtId="0" fontId="11" fillId="0" borderId="4" xfId="2" applyFont="1" applyBorder="1" applyAlignment="1">
      <alignment horizontal="center" vertical="center" wrapText="1"/>
    </xf>
    <xf numFmtId="0" fontId="11" fillId="0" borderId="0" xfId="2" applyFont="1" applyAlignment="1">
      <alignment horizontal="center" vertical="center" wrapText="1"/>
    </xf>
    <xf numFmtId="0" fontId="11" fillId="0" borderId="5" xfId="2" applyFont="1" applyBorder="1" applyAlignment="1">
      <alignment horizontal="center" vertical="center" wrapText="1"/>
    </xf>
    <xf numFmtId="0" fontId="10" fillId="2" borderId="14" xfId="0" applyFont="1" applyFill="1" applyBorder="1" applyAlignment="1" applyProtection="1">
      <alignment horizontal="center"/>
      <protection hidden="1"/>
    </xf>
    <xf numFmtId="0" fontId="10" fillId="2" borderId="16" xfId="0" applyFont="1" applyFill="1" applyBorder="1" applyAlignment="1" applyProtection="1">
      <alignment horizontal="center"/>
      <protection hidden="1"/>
    </xf>
    <xf numFmtId="0" fontId="10" fillId="3" borderId="2" xfId="0" applyFont="1" applyFill="1" applyBorder="1" applyAlignment="1" applyProtection="1">
      <alignment horizontal="center"/>
      <protection hidden="1"/>
    </xf>
    <xf numFmtId="0" fontId="10" fillId="3" borderId="3" xfId="0" applyFont="1" applyFill="1" applyBorder="1" applyAlignment="1" applyProtection="1">
      <alignment horizontal="center"/>
      <protection hidden="1"/>
    </xf>
    <xf numFmtId="0" fontId="10" fillId="3" borderId="9" xfId="0" applyFont="1" applyFill="1" applyBorder="1" applyAlignment="1" applyProtection="1">
      <alignment horizontal="center"/>
      <protection hidden="1"/>
    </xf>
    <xf numFmtId="0" fontId="4" fillId="2" borderId="0" xfId="0" applyFont="1" applyFill="1" applyAlignment="1" applyProtection="1">
      <alignment horizontal="center"/>
      <protection locked="0"/>
    </xf>
    <xf numFmtId="0" fontId="13" fillId="0" borderId="4" xfId="2" applyFont="1" applyBorder="1" applyAlignment="1">
      <alignment horizontal="center" vertical="center" wrapText="1"/>
    </xf>
    <xf numFmtId="0" fontId="13" fillId="0" borderId="0" xfId="2" applyFont="1" applyAlignment="1">
      <alignment horizontal="center" vertical="center" wrapText="1"/>
    </xf>
    <xf numFmtId="0" fontId="13" fillId="0" borderId="5" xfId="2" applyFont="1" applyBorder="1" applyAlignment="1">
      <alignment horizontal="center" vertical="center" wrapText="1"/>
    </xf>
    <xf numFmtId="0" fontId="13" fillId="0" borderId="6" xfId="2" applyFont="1" applyBorder="1" applyAlignment="1">
      <alignment horizontal="center" vertical="center" wrapText="1"/>
    </xf>
    <xf numFmtId="0" fontId="13" fillId="0" borderId="7" xfId="2" applyFont="1" applyBorder="1" applyAlignment="1">
      <alignment horizontal="center" vertical="center" wrapText="1"/>
    </xf>
    <xf numFmtId="0" fontId="13" fillId="0" borderId="8" xfId="2" applyFont="1" applyBorder="1" applyAlignment="1">
      <alignment horizontal="center" vertical="center" wrapText="1"/>
    </xf>
  </cellXfs>
  <cellStyles count="3">
    <cellStyle name="Normal" xfId="0" builtinId="0"/>
    <cellStyle name="Normal 5" xfId="2" xr:uid="{00000000-0005-0000-0000-000002000000}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954193014117221E-2"/>
          <c:y val="9.6153846153846159E-2"/>
          <c:w val="0.86233350107319273"/>
          <c:h val="0.7461538461538461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'Anillo de fundacion'!$M$20:$M$34</c:f>
              <c:numCache>
                <c:formatCode>0.00</c:formatCode>
                <c:ptCount val="15"/>
                <c:pt idx="0">
                  <c:v>0.25</c:v>
                </c:pt>
                <c:pt idx="1">
                  <c:v>0.3</c:v>
                </c:pt>
                <c:pt idx="2">
                  <c:v>0.35</c:v>
                </c:pt>
                <c:pt idx="3">
                  <c:v>0.4</c:v>
                </c:pt>
                <c:pt idx="4">
                  <c:v>0.45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0.8</c:v>
                </c:pt>
                <c:pt idx="12">
                  <c:v>0.85</c:v>
                </c:pt>
                <c:pt idx="13">
                  <c:v>0.9</c:v>
                </c:pt>
                <c:pt idx="14">
                  <c:v>0.95</c:v>
                </c:pt>
              </c:numCache>
            </c:numRef>
          </c:xVal>
          <c:yVal>
            <c:numRef>
              <c:f>'Anillo de fundacion'!$N$20:$N$34</c:f>
              <c:numCache>
                <c:formatCode>0.00</c:formatCode>
                <c:ptCount val="15"/>
                <c:pt idx="0">
                  <c:v>2</c:v>
                </c:pt>
                <c:pt idx="1">
                  <c:v>1.82</c:v>
                </c:pt>
                <c:pt idx="2">
                  <c:v>1.66</c:v>
                </c:pt>
                <c:pt idx="3">
                  <c:v>1.51</c:v>
                </c:pt>
                <c:pt idx="4">
                  <c:v>1.37</c:v>
                </c:pt>
                <c:pt idx="5">
                  <c:v>1.23</c:v>
                </c:pt>
                <c:pt idx="6">
                  <c:v>1.1000000000000001</c:v>
                </c:pt>
                <c:pt idx="7">
                  <c:v>0.97</c:v>
                </c:pt>
                <c:pt idx="8">
                  <c:v>0.84</c:v>
                </c:pt>
                <c:pt idx="9">
                  <c:v>0.72</c:v>
                </c:pt>
                <c:pt idx="10">
                  <c:v>0.59</c:v>
                </c:pt>
                <c:pt idx="11">
                  <c:v>0.47</c:v>
                </c:pt>
                <c:pt idx="12">
                  <c:v>0.35</c:v>
                </c:pt>
                <c:pt idx="13">
                  <c:v>0.24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A2-4444-92D5-390CD55F2644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'Anillo de fundacion'!$M$20:$M$34</c:f>
              <c:numCache>
                <c:formatCode>0.00</c:formatCode>
                <c:ptCount val="15"/>
                <c:pt idx="0">
                  <c:v>0.25</c:v>
                </c:pt>
                <c:pt idx="1">
                  <c:v>0.3</c:v>
                </c:pt>
                <c:pt idx="2">
                  <c:v>0.35</c:v>
                </c:pt>
                <c:pt idx="3">
                  <c:v>0.4</c:v>
                </c:pt>
                <c:pt idx="4">
                  <c:v>0.45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0.8</c:v>
                </c:pt>
                <c:pt idx="12">
                  <c:v>0.85</c:v>
                </c:pt>
                <c:pt idx="13">
                  <c:v>0.9</c:v>
                </c:pt>
                <c:pt idx="14">
                  <c:v>0.95</c:v>
                </c:pt>
              </c:numCache>
            </c:numRef>
          </c:xVal>
          <c:yVal>
            <c:numRef>
              <c:f>'Anillo de fundacion'!$O$20:$O$34</c:f>
              <c:numCache>
                <c:formatCode>0.00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1.89</c:v>
                </c:pt>
                <c:pt idx="3">
                  <c:v>1.75</c:v>
                </c:pt>
                <c:pt idx="4">
                  <c:v>1.61</c:v>
                </c:pt>
                <c:pt idx="5">
                  <c:v>1.46</c:v>
                </c:pt>
                <c:pt idx="6">
                  <c:v>1.29</c:v>
                </c:pt>
                <c:pt idx="7">
                  <c:v>1.1200000000000001</c:v>
                </c:pt>
                <c:pt idx="8">
                  <c:v>0.94</c:v>
                </c:pt>
                <c:pt idx="9">
                  <c:v>0.75</c:v>
                </c:pt>
                <c:pt idx="10">
                  <c:v>0.6</c:v>
                </c:pt>
                <c:pt idx="11">
                  <c:v>0.47</c:v>
                </c:pt>
                <c:pt idx="12">
                  <c:v>0.35</c:v>
                </c:pt>
                <c:pt idx="13">
                  <c:v>0.24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A2-4444-92D5-390CD55F2644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'Anillo de fundacion'!$M$20:$M$34</c:f>
              <c:numCache>
                <c:formatCode>0.00</c:formatCode>
                <c:ptCount val="15"/>
                <c:pt idx="0">
                  <c:v>0.25</c:v>
                </c:pt>
                <c:pt idx="1">
                  <c:v>0.3</c:v>
                </c:pt>
                <c:pt idx="2">
                  <c:v>0.35</c:v>
                </c:pt>
                <c:pt idx="3">
                  <c:v>0.4</c:v>
                </c:pt>
                <c:pt idx="4">
                  <c:v>0.45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0.8</c:v>
                </c:pt>
                <c:pt idx="12">
                  <c:v>0.85</c:v>
                </c:pt>
                <c:pt idx="13">
                  <c:v>0.9</c:v>
                </c:pt>
                <c:pt idx="14">
                  <c:v>0.95</c:v>
                </c:pt>
              </c:numCache>
            </c:numRef>
          </c:xVal>
          <c:yVal>
            <c:numRef>
              <c:f>'Anillo de fundacion'!$P$20:$P$34</c:f>
              <c:numCache>
                <c:formatCode>0.00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1.95</c:v>
                </c:pt>
                <c:pt idx="3">
                  <c:v>1.84</c:v>
                </c:pt>
                <c:pt idx="4">
                  <c:v>1.71</c:v>
                </c:pt>
                <c:pt idx="5">
                  <c:v>1.56</c:v>
                </c:pt>
                <c:pt idx="6">
                  <c:v>1.39</c:v>
                </c:pt>
                <c:pt idx="7">
                  <c:v>1.21</c:v>
                </c:pt>
                <c:pt idx="8">
                  <c:v>1.02</c:v>
                </c:pt>
                <c:pt idx="9">
                  <c:v>0.82</c:v>
                </c:pt>
                <c:pt idx="10">
                  <c:v>0.64</c:v>
                </c:pt>
                <c:pt idx="11">
                  <c:v>0.48</c:v>
                </c:pt>
                <c:pt idx="12">
                  <c:v>0.35</c:v>
                </c:pt>
                <c:pt idx="13">
                  <c:v>0.24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A2-4444-92D5-390CD55F2644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'Anillo de fundacion'!$M$20:$M$34</c:f>
              <c:numCache>
                <c:formatCode>0.00</c:formatCode>
                <c:ptCount val="15"/>
                <c:pt idx="0">
                  <c:v>0.25</c:v>
                </c:pt>
                <c:pt idx="1">
                  <c:v>0.3</c:v>
                </c:pt>
                <c:pt idx="2">
                  <c:v>0.35</c:v>
                </c:pt>
                <c:pt idx="3">
                  <c:v>0.4</c:v>
                </c:pt>
                <c:pt idx="4">
                  <c:v>0.45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0.8</c:v>
                </c:pt>
                <c:pt idx="12">
                  <c:v>0.85</c:v>
                </c:pt>
                <c:pt idx="13">
                  <c:v>0.9</c:v>
                </c:pt>
                <c:pt idx="14">
                  <c:v>0.95</c:v>
                </c:pt>
              </c:numCache>
            </c:numRef>
          </c:xVal>
          <c:yVal>
            <c:numRef>
              <c:f>'Anillo de fundacion'!$Q$20:$Q$34</c:f>
              <c:numCache>
                <c:formatCode>0.00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1.93</c:v>
                </c:pt>
                <c:pt idx="4">
                  <c:v>1.81</c:v>
                </c:pt>
                <c:pt idx="5">
                  <c:v>1.66</c:v>
                </c:pt>
                <c:pt idx="6">
                  <c:v>1.5</c:v>
                </c:pt>
                <c:pt idx="7">
                  <c:v>1.32</c:v>
                </c:pt>
                <c:pt idx="8">
                  <c:v>1.1299999999999999</c:v>
                </c:pt>
                <c:pt idx="9">
                  <c:v>0.93</c:v>
                </c:pt>
                <c:pt idx="10">
                  <c:v>0.72</c:v>
                </c:pt>
                <c:pt idx="11">
                  <c:v>0.52</c:v>
                </c:pt>
                <c:pt idx="12">
                  <c:v>0.36</c:v>
                </c:pt>
                <c:pt idx="13">
                  <c:v>0.24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A2-4444-92D5-390CD55F2644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'Anillo de fundacion'!$M$20:$M$34</c:f>
              <c:numCache>
                <c:formatCode>0.00</c:formatCode>
                <c:ptCount val="15"/>
                <c:pt idx="0">
                  <c:v>0.25</c:v>
                </c:pt>
                <c:pt idx="1">
                  <c:v>0.3</c:v>
                </c:pt>
                <c:pt idx="2">
                  <c:v>0.35</c:v>
                </c:pt>
                <c:pt idx="3">
                  <c:v>0.4</c:v>
                </c:pt>
                <c:pt idx="4">
                  <c:v>0.45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0.8</c:v>
                </c:pt>
                <c:pt idx="12">
                  <c:v>0.85</c:v>
                </c:pt>
                <c:pt idx="13">
                  <c:v>0.9</c:v>
                </c:pt>
                <c:pt idx="14">
                  <c:v>0.95</c:v>
                </c:pt>
              </c:numCache>
            </c:numRef>
          </c:xVal>
          <c:yVal>
            <c:numRef>
              <c:f>'Anillo de fundacion'!$R$20:$R$34</c:f>
              <c:numCache>
                <c:formatCode>0.00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1.9</c:v>
                </c:pt>
                <c:pt idx="5">
                  <c:v>1.78</c:v>
                </c:pt>
                <c:pt idx="6">
                  <c:v>1.62</c:v>
                </c:pt>
                <c:pt idx="7">
                  <c:v>1.45</c:v>
                </c:pt>
                <c:pt idx="8">
                  <c:v>1.25</c:v>
                </c:pt>
                <c:pt idx="9">
                  <c:v>1.05</c:v>
                </c:pt>
                <c:pt idx="10">
                  <c:v>0.85</c:v>
                </c:pt>
                <c:pt idx="11">
                  <c:v>0.61</c:v>
                </c:pt>
                <c:pt idx="12">
                  <c:v>0.42</c:v>
                </c:pt>
                <c:pt idx="13">
                  <c:v>0.24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A2-4444-92D5-390CD55F2644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'Anillo de fundacion'!$M$20:$M$34</c:f>
              <c:numCache>
                <c:formatCode>0.00</c:formatCode>
                <c:ptCount val="15"/>
                <c:pt idx="0">
                  <c:v>0.25</c:v>
                </c:pt>
                <c:pt idx="1">
                  <c:v>0.3</c:v>
                </c:pt>
                <c:pt idx="2">
                  <c:v>0.35</c:v>
                </c:pt>
                <c:pt idx="3">
                  <c:v>0.4</c:v>
                </c:pt>
                <c:pt idx="4">
                  <c:v>0.45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0.8</c:v>
                </c:pt>
                <c:pt idx="12">
                  <c:v>0.85</c:v>
                </c:pt>
                <c:pt idx="13">
                  <c:v>0.9</c:v>
                </c:pt>
                <c:pt idx="14">
                  <c:v>0.95</c:v>
                </c:pt>
              </c:numCache>
            </c:numRef>
          </c:xVal>
          <c:yVal>
            <c:numRef>
              <c:f>'Anillo de fundacion'!$S$20:$S$34</c:f>
              <c:numCache>
                <c:formatCode>0.00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1.89</c:v>
                </c:pt>
                <c:pt idx="6">
                  <c:v>1.74</c:v>
                </c:pt>
                <c:pt idx="7">
                  <c:v>1.58</c:v>
                </c:pt>
                <c:pt idx="8">
                  <c:v>1.4</c:v>
                </c:pt>
                <c:pt idx="9">
                  <c:v>1.2</c:v>
                </c:pt>
                <c:pt idx="10">
                  <c:v>0.98</c:v>
                </c:pt>
                <c:pt idx="11">
                  <c:v>0.77</c:v>
                </c:pt>
                <c:pt idx="12">
                  <c:v>0.55000000000000004</c:v>
                </c:pt>
                <c:pt idx="13">
                  <c:v>0.32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A2-4444-92D5-390CD55F2644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'Anillo de fundacion'!$M$20:$M$34</c:f>
              <c:numCache>
                <c:formatCode>0.00</c:formatCode>
                <c:ptCount val="15"/>
                <c:pt idx="0">
                  <c:v>0.25</c:v>
                </c:pt>
                <c:pt idx="1">
                  <c:v>0.3</c:v>
                </c:pt>
                <c:pt idx="2">
                  <c:v>0.35</c:v>
                </c:pt>
                <c:pt idx="3">
                  <c:v>0.4</c:v>
                </c:pt>
                <c:pt idx="4">
                  <c:v>0.45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0.8</c:v>
                </c:pt>
                <c:pt idx="12">
                  <c:v>0.85</c:v>
                </c:pt>
                <c:pt idx="13">
                  <c:v>0.9</c:v>
                </c:pt>
                <c:pt idx="14">
                  <c:v>0.95</c:v>
                </c:pt>
              </c:numCache>
            </c:numRef>
          </c:xVal>
          <c:yVal>
            <c:numRef>
              <c:f>'Anillo de fundacion'!$T$20:$T$34</c:f>
              <c:numCache>
                <c:formatCode>0.00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1.87</c:v>
                </c:pt>
                <c:pt idx="7">
                  <c:v>1.71</c:v>
                </c:pt>
                <c:pt idx="8">
                  <c:v>1.54</c:v>
                </c:pt>
                <c:pt idx="9">
                  <c:v>1.35</c:v>
                </c:pt>
                <c:pt idx="10">
                  <c:v>1.1499999999999999</c:v>
                </c:pt>
                <c:pt idx="11">
                  <c:v>0.94</c:v>
                </c:pt>
                <c:pt idx="12">
                  <c:v>0.72</c:v>
                </c:pt>
                <c:pt idx="13">
                  <c:v>0.49</c:v>
                </c:pt>
                <c:pt idx="1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A2-4444-92D5-390CD55F26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94880"/>
        <c:axId val="72796416"/>
      </c:scatterChart>
      <c:valAx>
        <c:axId val="72794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2796416"/>
        <c:crosses val="autoZero"/>
        <c:crossBetween val="midCat"/>
      </c:valAx>
      <c:valAx>
        <c:axId val="72796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279488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089876510475651"/>
          <c:y val="7.4850408826500556E-2"/>
          <c:w val="0.83938892898255346"/>
          <c:h val="0.8023963826200859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'Anillo de fundacion'!$M$39:$M$58</c:f>
              <c:numCache>
                <c:formatCode>0.00</c:formatCode>
                <c:ptCount val="20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</c:numCache>
            </c:numRef>
          </c:xVal>
          <c:yVal>
            <c:numRef>
              <c:f>'Anillo de fundacion'!$N$39:$N$58</c:f>
              <c:numCache>
                <c:formatCode>0.00</c:formatCode>
                <c:ptCount val="20"/>
                <c:pt idx="0">
                  <c:v>1</c:v>
                </c:pt>
                <c:pt idx="1">
                  <c:v>1.2</c:v>
                </c:pt>
                <c:pt idx="2">
                  <c:v>1.4</c:v>
                </c:pt>
                <c:pt idx="3">
                  <c:v>1.6</c:v>
                </c:pt>
                <c:pt idx="4">
                  <c:v>1.8</c:v>
                </c:pt>
                <c:pt idx="5">
                  <c:v>2</c:v>
                </c:pt>
                <c:pt idx="6">
                  <c:v>2.23</c:v>
                </c:pt>
                <c:pt idx="7">
                  <c:v>2.4300000000000002</c:v>
                </c:pt>
                <c:pt idx="8">
                  <c:v>2.76</c:v>
                </c:pt>
                <c:pt idx="9">
                  <c:v>3.11</c:v>
                </c:pt>
                <c:pt idx="10">
                  <c:v>3.55</c:v>
                </c:pt>
                <c:pt idx="11">
                  <c:v>4.1500000000000004</c:v>
                </c:pt>
                <c:pt idx="12">
                  <c:v>4.96</c:v>
                </c:pt>
                <c:pt idx="13">
                  <c:v>6</c:v>
                </c:pt>
                <c:pt idx="14">
                  <c:v>7.43</c:v>
                </c:pt>
                <c:pt idx="15">
                  <c:v>9.93</c:v>
                </c:pt>
                <c:pt idx="16">
                  <c:v>13.87</c:v>
                </c:pt>
                <c:pt idx="17">
                  <c:v>21.08</c:v>
                </c:pt>
                <c:pt idx="18">
                  <c:v>38.25</c:v>
                </c:pt>
                <c:pt idx="19">
                  <c:v>99.1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76-4846-AA4A-5C6641B74F4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'Anillo de fundacion'!$M$39:$M$58</c:f>
              <c:numCache>
                <c:formatCode>0.00</c:formatCode>
                <c:ptCount val="20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</c:numCache>
            </c:numRef>
          </c:xVal>
          <c:yVal>
            <c:numRef>
              <c:f>'Anillo de fundacion'!$O$39:$O$58</c:f>
              <c:numCache>
                <c:formatCode>0.00</c:formatCode>
                <c:ptCount val="20"/>
                <c:pt idx="0">
                  <c:v>1</c:v>
                </c:pt>
                <c:pt idx="1">
                  <c:v>1.1599999999999999</c:v>
                </c:pt>
                <c:pt idx="2">
                  <c:v>1.3199999999999998</c:v>
                </c:pt>
                <c:pt idx="3">
                  <c:v>1.4799999999999998</c:v>
                </c:pt>
                <c:pt idx="4">
                  <c:v>1.6399999999999997</c:v>
                </c:pt>
                <c:pt idx="5">
                  <c:v>1.7999999999999996</c:v>
                </c:pt>
                <c:pt idx="6">
                  <c:v>1.9599999999999995</c:v>
                </c:pt>
                <c:pt idx="7">
                  <c:v>2.1199999999999997</c:v>
                </c:pt>
                <c:pt idx="8">
                  <c:v>2.29</c:v>
                </c:pt>
                <c:pt idx="9">
                  <c:v>2.5099999999999998</c:v>
                </c:pt>
                <c:pt idx="10">
                  <c:v>2.8</c:v>
                </c:pt>
                <c:pt idx="11">
                  <c:v>3.14</c:v>
                </c:pt>
                <c:pt idx="12">
                  <c:v>3.58</c:v>
                </c:pt>
                <c:pt idx="13">
                  <c:v>4.34</c:v>
                </c:pt>
                <c:pt idx="14">
                  <c:v>5.4</c:v>
                </c:pt>
                <c:pt idx="15">
                  <c:v>7.23</c:v>
                </c:pt>
                <c:pt idx="16">
                  <c:v>10.050000000000001</c:v>
                </c:pt>
                <c:pt idx="17">
                  <c:v>15.55</c:v>
                </c:pt>
                <c:pt idx="18">
                  <c:v>30.8</c:v>
                </c:pt>
                <c:pt idx="19">
                  <c:v>72.72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76-4846-AA4A-5C6641B74F4C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'Anillo de fundacion'!$M$39:$M$58</c:f>
              <c:numCache>
                <c:formatCode>0.00</c:formatCode>
                <c:ptCount val="20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</c:numCache>
            </c:numRef>
          </c:xVal>
          <c:yVal>
            <c:numRef>
              <c:f>'Anillo de fundacion'!$P$39:$P$58</c:f>
              <c:numCache>
                <c:formatCode>0.00</c:formatCode>
                <c:ptCount val="20"/>
                <c:pt idx="0">
                  <c:v>1</c:v>
                </c:pt>
                <c:pt idx="1">
                  <c:v>1.1499999999999999</c:v>
                </c:pt>
                <c:pt idx="2">
                  <c:v>1.2999999999999998</c:v>
                </c:pt>
                <c:pt idx="3">
                  <c:v>1.4499999999999997</c:v>
                </c:pt>
                <c:pt idx="4">
                  <c:v>1.59</c:v>
                </c:pt>
                <c:pt idx="5">
                  <c:v>1.73</c:v>
                </c:pt>
                <c:pt idx="6">
                  <c:v>1.88</c:v>
                </c:pt>
                <c:pt idx="7">
                  <c:v>2.04</c:v>
                </c:pt>
                <c:pt idx="8">
                  <c:v>2.2000000000000002</c:v>
                </c:pt>
                <c:pt idx="9">
                  <c:v>2.39</c:v>
                </c:pt>
                <c:pt idx="10">
                  <c:v>2.61</c:v>
                </c:pt>
                <c:pt idx="11">
                  <c:v>2.89</c:v>
                </c:pt>
                <c:pt idx="12">
                  <c:v>3.24</c:v>
                </c:pt>
                <c:pt idx="13">
                  <c:v>3.8</c:v>
                </c:pt>
                <c:pt idx="14">
                  <c:v>4.25</c:v>
                </c:pt>
                <c:pt idx="15">
                  <c:v>5.97</c:v>
                </c:pt>
                <c:pt idx="16">
                  <c:v>8.82</c:v>
                </c:pt>
                <c:pt idx="17">
                  <c:v>13.32</c:v>
                </c:pt>
                <c:pt idx="18">
                  <c:v>25.8</c:v>
                </c:pt>
                <c:pt idx="19">
                  <c:v>62.2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76-4846-AA4A-5C6641B74F4C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'Anillo de fundacion'!$M$39:$M$58</c:f>
              <c:numCache>
                <c:formatCode>0.00</c:formatCode>
                <c:ptCount val="20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</c:numCache>
            </c:numRef>
          </c:xVal>
          <c:yVal>
            <c:numRef>
              <c:f>'Anillo de fundacion'!$Q$39:$Q$58</c:f>
              <c:numCache>
                <c:formatCode>0.00</c:formatCode>
                <c:ptCount val="20"/>
                <c:pt idx="0">
                  <c:v>1</c:v>
                </c:pt>
                <c:pt idx="1">
                  <c:v>1.1299999999999999</c:v>
                </c:pt>
                <c:pt idx="2">
                  <c:v>1.27</c:v>
                </c:pt>
                <c:pt idx="3">
                  <c:v>1.4</c:v>
                </c:pt>
                <c:pt idx="4">
                  <c:v>1.54</c:v>
                </c:pt>
                <c:pt idx="5">
                  <c:v>1.67</c:v>
                </c:pt>
                <c:pt idx="6">
                  <c:v>1.81</c:v>
                </c:pt>
                <c:pt idx="7">
                  <c:v>1.94</c:v>
                </c:pt>
                <c:pt idx="8">
                  <c:v>2.0699999999999998</c:v>
                </c:pt>
                <c:pt idx="9">
                  <c:v>2.23</c:v>
                </c:pt>
                <c:pt idx="10">
                  <c:v>2.42</c:v>
                </c:pt>
                <c:pt idx="11">
                  <c:v>2.67</c:v>
                </c:pt>
                <c:pt idx="12">
                  <c:v>2.92</c:v>
                </c:pt>
                <c:pt idx="13">
                  <c:v>3.3</c:v>
                </c:pt>
                <c:pt idx="14">
                  <c:v>3.8</c:v>
                </c:pt>
                <c:pt idx="15">
                  <c:v>4.8099999999999996</c:v>
                </c:pt>
                <c:pt idx="16">
                  <c:v>6.53</c:v>
                </c:pt>
                <c:pt idx="17">
                  <c:v>10.43</c:v>
                </c:pt>
                <c:pt idx="18">
                  <c:v>19.850000000000001</c:v>
                </c:pt>
                <c:pt idx="19">
                  <c:v>50.2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76-4846-AA4A-5C6641B74F4C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'Anillo de fundacion'!$M$39:$M$58</c:f>
              <c:numCache>
                <c:formatCode>0.00</c:formatCode>
                <c:ptCount val="20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</c:numCache>
            </c:numRef>
          </c:xVal>
          <c:yVal>
            <c:numRef>
              <c:f>'Anillo de fundacion'!$R$39:$R$58</c:f>
              <c:numCache>
                <c:formatCode>0.00</c:formatCode>
                <c:ptCount val="20"/>
                <c:pt idx="0">
                  <c:v>1</c:v>
                </c:pt>
                <c:pt idx="1">
                  <c:v>1.1200000000000001</c:v>
                </c:pt>
                <c:pt idx="2">
                  <c:v>1.2400000000000002</c:v>
                </c:pt>
                <c:pt idx="3">
                  <c:v>1.37</c:v>
                </c:pt>
                <c:pt idx="4">
                  <c:v>1.4900000000000002</c:v>
                </c:pt>
                <c:pt idx="5">
                  <c:v>1.6100000000000003</c:v>
                </c:pt>
                <c:pt idx="6">
                  <c:v>1.7300000000000004</c:v>
                </c:pt>
                <c:pt idx="7">
                  <c:v>1.8500000000000005</c:v>
                </c:pt>
                <c:pt idx="8">
                  <c:v>1.98</c:v>
                </c:pt>
                <c:pt idx="9">
                  <c:v>2.1</c:v>
                </c:pt>
                <c:pt idx="10">
                  <c:v>2.2599999999999998</c:v>
                </c:pt>
                <c:pt idx="11">
                  <c:v>2.42</c:v>
                </c:pt>
                <c:pt idx="12">
                  <c:v>2.64</c:v>
                </c:pt>
                <c:pt idx="13">
                  <c:v>2.95</c:v>
                </c:pt>
                <c:pt idx="14">
                  <c:v>3.33</c:v>
                </c:pt>
                <c:pt idx="15">
                  <c:v>3.93</c:v>
                </c:pt>
                <c:pt idx="16">
                  <c:v>4.93</c:v>
                </c:pt>
                <c:pt idx="17">
                  <c:v>7.16</c:v>
                </c:pt>
                <c:pt idx="18">
                  <c:v>14.6</c:v>
                </c:pt>
                <c:pt idx="19">
                  <c:v>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76-4846-AA4A-5C6641B74F4C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'Anillo de fundacion'!$M$39:$M$58</c:f>
              <c:numCache>
                <c:formatCode>0.00</c:formatCode>
                <c:ptCount val="20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</c:numCache>
            </c:numRef>
          </c:xVal>
          <c:yVal>
            <c:numRef>
              <c:f>'Anillo de fundacion'!$S$39:$S$58</c:f>
              <c:numCache>
                <c:formatCode>0.00</c:formatCode>
                <c:ptCount val="20"/>
                <c:pt idx="0">
                  <c:v>1</c:v>
                </c:pt>
                <c:pt idx="1">
                  <c:v>1.1100000000000001</c:v>
                </c:pt>
                <c:pt idx="2">
                  <c:v>1.2200000000000002</c:v>
                </c:pt>
                <c:pt idx="3">
                  <c:v>1.3300000000000003</c:v>
                </c:pt>
                <c:pt idx="4">
                  <c:v>1.4400000000000004</c:v>
                </c:pt>
                <c:pt idx="5">
                  <c:v>1.5500000000000005</c:v>
                </c:pt>
                <c:pt idx="6">
                  <c:v>1.6600000000000006</c:v>
                </c:pt>
                <c:pt idx="7">
                  <c:v>1.7700000000000007</c:v>
                </c:pt>
                <c:pt idx="8">
                  <c:v>1.8800000000000008</c:v>
                </c:pt>
                <c:pt idx="9">
                  <c:v>1.9900000000000009</c:v>
                </c:pt>
                <c:pt idx="10">
                  <c:v>2.100000000000001</c:v>
                </c:pt>
                <c:pt idx="11">
                  <c:v>2.25</c:v>
                </c:pt>
                <c:pt idx="12">
                  <c:v>2.42</c:v>
                </c:pt>
                <c:pt idx="13">
                  <c:v>2.64</c:v>
                </c:pt>
                <c:pt idx="14">
                  <c:v>2.95</c:v>
                </c:pt>
                <c:pt idx="15">
                  <c:v>3.33</c:v>
                </c:pt>
                <c:pt idx="16">
                  <c:v>3.96</c:v>
                </c:pt>
                <c:pt idx="17">
                  <c:v>4.9000000000000004</c:v>
                </c:pt>
                <c:pt idx="18">
                  <c:v>7.13</c:v>
                </c:pt>
                <c:pt idx="19">
                  <c:v>19.8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F76-4846-AA4A-5C6641B74F4C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'Anillo de fundacion'!$M$39:$M$58</c:f>
              <c:numCache>
                <c:formatCode>0.00</c:formatCode>
                <c:ptCount val="20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</c:numCache>
            </c:numRef>
          </c:xVal>
          <c:yVal>
            <c:numRef>
              <c:f>'Anillo de fundacion'!$T$39:$T$58</c:f>
              <c:numCache>
                <c:formatCode>0.00</c:formatCode>
                <c:ptCount val="2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2.17</c:v>
                </c:pt>
                <c:pt idx="12">
                  <c:v>2.2000000000000002</c:v>
                </c:pt>
                <c:pt idx="13">
                  <c:v>2.42</c:v>
                </c:pt>
                <c:pt idx="14">
                  <c:v>2.54</c:v>
                </c:pt>
                <c:pt idx="15">
                  <c:v>2.89</c:v>
                </c:pt>
                <c:pt idx="16">
                  <c:v>3.27</c:v>
                </c:pt>
                <c:pt idx="17">
                  <c:v>3.77</c:v>
                </c:pt>
                <c:pt idx="18">
                  <c:v>4.71</c:v>
                </c:pt>
                <c:pt idx="19">
                  <c:v>6.72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F76-4846-AA4A-5C6641B74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545856"/>
        <c:axId val="101547392"/>
      </c:scatterChart>
      <c:valAx>
        <c:axId val="101545856"/>
        <c:scaling>
          <c:orientation val="minMax"/>
          <c:max val="0.95"/>
          <c:min val="0.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01547392"/>
        <c:crosses val="autoZero"/>
        <c:crossBetween val="midCat"/>
      </c:valAx>
      <c:valAx>
        <c:axId val="101547392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015458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'Anillo de fundacion'!$AF$20:$AF$60</c:f>
              <c:numCache>
                <c:formatCode>0.00</c:formatCode>
                <c:ptCount val="41"/>
                <c:pt idx="0">
                  <c:v>6</c:v>
                </c:pt>
                <c:pt idx="1">
                  <c:v>5.9261300435708266</c:v>
                </c:pt>
                <c:pt idx="2">
                  <c:v>5.706339097770921</c:v>
                </c:pt>
                <c:pt idx="3">
                  <c:v>5.3460391451302076</c:v>
                </c:pt>
                <c:pt idx="4">
                  <c:v>4.8541019662496847</c:v>
                </c:pt>
                <c:pt idx="5">
                  <c:v>4.2426406871192857</c:v>
                </c:pt>
                <c:pt idx="6">
                  <c:v>3.5267115137548388</c:v>
                </c:pt>
                <c:pt idx="7">
                  <c:v>2.7239429984372809</c:v>
                </c:pt>
                <c:pt idx="8">
                  <c:v>1.8541019662496847</c:v>
                </c:pt>
                <c:pt idx="9">
                  <c:v>0.93860679024138549</c:v>
                </c:pt>
                <c:pt idx="10">
                  <c:v>3.67544536472586E-16</c:v>
                </c:pt>
                <c:pt idx="11">
                  <c:v>-0.93860679024138483</c:v>
                </c:pt>
                <c:pt idx="12">
                  <c:v>-1.854101966249684</c:v>
                </c:pt>
                <c:pt idx="13">
                  <c:v>-2.72394299843728</c:v>
                </c:pt>
                <c:pt idx="14">
                  <c:v>-3.5267115137548384</c:v>
                </c:pt>
                <c:pt idx="15">
                  <c:v>-4.2426406871192848</c:v>
                </c:pt>
                <c:pt idx="16">
                  <c:v>-4.8541019662496838</c:v>
                </c:pt>
                <c:pt idx="17">
                  <c:v>-5.3460391451302067</c:v>
                </c:pt>
                <c:pt idx="18">
                  <c:v>-5.706339097770921</c:v>
                </c:pt>
                <c:pt idx="19">
                  <c:v>-5.9261300435708257</c:v>
                </c:pt>
                <c:pt idx="20">
                  <c:v>-6</c:v>
                </c:pt>
                <c:pt idx="21">
                  <c:v>-5.9261300435708266</c:v>
                </c:pt>
                <c:pt idx="22">
                  <c:v>-5.7063390977709219</c:v>
                </c:pt>
                <c:pt idx="23">
                  <c:v>-5.3460391451302076</c:v>
                </c:pt>
                <c:pt idx="24">
                  <c:v>-4.8541019662496856</c:v>
                </c:pt>
                <c:pt idx="25">
                  <c:v>-4.2426406871192857</c:v>
                </c:pt>
                <c:pt idx="26">
                  <c:v>-3.5267115137548393</c:v>
                </c:pt>
                <c:pt idx="27">
                  <c:v>-2.7239429984372814</c:v>
                </c:pt>
                <c:pt idx="28">
                  <c:v>-1.8541019662496854</c:v>
                </c:pt>
                <c:pt idx="29">
                  <c:v>-0.93860679024138616</c:v>
                </c:pt>
                <c:pt idx="30">
                  <c:v>-1.102633609417758E-15</c:v>
                </c:pt>
                <c:pt idx="31">
                  <c:v>0.93860679024138405</c:v>
                </c:pt>
                <c:pt idx="32">
                  <c:v>1.8541019662496834</c:v>
                </c:pt>
                <c:pt idx="33">
                  <c:v>2.7239429984372796</c:v>
                </c:pt>
                <c:pt idx="34">
                  <c:v>3.5267115137548375</c:v>
                </c:pt>
                <c:pt idx="35">
                  <c:v>4.2426406871192839</c:v>
                </c:pt>
                <c:pt idx="36">
                  <c:v>4.8541019662496838</c:v>
                </c:pt>
                <c:pt idx="37">
                  <c:v>5.3460391451302067</c:v>
                </c:pt>
                <c:pt idx="38">
                  <c:v>5.706339097770921</c:v>
                </c:pt>
                <c:pt idx="39">
                  <c:v>5.9261300435708257</c:v>
                </c:pt>
                <c:pt idx="40">
                  <c:v>6</c:v>
                </c:pt>
              </c:numCache>
            </c:numRef>
          </c:xVal>
          <c:yVal>
            <c:numRef>
              <c:f>'Anillo de fundacion'!$AG$20:$AG$60</c:f>
              <c:numCache>
                <c:formatCode>0.00</c:formatCode>
                <c:ptCount val="41"/>
                <c:pt idx="0">
                  <c:v>0</c:v>
                </c:pt>
                <c:pt idx="1">
                  <c:v>0.93860679024138527</c:v>
                </c:pt>
                <c:pt idx="2">
                  <c:v>1.8541019662496843</c:v>
                </c:pt>
                <c:pt idx="3">
                  <c:v>2.7239429984372805</c:v>
                </c:pt>
                <c:pt idx="4">
                  <c:v>3.5267115137548388</c:v>
                </c:pt>
                <c:pt idx="5">
                  <c:v>4.2426406871192848</c:v>
                </c:pt>
                <c:pt idx="6">
                  <c:v>4.8541019662496847</c:v>
                </c:pt>
                <c:pt idx="7">
                  <c:v>5.3460391451302067</c:v>
                </c:pt>
                <c:pt idx="8">
                  <c:v>5.706339097770921</c:v>
                </c:pt>
                <c:pt idx="9">
                  <c:v>5.9261300435708266</c:v>
                </c:pt>
                <c:pt idx="10">
                  <c:v>6</c:v>
                </c:pt>
                <c:pt idx="11">
                  <c:v>5.9261300435708266</c:v>
                </c:pt>
                <c:pt idx="12">
                  <c:v>5.7063390977709219</c:v>
                </c:pt>
                <c:pt idx="13">
                  <c:v>5.3460391451302076</c:v>
                </c:pt>
                <c:pt idx="14">
                  <c:v>4.8541019662496847</c:v>
                </c:pt>
                <c:pt idx="15">
                  <c:v>4.2426406871192857</c:v>
                </c:pt>
                <c:pt idx="16">
                  <c:v>3.5267115137548393</c:v>
                </c:pt>
                <c:pt idx="17">
                  <c:v>2.7239429984372814</c:v>
                </c:pt>
                <c:pt idx="18">
                  <c:v>1.8541019662496852</c:v>
                </c:pt>
                <c:pt idx="19">
                  <c:v>0.93860679024138594</c:v>
                </c:pt>
                <c:pt idx="20">
                  <c:v>7.3508907294517201E-16</c:v>
                </c:pt>
                <c:pt idx="21">
                  <c:v>-0.93860679024138438</c:v>
                </c:pt>
                <c:pt idx="22">
                  <c:v>-1.8541019662496838</c:v>
                </c:pt>
                <c:pt idx="23">
                  <c:v>-2.72394299843728</c:v>
                </c:pt>
                <c:pt idx="24">
                  <c:v>-3.5267115137548384</c:v>
                </c:pt>
                <c:pt idx="25">
                  <c:v>-4.2426406871192848</c:v>
                </c:pt>
                <c:pt idx="26">
                  <c:v>-4.8541019662496838</c:v>
                </c:pt>
                <c:pt idx="27">
                  <c:v>-5.3460391451302067</c:v>
                </c:pt>
                <c:pt idx="28">
                  <c:v>-5.706339097770921</c:v>
                </c:pt>
                <c:pt idx="29">
                  <c:v>-5.9261300435708257</c:v>
                </c:pt>
                <c:pt idx="30">
                  <c:v>-6</c:v>
                </c:pt>
                <c:pt idx="31">
                  <c:v>-5.9261300435708266</c:v>
                </c:pt>
                <c:pt idx="32">
                  <c:v>-5.7063390977709219</c:v>
                </c:pt>
                <c:pt idx="33">
                  <c:v>-5.3460391451302076</c:v>
                </c:pt>
                <c:pt idx="34">
                  <c:v>-4.8541019662496856</c:v>
                </c:pt>
                <c:pt idx="35">
                  <c:v>-4.2426406871192857</c:v>
                </c:pt>
                <c:pt idx="36">
                  <c:v>-3.5267115137548402</c:v>
                </c:pt>
                <c:pt idx="37">
                  <c:v>-2.7239429984372818</c:v>
                </c:pt>
                <c:pt idx="38">
                  <c:v>-1.8541019662496856</c:v>
                </c:pt>
                <c:pt idx="39">
                  <c:v>-0.93860679024138671</c:v>
                </c:pt>
                <c:pt idx="40">
                  <c:v>-1.470178145890344E-15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AA-4420-821A-C1B58B68CFC1}"/>
            </c:ext>
          </c:extLst>
        </c:ser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'Anillo de fundacion'!$AH$20:$AH$60</c:f>
              <c:numCache>
                <c:formatCode>0.00</c:formatCode>
                <c:ptCount val="41"/>
                <c:pt idx="0">
                  <c:v>4</c:v>
                </c:pt>
                <c:pt idx="1">
                  <c:v>3.9507533623805511</c:v>
                </c:pt>
                <c:pt idx="2">
                  <c:v>3.8042260651806141</c:v>
                </c:pt>
                <c:pt idx="3">
                  <c:v>3.5640260967534716</c:v>
                </c:pt>
                <c:pt idx="4">
                  <c:v>3.2360679774997898</c:v>
                </c:pt>
                <c:pt idx="5">
                  <c:v>2.8284271247461903</c:v>
                </c:pt>
                <c:pt idx="6">
                  <c:v>2.3511410091698925</c:v>
                </c:pt>
                <c:pt idx="7">
                  <c:v>1.8159619989581872</c:v>
                </c:pt>
                <c:pt idx="8">
                  <c:v>1.2360679774997898</c:v>
                </c:pt>
                <c:pt idx="9">
                  <c:v>0.6257378601609237</c:v>
                </c:pt>
                <c:pt idx="10">
                  <c:v>2.45029690981724E-16</c:v>
                </c:pt>
                <c:pt idx="11">
                  <c:v>-0.62573786016092325</c:v>
                </c:pt>
                <c:pt idx="12">
                  <c:v>-1.2360679774997894</c:v>
                </c:pt>
                <c:pt idx="13">
                  <c:v>-1.8159619989581868</c:v>
                </c:pt>
                <c:pt idx="14">
                  <c:v>-2.3511410091698921</c:v>
                </c:pt>
                <c:pt idx="15">
                  <c:v>-2.8284271247461898</c:v>
                </c:pt>
                <c:pt idx="16">
                  <c:v>-3.2360679774997894</c:v>
                </c:pt>
                <c:pt idx="17">
                  <c:v>-3.5640260967534712</c:v>
                </c:pt>
                <c:pt idx="18">
                  <c:v>-3.8042260651806141</c:v>
                </c:pt>
                <c:pt idx="19">
                  <c:v>-3.9507533623805506</c:v>
                </c:pt>
                <c:pt idx="20">
                  <c:v>-4</c:v>
                </c:pt>
                <c:pt idx="21">
                  <c:v>-3.9507533623805511</c:v>
                </c:pt>
                <c:pt idx="22">
                  <c:v>-3.8042260651806146</c:v>
                </c:pt>
                <c:pt idx="23">
                  <c:v>-3.5640260967534716</c:v>
                </c:pt>
                <c:pt idx="24">
                  <c:v>-3.2360679774997902</c:v>
                </c:pt>
                <c:pt idx="25">
                  <c:v>-2.8284271247461907</c:v>
                </c:pt>
                <c:pt idx="26">
                  <c:v>-2.351141009169893</c:v>
                </c:pt>
                <c:pt idx="27">
                  <c:v>-1.8159619989581877</c:v>
                </c:pt>
                <c:pt idx="28">
                  <c:v>-1.2360679774997902</c:v>
                </c:pt>
                <c:pt idx="29">
                  <c:v>-0.62573786016092414</c:v>
                </c:pt>
                <c:pt idx="30">
                  <c:v>-7.3508907294517201E-16</c:v>
                </c:pt>
                <c:pt idx="31">
                  <c:v>0.6257378601609227</c:v>
                </c:pt>
                <c:pt idx="32">
                  <c:v>1.2360679774997889</c:v>
                </c:pt>
                <c:pt idx="33">
                  <c:v>1.8159619989581866</c:v>
                </c:pt>
                <c:pt idx="34">
                  <c:v>2.3511410091698917</c:v>
                </c:pt>
                <c:pt idx="35">
                  <c:v>2.8284271247461894</c:v>
                </c:pt>
                <c:pt idx="36">
                  <c:v>3.2360679774997894</c:v>
                </c:pt>
                <c:pt idx="37">
                  <c:v>3.5640260967534712</c:v>
                </c:pt>
                <c:pt idx="38">
                  <c:v>3.8042260651806141</c:v>
                </c:pt>
                <c:pt idx="39">
                  <c:v>3.9507533623805506</c:v>
                </c:pt>
                <c:pt idx="40">
                  <c:v>4</c:v>
                </c:pt>
              </c:numCache>
            </c:numRef>
          </c:xVal>
          <c:yVal>
            <c:numRef>
              <c:f>'Anillo de fundacion'!$AI$20:$AI$60</c:f>
              <c:numCache>
                <c:formatCode>0.00</c:formatCode>
                <c:ptCount val="41"/>
                <c:pt idx="0">
                  <c:v>0</c:v>
                </c:pt>
                <c:pt idx="1">
                  <c:v>0.62573786016092348</c:v>
                </c:pt>
                <c:pt idx="2">
                  <c:v>1.2360679774997896</c:v>
                </c:pt>
                <c:pt idx="3">
                  <c:v>1.815961998958187</c:v>
                </c:pt>
                <c:pt idx="4">
                  <c:v>2.3511410091698925</c:v>
                </c:pt>
                <c:pt idx="5">
                  <c:v>2.8284271247461898</c:v>
                </c:pt>
                <c:pt idx="6">
                  <c:v>3.2360679774997898</c:v>
                </c:pt>
                <c:pt idx="7">
                  <c:v>3.5640260967534712</c:v>
                </c:pt>
                <c:pt idx="8">
                  <c:v>3.8042260651806141</c:v>
                </c:pt>
                <c:pt idx="9">
                  <c:v>3.9507533623805511</c:v>
                </c:pt>
                <c:pt idx="10">
                  <c:v>4</c:v>
                </c:pt>
                <c:pt idx="11">
                  <c:v>3.9507533623805511</c:v>
                </c:pt>
                <c:pt idx="12">
                  <c:v>3.8042260651806146</c:v>
                </c:pt>
                <c:pt idx="13">
                  <c:v>3.5640260967534716</c:v>
                </c:pt>
                <c:pt idx="14">
                  <c:v>3.2360679774997898</c:v>
                </c:pt>
                <c:pt idx="15">
                  <c:v>2.8284271247461903</c:v>
                </c:pt>
                <c:pt idx="16">
                  <c:v>2.351141009169893</c:v>
                </c:pt>
                <c:pt idx="17">
                  <c:v>1.8159619989581874</c:v>
                </c:pt>
                <c:pt idx="18">
                  <c:v>1.23606797749979</c:v>
                </c:pt>
                <c:pt idx="19">
                  <c:v>0.62573786016092392</c:v>
                </c:pt>
                <c:pt idx="20">
                  <c:v>4.90059381963448E-16</c:v>
                </c:pt>
                <c:pt idx="21">
                  <c:v>-0.62573786016092292</c:v>
                </c:pt>
                <c:pt idx="22">
                  <c:v>-1.2360679774997891</c:v>
                </c:pt>
                <c:pt idx="23">
                  <c:v>-1.8159619989581868</c:v>
                </c:pt>
                <c:pt idx="24">
                  <c:v>-2.3511410091698921</c:v>
                </c:pt>
                <c:pt idx="25">
                  <c:v>-2.8284271247461898</c:v>
                </c:pt>
                <c:pt idx="26">
                  <c:v>-3.2360679774997894</c:v>
                </c:pt>
                <c:pt idx="27">
                  <c:v>-3.5640260967534712</c:v>
                </c:pt>
                <c:pt idx="28">
                  <c:v>-3.8042260651806141</c:v>
                </c:pt>
                <c:pt idx="29">
                  <c:v>-3.9507533623805506</c:v>
                </c:pt>
                <c:pt idx="30">
                  <c:v>-4</c:v>
                </c:pt>
                <c:pt idx="31">
                  <c:v>-3.9507533623805511</c:v>
                </c:pt>
                <c:pt idx="32">
                  <c:v>-3.8042260651806146</c:v>
                </c:pt>
                <c:pt idx="33">
                  <c:v>-3.5640260967534716</c:v>
                </c:pt>
                <c:pt idx="34">
                  <c:v>-3.2360679774997902</c:v>
                </c:pt>
                <c:pt idx="35">
                  <c:v>-2.8284271247461907</c:v>
                </c:pt>
                <c:pt idx="36">
                  <c:v>-2.3511410091698934</c:v>
                </c:pt>
                <c:pt idx="37">
                  <c:v>-1.8159619989581879</c:v>
                </c:pt>
                <c:pt idx="38">
                  <c:v>-1.2360679774997905</c:v>
                </c:pt>
                <c:pt idx="39">
                  <c:v>-0.62573786016092448</c:v>
                </c:pt>
                <c:pt idx="40">
                  <c:v>-9.8011876392689601E-16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AA-4420-821A-C1B58B68CFC1}"/>
            </c:ext>
          </c:extLst>
        </c:ser>
        <c:ser>
          <c:idx val="2"/>
          <c:order val="2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'Anillo de fundacion'!$AJ$20:$AJ$21</c:f>
              <c:numCache>
                <c:formatCode>0.00</c:formatCode>
                <c:ptCount val="2"/>
                <c:pt idx="0">
                  <c:v>-5.4359999999999999</c:v>
                </c:pt>
                <c:pt idx="1">
                  <c:v>-5.4359999999999999</c:v>
                </c:pt>
              </c:numCache>
            </c:numRef>
          </c:xVal>
          <c:yVal>
            <c:numRef>
              <c:f>'Anillo de fundacion'!$AK$20:$AK$21</c:f>
              <c:numCache>
                <c:formatCode>0.00</c:formatCode>
                <c:ptCount val="2"/>
                <c:pt idx="0">
                  <c:v>2.5067582825279491</c:v>
                </c:pt>
                <c:pt idx="1">
                  <c:v>4.90059381963448E-16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AA-4420-821A-C1B58B68CFC1}"/>
            </c:ext>
          </c:extLst>
        </c:ser>
        <c:ser>
          <c:idx val="3"/>
          <c:order val="3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'Anillo de fundacion'!$AJ$22:$AJ$23</c:f>
              <c:numCache>
                <c:formatCode>0.00</c:formatCode>
                <c:ptCount val="2"/>
                <c:pt idx="0">
                  <c:v>-5.4359999999999999</c:v>
                </c:pt>
                <c:pt idx="1">
                  <c:v>-5.4359999999999999</c:v>
                </c:pt>
              </c:numCache>
            </c:numRef>
          </c:xVal>
          <c:yVal>
            <c:numRef>
              <c:f>'Anillo de fundacion'!$AK$22:$AK$23</c:f>
              <c:numCache>
                <c:formatCode>0.00</c:formatCode>
                <c:ptCount val="2"/>
                <c:pt idx="0">
                  <c:v>-4.90059381963448E-16</c:v>
                </c:pt>
                <c:pt idx="1">
                  <c:v>-2.5067582825279491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8AA-4420-821A-C1B58B68C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841728"/>
        <c:axId val="102843520"/>
      </c:scatterChart>
      <c:valAx>
        <c:axId val="102841728"/>
        <c:scaling>
          <c:orientation val="minMax"/>
          <c:max val="6.6000000000000005"/>
          <c:min val="-6.6000000000000005"/>
        </c:scaling>
        <c:delete val="0"/>
        <c:axPos val="b"/>
        <c:numFmt formatCode="#,#00" sourceLinked="0"/>
        <c:majorTickMark val="out"/>
        <c:minorTickMark val="none"/>
        <c:tickLblPos val="nextTo"/>
        <c:crossAx val="102843520"/>
        <c:crosses val="autoZero"/>
        <c:crossBetween val="midCat"/>
      </c:valAx>
      <c:valAx>
        <c:axId val="102843520"/>
        <c:scaling>
          <c:orientation val="minMax"/>
          <c:max val="6.6000000000000005"/>
          <c:min val="-6.6000000000000005"/>
        </c:scaling>
        <c:delete val="0"/>
        <c:axPos val="l"/>
        <c:majorGridlines>
          <c:spPr>
            <a:ln>
              <a:noFill/>
            </a:ln>
          </c:spPr>
        </c:majorGridlines>
        <c:numFmt formatCode="#,#00" sourceLinked="0"/>
        <c:majorTickMark val="out"/>
        <c:minorTickMark val="none"/>
        <c:tickLblPos val="nextTo"/>
        <c:crossAx val="102841728"/>
        <c:crosses val="autoZero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image" Target="../media/image4.jpeg"/><Relationship Id="rId5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</xdr:colOff>
      <xdr:row>58</xdr:row>
      <xdr:rowOff>38100</xdr:rowOff>
    </xdr:from>
    <xdr:to>
      <xdr:col>18</xdr:col>
      <xdr:colOff>581025</xdr:colOff>
      <xdr:row>83</xdr:row>
      <xdr:rowOff>76200</xdr:rowOff>
    </xdr:to>
    <xdr:pic>
      <xdr:nvPicPr>
        <xdr:cNvPr id="1573997" name="Picture 5">
          <a:extLst>
            <a:ext uri="{FF2B5EF4-FFF2-40B4-BE49-F238E27FC236}">
              <a16:creationId xmlns:a16="http://schemas.microsoft.com/office/drawing/2014/main" id="{00000000-0008-0000-0300-00006D0418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05950" y="8629650"/>
          <a:ext cx="2466975" cy="3619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21</xdr:col>
      <xdr:colOff>200025</xdr:colOff>
      <xdr:row>16</xdr:row>
      <xdr:rowOff>152400</xdr:rowOff>
    </xdr:from>
    <xdr:to>
      <xdr:col>28</xdr:col>
      <xdr:colOff>647700</xdr:colOff>
      <xdr:row>34</xdr:row>
      <xdr:rowOff>28575</xdr:rowOff>
    </xdr:to>
    <xdr:graphicFrame macro="">
      <xdr:nvGraphicFramePr>
        <xdr:cNvPr id="1573998" name="Gráfico 7">
          <a:extLst>
            <a:ext uri="{FF2B5EF4-FFF2-40B4-BE49-F238E27FC236}">
              <a16:creationId xmlns:a16="http://schemas.microsoft.com/office/drawing/2014/main" id="{00000000-0008-0000-0300-00006E041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200025</xdr:colOff>
      <xdr:row>35</xdr:row>
      <xdr:rowOff>161925</xdr:rowOff>
    </xdr:from>
    <xdr:to>
      <xdr:col>28</xdr:col>
      <xdr:colOff>647700</xdr:colOff>
      <xdr:row>58</xdr:row>
      <xdr:rowOff>19050</xdr:rowOff>
    </xdr:to>
    <xdr:graphicFrame macro="">
      <xdr:nvGraphicFramePr>
        <xdr:cNvPr id="1573999" name="Gráfico 10">
          <a:extLst>
            <a:ext uri="{FF2B5EF4-FFF2-40B4-BE49-F238E27FC236}">
              <a16:creationId xmlns:a16="http://schemas.microsoft.com/office/drawing/2014/main" id="{00000000-0008-0000-0300-00006F041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381000</xdr:colOff>
      <xdr:row>11</xdr:row>
      <xdr:rowOff>19050</xdr:rowOff>
    </xdr:from>
    <xdr:to>
      <xdr:col>11</xdr:col>
      <xdr:colOff>447675</xdr:colOff>
      <xdr:row>27</xdr:row>
      <xdr:rowOff>28575</xdr:rowOff>
    </xdr:to>
    <xdr:pic>
      <xdr:nvPicPr>
        <xdr:cNvPr id="1574001" name="Picture 92">
          <a:extLst>
            <a:ext uri="{FF2B5EF4-FFF2-40B4-BE49-F238E27FC236}">
              <a16:creationId xmlns:a16="http://schemas.microsoft.com/office/drawing/2014/main" id="{00000000-0008-0000-0300-0000710418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11" t="17491" r="13055" b="16502"/>
        <a:stretch>
          <a:fillRect/>
        </a:stretch>
      </xdr:blipFill>
      <xdr:spPr bwMode="auto">
        <a:xfrm>
          <a:off x="4000500" y="1800225"/>
          <a:ext cx="3305175" cy="2343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442921</xdr:colOff>
          <xdr:row>31</xdr:row>
          <xdr:rowOff>9536</xdr:rowOff>
        </xdr:from>
        <xdr:to>
          <xdr:col>11</xdr:col>
          <xdr:colOff>361951</xdr:colOff>
          <xdr:row>54</xdr:row>
          <xdr:rowOff>33339</xdr:rowOff>
        </xdr:to>
        <xdr:pic>
          <xdr:nvPicPr>
            <xdr:cNvPr id="9" name="8 Imagen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Grafico Anillo de fundacion'!$C$9:$H$30" spid="_x0000_s15456"/>
                </a:ext>
              </a:extLst>
            </xdr:cNvPicPr>
          </xdr:nvPicPr>
          <xdr:blipFill rotWithShape="1">
            <a:blip xmlns:r="http://schemas.openxmlformats.org/officeDocument/2006/relationships" r:embed="rId5"/>
            <a:srcRect r="16943" b="6267"/>
            <a:stretch>
              <a:fillRect/>
            </a:stretch>
          </xdr:blipFill>
          <xdr:spPr bwMode="auto">
            <a:xfrm>
              <a:off x="3414721" y="4695836"/>
              <a:ext cx="3805230" cy="33480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31</xdr:row>
          <xdr:rowOff>19050</xdr:rowOff>
        </xdr:from>
        <xdr:to>
          <xdr:col>11</xdr:col>
          <xdr:colOff>428625</xdr:colOff>
          <xdr:row>33</xdr:row>
          <xdr:rowOff>57150</xdr:rowOff>
        </xdr:to>
        <xdr:sp macro="" textlink="">
          <xdr:nvSpPr>
            <xdr:cNvPr id="15391" name="Button 31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0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Gráfico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76200</xdr:colOff>
      <xdr:row>1</xdr:row>
      <xdr:rowOff>57150</xdr:rowOff>
    </xdr:from>
    <xdr:to>
      <xdr:col>3</xdr:col>
      <xdr:colOff>580800</xdr:colOff>
      <xdr:row>4</xdr:row>
      <xdr:rowOff>44872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26F73E8-D57F-4405-B33A-1FB88AE8C9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62" t="7713" r="28530" b="73072"/>
        <a:stretch/>
      </xdr:blipFill>
      <xdr:spPr>
        <a:xfrm>
          <a:off x="457200" y="209550"/>
          <a:ext cx="1800000" cy="4449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0</xdr:rowOff>
    </xdr:from>
    <xdr:to>
      <xdr:col>7</xdr:col>
      <xdr:colOff>9525</xdr:colOff>
      <xdr:row>28</xdr:row>
      <xdr:rowOff>119065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B1:CM72"/>
  <sheetViews>
    <sheetView tabSelected="1" view="pageBreakPreview" zoomScale="120" zoomScaleNormal="75" zoomScaleSheetLayoutView="120" workbookViewId="0">
      <selection activeCell="C8" sqref="C8:K8"/>
    </sheetView>
  </sheetViews>
  <sheetFormatPr baseColWidth="10" defaultColWidth="9.7109375" defaultRowHeight="11.25" x14ac:dyDescent="0.2"/>
  <cols>
    <col min="1" max="1" width="5.7109375" style="7" customWidth="1"/>
    <col min="2" max="12" width="9.7109375" style="5" customWidth="1"/>
    <col min="13" max="61" width="9.7109375" style="6" customWidth="1"/>
    <col min="62" max="67" width="9.7109375" style="5" customWidth="1"/>
    <col min="68" max="16384" width="9.7109375" style="7"/>
  </cols>
  <sheetData>
    <row r="1" spans="2:91" s="2" customFormat="1" ht="12" customHeight="1" x14ac:dyDescent="0.2">
      <c r="B1" s="98"/>
      <c r="C1" s="99"/>
      <c r="D1" s="100"/>
      <c r="E1" s="78" t="s">
        <v>67</v>
      </c>
      <c r="F1" s="79"/>
      <c r="G1" s="79"/>
      <c r="H1" s="79"/>
      <c r="I1" s="79"/>
      <c r="J1" s="80" t="s">
        <v>68</v>
      </c>
      <c r="K1" s="79"/>
      <c r="L1" s="81"/>
      <c r="O1" s="3"/>
      <c r="P1" s="3"/>
      <c r="Q1" s="4"/>
      <c r="R1" s="4"/>
      <c r="S1" s="4"/>
      <c r="T1" s="3"/>
      <c r="U1" s="3"/>
      <c r="V1" s="3"/>
      <c r="W1" s="3"/>
      <c r="X1" s="3"/>
      <c r="Y1" s="3"/>
      <c r="Z1" s="3"/>
      <c r="AA1" s="3"/>
      <c r="AB1" s="3"/>
      <c r="AC1" s="3"/>
      <c r="AD1" s="4"/>
      <c r="AE1" s="4"/>
      <c r="AF1" s="4"/>
      <c r="AG1" s="4"/>
      <c r="AH1" s="4"/>
      <c r="AI1" s="4"/>
      <c r="AJ1" s="4"/>
      <c r="AK1" s="4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</row>
    <row r="2" spans="2:91" s="2" customFormat="1" ht="12" customHeight="1" thickBot="1" x14ac:dyDescent="0.25">
      <c r="B2" s="101"/>
      <c r="C2" s="102"/>
      <c r="D2" s="103"/>
      <c r="E2" s="82"/>
      <c r="F2" s="83"/>
      <c r="G2" s="82"/>
      <c r="H2" s="82"/>
      <c r="I2" s="82"/>
      <c r="J2" s="84"/>
      <c r="K2" s="82"/>
      <c r="L2" s="85"/>
      <c r="O2" s="3"/>
      <c r="P2" s="3"/>
      <c r="Q2" s="4"/>
      <c r="R2" s="4"/>
      <c r="S2" s="4"/>
      <c r="T2" s="3"/>
      <c r="U2" s="3"/>
      <c r="V2" s="3"/>
      <c r="W2" s="3"/>
      <c r="X2" s="3"/>
      <c r="Y2" s="3"/>
      <c r="Z2" s="3"/>
      <c r="AA2" s="3"/>
      <c r="AB2" s="3"/>
      <c r="AC2" s="3"/>
      <c r="AD2" s="4"/>
      <c r="AE2" s="4"/>
      <c r="AF2" s="4"/>
      <c r="AG2" s="4"/>
      <c r="AH2" s="4"/>
      <c r="AI2" s="4"/>
      <c r="AJ2" s="4"/>
      <c r="AK2" s="4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</row>
    <row r="3" spans="2:91" s="2" customFormat="1" ht="12" customHeight="1" thickBot="1" x14ac:dyDescent="0.25">
      <c r="B3" s="101"/>
      <c r="C3" s="102"/>
      <c r="D3" s="103"/>
      <c r="E3" s="86" t="s">
        <v>69</v>
      </c>
      <c r="F3" s="87"/>
      <c r="G3" s="88">
        <v>0</v>
      </c>
      <c r="H3" s="88">
        <v>1</v>
      </c>
      <c r="I3" s="88">
        <v>2</v>
      </c>
      <c r="J3" s="88">
        <v>3</v>
      </c>
      <c r="K3" s="89"/>
      <c r="L3" s="81"/>
      <c r="O3" s="3"/>
      <c r="P3" s="3"/>
      <c r="Q3" s="4"/>
      <c r="R3" s="4"/>
      <c r="S3" s="4"/>
      <c r="T3" s="3"/>
      <c r="U3" s="3"/>
      <c r="V3" s="3"/>
      <c r="W3" s="3"/>
      <c r="X3" s="3"/>
      <c r="Y3" s="3"/>
      <c r="Z3" s="3"/>
      <c r="AA3" s="3"/>
      <c r="AB3" s="3"/>
      <c r="AC3" s="3"/>
      <c r="AD3" s="4"/>
      <c r="AE3" s="4"/>
      <c r="AF3" s="4"/>
      <c r="AG3" s="4"/>
      <c r="AH3" s="4"/>
      <c r="AI3" s="4"/>
      <c r="AJ3" s="4"/>
      <c r="AK3" s="4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</row>
    <row r="4" spans="2:91" s="2" customFormat="1" ht="12" customHeight="1" thickBot="1" x14ac:dyDescent="0.25">
      <c r="B4" s="110"/>
      <c r="C4" s="111"/>
      <c r="D4" s="112"/>
      <c r="E4" s="90" t="s">
        <v>70</v>
      </c>
      <c r="F4" s="87"/>
      <c r="G4" s="91"/>
      <c r="H4" s="92"/>
      <c r="I4" s="92"/>
      <c r="J4" s="92"/>
      <c r="K4" s="93" t="s">
        <v>71</v>
      </c>
      <c r="L4" s="94" t="s">
        <v>72</v>
      </c>
      <c r="O4" s="3"/>
      <c r="P4" s="3"/>
      <c r="Q4" s="4"/>
      <c r="R4" s="4"/>
      <c r="S4" s="4"/>
      <c r="T4" s="3"/>
      <c r="U4" s="3"/>
      <c r="V4" s="3"/>
      <c r="W4" s="3"/>
      <c r="X4" s="3"/>
      <c r="Y4" s="3"/>
      <c r="Z4" s="3"/>
      <c r="AA4" s="3"/>
      <c r="AB4" s="3"/>
      <c r="AC4" s="3"/>
      <c r="AD4" s="4"/>
      <c r="AE4" s="4"/>
      <c r="AF4" s="4"/>
      <c r="AG4" s="4"/>
      <c r="AH4" s="4"/>
      <c r="AI4" s="4"/>
      <c r="AJ4" s="4"/>
      <c r="AK4" s="4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</row>
    <row r="5" spans="2:91" s="2" customFormat="1" ht="12" customHeight="1" thickBot="1" x14ac:dyDescent="0.25">
      <c r="B5" s="110"/>
      <c r="C5" s="111"/>
      <c r="D5" s="112"/>
      <c r="E5" s="86" t="s">
        <v>73</v>
      </c>
      <c r="F5" s="87"/>
      <c r="G5" s="91" t="s">
        <v>74</v>
      </c>
      <c r="H5" s="92"/>
      <c r="I5" s="92"/>
      <c r="J5" s="92"/>
      <c r="K5" s="93" t="s">
        <v>75</v>
      </c>
      <c r="L5" s="94" t="s">
        <v>72</v>
      </c>
      <c r="O5" s="3"/>
      <c r="P5" s="3"/>
      <c r="Q5" s="4"/>
      <c r="R5" s="4"/>
      <c r="S5" s="4"/>
      <c r="T5" s="3"/>
      <c r="U5" s="3"/>
      <c r="V5" s="3"/>
      <c r="W5" s="3"/>
      <c r="X5" s="3"/>
      <c r="Y5" s="3"/>
      <c r="Z5" s="3"/>
      <c r="AA5" s="3"/>
      <c r="AB5" s="3"/>
      <c r="AC5" s="3"/>
      <c r="AD5" s="4"/>
      <c r="AE5" s="4"/>
      <c r="AF5" s="4"/>
      <c r="AG5" s="4"/>
      <c r="AH5" s="4"/>
      <c r="AI5" s="4"/>
      <c r="AJ5" s="4"/>
      <c r="AK5" s="4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</row>
    <row r="6" spans="2:91" s="2" customFormat="1" ht="12" customHeight="1" thickBot="1" x14ac:dyDescent="0.25">
      <c r="B6" s="113"/>
      <c r="C6" s="114"/>
      <c r="D6" s="115"/>
      <c r="E6" s="86" t="s">
        <v>76</v>
      </c>
      <c r="F6" s="87"/>
      <c r="G6" s="95"/>
      <c r="H6" s="92"/>
      <c r="I6" s="92"/>
      <c r="J6" s="92"/>
      <c r="K6" s="96"/>
      <c r="L6" s="97"/>
      <c r="O6" s="3"/>
      <c r="P6" s="3"/>
      <c r="Q6" s="4"/>
      <c r="R6" s="4"/>
      <c r="S6" s="4"/>
      <c r="T6" s="3"/>
      <c r="U6" s="3"/>
      <c r="V6" s="3"/>
      <c r="W6" s="3"/>
      <c r="X6" s="3"/>
      <c r="Y6" s="3"/>
      <c r="Z6" s="3"/>
      <c r="AA6" s="3"/>
      <c r="AB6" s="3"/>
      <c r="AC6" s="3"/>
      <c r="AD6" s="4"/>
      <c r="AE6" s="4"/>
      <c r="AF6" s="4"/>
      <c r="AG6" s="4"/>
      <c r="AH6" s="4"/>
      <c r="AI6" s="4"/>
      <c r="AJ6" s="4"/>
      <c r="AK6" s="4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</row>
    <row r="8" spans="2:91" ht="15.75" x14ac:dyDescent="0.25">
      <c r="C8" s="109" t="s">
        <v>23</v>
      </c>
      <c r="D8" s="109"/>
      <c r="E8" s="109"/>
      <c r="F8" s="109"/>
      <c r="G8" s="109"/>
      <c r="H8" s="109"/>
      <c r="I8" s="109"/>
      <c r="J8" s="109"/>
      <c r="K8" s="109"/>
    </row>
    <row r="9" spans="2:91" x14ac:dyDescent="0.2">
      <c r="N9" s="41"/>
    </row>
    <row r="10" spans="2:91" ht="12" customHeight="1" x14ac:dyDescent="0.2">
      <c r="C10" s="33" t="s">
        <v>10</v>
      </c>
      <c r="N10" s="41"/>
    </row>
    <row r="11" spans="2:91" ht="12" thickBot="1" x14ac:dyDescent="0.25">
      <c r="C11" s="5" t="s">
        <v>5</v>
      </c>
      <c r="D11" s="75">
        <f>1*9*PI()*10*(1-0.3*0.4*2/3)</f>
        <v>260.12387171723486</v>
      </c>
      <c r="E11" s="5" t="s">
        <v>0</v>
      </c>
    </row>
    <row r="12" spans="2:91" x14ac:dyDescent="0.2">
      <c r="C12" s="5" t="s">
        <v>27</v>
      </c>
      <c r="D12" s="75">
        <v>189</v>
      </c>
      <c r="E12" s="5" t="s">
        <v>0</v>
      </c>
      <c r="M12" s="12" t="s">
        <v>35</v>
      </c>
      <c r="N12" s="13">
        <f>D30/J33</f>
        <v>7.3650000000000002</v>
      </c>
      <c r="O12" s="14" t="s">
        <v>52</v>
      </c>
    </row>
    <row r="13" spans="2:91" ht="12" thickBot="1" x14ac:dyDescent="0.25">
      <c r="C13" s="5" t="s">
        <v>1</v>
      </c>
      <c r="D13" s="75">
        <v>860</v>
      </c>
      <c r="E13" s="5" t="s">
        <v>24</v>
      </c>
      <c r="M13" s="15" t="s">
        <v>36</v>
      </c>
      <c r="N13" s="16">
        <f>D31/J34</f>
        <v>8.3997081888730296</v>
      </c>
      <c r="O13" s="17" t="s">
        <v>52</v>
      </c>
    </row>
    <row r="14" spans="2:91" x14ac:dyDescent="0.2">
      <c r="M14" s="18" t="s">
        <v>19</v>
      </c>
      <c r="N14" s="13">
        <f>ROUND(N12+N13,3)</f>
        <v>15.765000000000001</v>
      </c>
      <c r="O14" s="14" t="s">
        <v>52</v>
      </c>
    </row>
    <row r="15" spans="2:91" ht="12" thickBot="1" x14ac:dyDescent="0.25">
      <c r="C15" s="33" t="s">
        <v>2</v>
      </c>
      <c r="M15" s="19" t="s">
        <v>18</v>
      </c>
      <c r="N15" s="16">
        <f>ROUND(N12-N13,3)</f>
        <v>-1.0349999999999999</v>
      </c>
      <c r="O15" s="17" t="s">
        <v>52</v>
      </c>
    </row>
    <row r="16" spans="2:91" ht="12" thickBot="1" x14ac:dyDescent="0.25">
      <c r="C16" s="5" t="s">
        <v>53</v>
      </c>
      <c r="D16" s="75">
        <v>1.5</v>
      </c>
      <c r="E16" s="5" t="s">
        <v>4</v>
      </c>
    </row>
    <row r="17" spans="3:37" ht="12" thickBot="1" x14ac:dyDescent="0.25">
      <c r="C17" s="5" t="s">
        <v>54</v>
      </c>
      <c r="D17" s="75">
        <v>0</v>
      </c>
      <c r="E17" s="5" t="s">
        <v>4</v>
      </c>
      <c r="M17" s="20" t="s">
        <v>15</v>
      </c>
    </row>
    <row r="18" spans="3:37" x14ac:dyDescent="0.2">
      <c r="C18" s="5" t="s">
        <v>55</v>
      </c>
      <c r="D18" s="75">
        <v>0.5</v>
      </c>
      <c r="E18" s="5" t="s">
        <v>4</v>
      </c>
      <c r="M18" s="21" t="s">
        <v>13</v>
      </c>
      <c r="N18" s="106" t="s">
        <v>14</v>
      </c>
      <c r="O18" s="106"/>
      <c r="P18" s="106"/>
      <c r="Q18" s="106"/>
      <c r="R18" s="106"/>
      <c r="S18" s="106"/>
      <c r="T18" s="107"/>
      <c r="U18" s="21" t="str">
        <f>N18</f>
        <v>Ri/R</v>
      </c>
      <c r="AD18" s="49"/>
      <c r="AE18" s="50"/>
      <c r="AF18" s="104" t="s">
        <v>46</v>
      </c>
      <c r="AG18" s="105"/>
      <c r="AH18" s="104" t="s">
        <v>47</v>
      </c>
      <c r="AI18" s="105"/>
      <c r="AJ18" s="104" t="s">
        <v>48</v>
      </c>
      <c r="AK18" s="105"/>
    </row>
    <row r="19" spans="3:37" ht="12" thickBot="1" x14ac:dyDescent="0.25">
      <c r="C19" s="5" t="s">
        <v>56</v>
      </c>
      <c r="D19" s="75">
        <f>5+0.25</f>
        <v>5.25</v>
      </c>
      <c r="E19" s="5" t="s">
        <v>4</v>
      </c>
      <c r="M19" s="22"/>
      <c r="N19" s="23">
        <v>0</v>
      </c>
      <c r="O19" s="23">
        <v>0.5</v>
      </c>
      <c r="P19" s="23">
        <v>0.6</v>
      </c>
      <c r="Q19" s="23">
        <v>0.7</v>
      </c>
      <c r="R19" s="23">
        <v>0.8</v>
      </c>
      <c r="S19" s="23">
        <v>0.9</v>
      </c>
      <c r="T19" s="24">
        <v>1</v>
      </c>
      <c r="U19" s="25">
        <f>ROUND(J38,1)</f>
        <v>0.7</v>
      </c>
      <c r="AD19" s="54"/>
      <c r="AE19" s="59" t="s">
        <v>29</v>
      </c>
      <c r="AF19" s="60" t="s">
        <v>33</v>
      </c>
      <c r="AG19" s="61" t="s">
        <v>34</v>
      </c>
      <c r="AH19" s="62" t="s">
        <v>33</v>
      </c>
      <c r="AI19" s="61" t="s">
        <v>34</v>
      </c>
      <c r="AJ19" s="60" t="s">
        <v>33</v>
      </c>
      <c r="AK19" s="61" t="s">
        <v>34</v>
      </c>
    </row>
    <row r="20" spans="3:37" x14ac:dyDescent="0.2">
      <c r="C20" s="5" t="s">
        <v>57</v>
      </c>
      <c r="D20" s="75">
        <f>5-0.25</f>
        <v>4.75</v>
      </c>
      <c r="E20" s="5" t="s">
        <v>4</v>
      </c>
      <c r="M20" s="25">
        <v>0.25</v>
      </c>
      <c r="N20" s="27">
        <v>2</v>
      </c>
      <c r="O20" s="27">
        <v>2</v>
      </c>
      <c r="P20" s="27">
        <v>2</v>
      </c>
      <c r="Q20" s="27">
        <v>2</v>
      </c>
      <c r="R20" s="27">
        <v>2</v>
      </c>
      <c r="S20" s="27">
        <v>2</v>
      </c>
      <c r="T20" s="28">
        <v>2</v>
      </c>
      <c r="U20" s="25">
        <f>lininterp($N$19:$T$19,N20:T20,$U$19)</f>
        <v>2</v>
      </c>
      <c r="AD20" s="51">
        <v>1</v>
      </c>
      <c r="AE20" s="52">
        <f>0</f>
        <v>0</v>
      </c>
      <c r="AF20" s="57">
        <f t="shared" ref="AF20:AF60" si="0">$D$21*COS(AE20)</f>
        <v>6</v>
      </c>
      <c r="AG20" s="53">
        <f t="shared" ref="AG20:AG60" si="1">$D$21*SIN(AE20)</f>
        <v>0</v>
      </c>
      <c r="AH20" s="48">
        <f t="shared" ref="AH20:AH60" si="2">$D$22*COS(AE20)</f>
        <v>4</v>
      </c>
      <c r="AI20" s="53">
        <f t="shared" ref="AI20:AI60" si="3">$D$22*SIN(AE20)</f>
        <v>0</v>
      </c>
      <c r="AJ20" s="57">
        <f>AF20-D38</f>
        <v>-5.4359999999999999</v>
      </c>
      <c r="AK20" s="53">
        <f>lininterpdes(AF20:AF40,AG20:AG40,AJ20)</f>
        <v>2.5067582825279491</v>
      </c>
    </row>
    <row r="21" spans="3:37" x14ac:dyDescent="0.2">
      <c r="C21" s="5" t="s">
        <v>7</v>
      </c>
      <c r="D21" s="75">
        <v>6</v>
      </c>
      <c r="E21" s="5" t="s">
        <v>4</v>
      </c>
      <c r="M21" s="25">
        <v>0.3</v>
      </c>
      <c r="N21" s="27">
        <v>1.82</v>
      </c>
      <c r="O21" s="27">
        <v>2</v>
      </c>
      <c r="P21" s="27">
        <v>2</v>
      </c>
      <c r="Q21" s="27">
        <v>2</v>
      </c>
      <c r="R21" s="27">
        <v>2</v>
      </c>
      <c r="S21" s="27">
        <v>2</v>
      </c>
      <c r="T21" s="28">
        <v>2</v>
      </c>
      <c r="U21" s="25">
        <f t="shared" ref="U21:U34" si="4">lininterp($N$19:$T$19,N21:T21,$U$19)</f>
        <v>2</v>
      </c>
      <c r="AD21" s="51">
        <f>AD20+1</f>
        <v>2</v>
      </c>
      <c r="AE21" s="52">
        <f>AE20+PI()/20</f>
        <v>0.15707963267948966</v>
      </c>
      <c r="AF21" s="57">
        <f t="shared" si="0"/>
        <v>5.9261300435708266</v>
      </c>
      <c r="AG21" s="53">
        <f t="shared" si="1"/>
        <v>0.93860679024138527</v>
      </c>
      <c r="AH21" s="48">
        <f t="shared" si="2"/>
        <v>3.9507533623805511</v>
      </c>
      <c r="AI21" s="53">
        <f t="shared" si="3"/>
        <v>0.62573786016092348</v>
      </c>
      <c r="AJ21" s="57">
        <f>AJ20</f>
        <v>-5.4359999999999999</v>
      </c>
      <c r="AK21" s="53">
        <f>lininterpdes(AH20:AH40,AI20:AI40,AJ21)</f>
        <v>4.90059381963448E-16</v>
      </c>
    </row>
    <row r="22" spans="3:37" x14ac:dyDescent="0.2">
      <c r="C22" s="5" t="s">
        <v>9</v>
      </c>
      <c r="D22" s="75">
        <v>4</v>
      </c>
      <c r="E22" s="5" t="s">
        <v>4</v>
      </c>
      <c r="H22" s="30"/>
      <c r="M22" s="25">
        <v>0.35</v>
      </c>
      <c r="N22" s="27">
        <v>1.66</v>
      </c>
      <c r="O22" s="27">
        <v>1.89</v>
      </c>
      <c r="P22" s="27">
        <v>1.95</v>
      </c>
      <c r="Q22" s="27">
        <v>2</v>
      </c>
      <c r="R22" s="27">
        <v>2</v>
      </c>
      <c r="S22" s="27">
        <v>2</v>
      </c>
      <c r="T22" s="28">
        <v>2</v>
      </c>
      <c r="U22" s="25">
        <f t="shared" si="4"/>
        <v>2</v>
      </c>
      <c r="AD22" s="51">
        <f t="shared" ref="AD22:AD40" si="5">AD21+1</f>
        <v>3</v>
      </c>
      <c r="AE22" s="52">
        <f t="shared" ref="AE22:AE40" si="6">AE21+PI()/20</f>
        <v>0.31415926535897931</v>
      </c>
      <c r="AF22" s="57">
        <f t="shared" si="0"/>
        <v>5.706339097770921</v>
      </c>
      <c r="AG22" s="53">
        <f t="shared" si="1"/>
        <v>1.8541019662496843</v>
      </c>
      <c r="AH22" s="48">
        <f t="shared" si="2"/>
        <v>3.8042260651806141</v>
      </c>
      <c r="AI22" s="53">
        <f t="shared" si="3"/>
        <v>1.2360679774997896</v>
      </c>
      <c r="AJ22" s="57">
        <f>AJ21</f>
        <v>-5.4359999999999999</v>
      </c>
      <c r="AK22" s="53">
        <f>-AK21</f>
        <v>-4.90059381963448E-16</v>
      </c>
    </row>
    <row r="23" spans="3:37" x14ac:dyDescent="0.2">
      <c r="D23" s="76"/>
      <c r="M23" s="25">
        <v>0.4</v>
      </c>
      <c r="N23" s="27">
        <v>1.51</v>
      </c>
      <c r="O23" s="27">
        <v>1.75</v>
      </c>
      <c r="P23" s="27">
        <v>1.84</v>
      </c>
      <c r="Q23" s="27">
        <v>1.93</v>
      </c>
      <c r="R23" s="27">
        <v>2</v>
      </c>
      <c r="S23" s="27">
        <v>2</v>
      </c>
      <c r="T23" s="28">
        <v>2</v>
      </c>
      <c r="U23" s="25">
        <f t="shared" si="4"/>
        <v>1.93</v>
      </c>
      <c r="AD23" s="51">
        <f t="shared" si="5"/>
        <v>4</v>
      </c>
      <c r="AE23" s="52">
        <f t="shared" si="6"/>
        <v>0.47123889803846897</v>
      </c>
      <c r="AF23" s="57">
        <f t="shared" si="0"/>
        <v>5.3460391451302076</v>
      </c>
      <c r="AG23" s="53">
        <f t="shared" si="1"/>
        <v>2.7239429984372805</v>
      </c>
      <c r="AH23" s="48">
        <f t="shared" si="2"/>
        <v>3.5640260967534716</v>
      </c>
      <c r="AI23" s="53">
        <f t="shared" si="3"/>
        <v>1.815961998958187</v>
      </c>
      <c r="AJ23" s="63">
        <f>AJ22</f>
        <v>-5.4359999999999999</v>
      </c>
      <c r="AK23" s="64">
        <f>-AK20</f>
        <v>-2.5067582825279491</v>
      </c>
    </row>
    <row r="24" spans="3:37" x14ac:dyDescent="0.2">
      <c r="C24" s="46" t="s">
        <v>58</v>
      </c>
      <c r="D24" s="75">
        <v>2.5</v>
      </c>
      <c r="E24" s="5" t="s">
        <v>26</v>
      </c>
      <c r="M24" s="25">
        <v>0.45</v>
      </c>
      <c r="N24" s="27">
        <v>1.37</v>
      </c>
      <c r="O24" s="27">
        <v>1.61</v>
      </c>
      <c r="P24" s="27">
        <v>1.71</v>
      </c>
      <c r="Q24" s="27">
        <v>1.81</v>
      </c>
      <c r="R24" s="27">
        <v>1.9</v>
      </c>
      <c r="S24" s="27">
        <v>2</v>
      </c>
      <c r="T24" s="28">
        <v>2</v>
      </c>
      <c r="U24" s="25">
        <f t="shared" si="4"/>
        <v>1.81</v>
      </c>
      <c r="AD24" s="51">
        <f t="shared" si="5"/>
        <v>5</v>
      </c>
      <c r="AE24" s="52">
        <f t="shared" si="6"/>
        <v>0.62831853071795862</v>
      </c>
      <c r="AF24" s="57">
        <f t="shared" si="0"/>
        <v>4.8541019662496847</v>
      </c>
      <c r="AG24" s="53">
        <f t="shared" si="1"/>
        <v>3.5267115137548388</v>
      </c>
      <c r="AH24" s="48">
        <f t="shared" si="2"/>
        <v>3.2360679774997898</v>
      </c>
      <c r="AI24" s="53">
        <f t="shared" si="3"/>
        <v>2.3511410091698925</v>
      </c>
      <c r="AJ24" s="48"/>
      <c r="AK24" s="48"/>
    </row>
    <row r="25" spans="3:37" x14ac:dyDescent="0.2">
      <c r="C25" s="46" t="s">
        <v>59</v>
      </c>
      <c r="D25" s="75">
        <v>1.8</v>
      </c>
      <c r="E25" s="5" t="s">
        <v>26</v>
      </c>
      <c r="M25" s="25">
        <v>0.5</v>
      </c>
      <c r="N25" s="27">
        <v>1.23</v>
      </c>
      <c r="O25" s="27">
        <v>1.46</v>
      </c>
      <c r="P25" s="27">
        <v>1.56</v>
      </c>
      <c r="Q25" s="27">
        <v>1.66</v>
      </c>
      <c r="R25" s="27">
        <v>1.78</v>
      </c>
      <c r="S25" s="27">
        <v>1.89</v>
      </c>
      <c r="T25" s="28">
        <v>2</v>
      </c>
      <c r="U25" s="25">
        <f t="shared" si="4"/>
        <v>1.66</v>
      </c>
      <c r="AD25" s="51">
        <f t="shared" si="5"/>
        <v>6</v>
      </c>
      <c r="AE25" s="52">
        <f t="shared" si="6"/>
        <v>0.78539816339744828</v>
      </c>
      <c r="AF25" s="57">
        <f t="shared" si="0"/>
        <v>4.2426406871192857</v>
      </c>
      <c r="AG25" s="53">
        <f t="shared" si="1"/>
        <v>4.2426406871192848</v>
      </c>
      <c r="AH25" s="48">
        <f t="shared" si="2"/>
        <v>2.8284271247461903</v>
      </c>
      <c r="AI25" s="53">
        <f t="shared" si="3"/>
        <v>2.8284271247461898</v>
      </c>
      <c r="AJ25" s="48"/>
      <c r="AK25" s="48"/>
    </row>
    <row r="26" spans="3:37" x14ac:dyDescent="0.2">
      <c r="C26" s="5" t="s">
        <v>60</v>
      </c>
      <c r="D26" s="32">
        <f>((D21^2-D22^2)*D18+(D19^2-D20^2)*(D16-D18+D17))*PI()*D24</f>
        <v>117.80972450961724</v>
      </c>
      <c r="E26" s="5" t="s">
        <v>0</v>
      </c>
      <c r="M26" s="25">
        <v>0.55000000000000004</v>
      </c>
      <c r="N26" s="27">
        <v>1.1000000000000001</v>
      </c>
      <c r="O26" s="27">
        <v>1.29</v>
      </c>
      <c r="P26" s="27">
        <v>1.39</v>
      </c>
      <c r="Q26" s="27">
        <v>1.5</v>
      </c>
      <c r="R26" s="27">
        <v>1.62</v>
      </c>
      <c r="S26" s="27">
        <v>1.74</v>
      </c>
      <c r="T26" s="28">
        <v>1.87</v>
      </c>
      <c r="U26" s="25">
        <f t="shared" si="4"/>
        <v>1.5</v>
      </c>
      <c r="AD26" s="51">
        <f t="shared" si="5"/>
        <v>7</v>
      </c>
      <c r="AE26" s="52">
        <f t="shared" si="6"/>
        <v>0.94247779607693793</v>
      </c>
      <c r="AF26" s="57">
        <f t="shared" si="0"/>
        <v>3.5267115137548388</v>
      </c>
      <c r="AG26" s="53">
        <f t="shared" si="1"/>
        <v>4.8541019662496847</v>
      </c>
      <c r="AH26" s="48">
        <f t="shared" si="2"/>
        <v>2.3511410091698925</v>
      </c>
      <c r="AI26" s="53">
        <f t="shared" si="3"/>
        <v>3.2360679774997898</v>
      </c>
      <c r="AJ26" s="48"/>
      <c r="AK26" s="48"/>
    </row>
    <row r="27" spans="3:37" x14ac:dyDescent="0.2">
      <c r="C27" s="5" t="s">
        <v>61</v>
      </c>
      <c r="D27" s="32">
        <f>((D21^2-D19^2)*(D16-D18)+(D20^2-D22^2)*(D16-D18+D17))*PI()*D25</f>
        <v>84.823001646924411</v>
      </c>
      <c r="E27" s="5" t="s">
        <v>0</v>
      </c>
      <c r="M27" s="25">
        <v>0.6</v>
      </c>
      <c r="N27" s="27">
        <v>0.97</v>
      </c>
      <c r="O27" s="27">
        <v>1.1200000000000001</v>
      </c>
      <c r="P27" s="27">
        <v>1.21</v>
      </c>
      <c r="Q27" s="27">
        <v>1.32</v>
      </c>
      <c r="R27" s="27">
        <v>1.45</v>
      </c>
      <c r="S27" s="27">
        <v>1.58</v>
      </c>
      <c r="T27" s="28">
        <v>1.71</v>
      </c>
      <c r="U27" s="25">
        <f t="shared" si="4"/>
        <v>1.32</v>
      </c>
      <c r="AD27" s="51">
        <f t="shared" si="5"/>
        <v>8</v>
      </c>
      <c r="AE27" s="52">
        <f t="shared" si="6"/>
        <v>1.0995574287564276</v>
      </c>
      <c r="AF27" s="57">
        <f t="shared" si="0"/>
        <v>2.7239429984372809</v>
      </c>
      <c r="AG27" s="53">
        <f t="shared" si="1"/>
        <v>5.3460391451302067</v>
      </c>
      <c r="AH27" s="48">
        <f t="shared" si="2"/>
        <v>1.8159619989581872</v>
      </c>
      <c r="AI27" s="53">
        <f t="shared" si="3"/>
        <v>3.5640260967534712</v>
      </c>
      <c r="AJ27" s="48"/>
      <c r="AK27" s="48"/>
    </row>
    <row r="28" spans="3:37" x14ac:dyDescent="0.2">
      <c r="M28" s="25">
        <v>0.65</v>
      </c>
      <c r="N28" s="27">
        <v>0.84</v>
      </c>
      <c r="O28" s="27">
        <v>0.94</v>
      </c>
      <c r="P28" s="27">
        <v>1.02</v>
      </c>
      <c r="Q28" s="27">
        <v>1.1299999999999999</v>
      </c>
      <c r="R28" s="27">
        <v>1.25</v>
      </c>
      <c r="S28" s="27">
        <v>1.4</v>
      </c>
      <c r="T28" s="28">
        <v>1.54</v>
      </c>
      <c r="U28" s="25">
        <f t="shared" si="4"/>
        <v>1.1299999999999999</v>
      </c>
      <c r="AD28" s="51">
        <f t="shared" si="5"/>
        <v>9</v>
      </c>
      <c r="AE28" s="52">
        <f t="shared" si="6"/>
        <v>1.2566370614359172</v>
      </c>
      <c r="AF28" s="57">
        <f t="shared" si="0"/>
        <v>1.8541019662496847</v>
      </c>
      <c r="AG28" s="53">
        <f t="shared" si="1"/>
        <v>5.706339097770921</v>
      </c>
      <c r="AH28" s="48">
        <f t="shared" si="2"/>
        <v>1.2360679774997898</v>
      </c>
      <c r="AI28" s="53">
        <f t="shared" si="3"/>
        <v>3.8042260651806141</v>
      </c>
      <c r="AJ28" s="48"/>
      <c r="AK28" s="48"/>
    </row>
    <row r="29" spans="3:37" x14ac:dyDescent="0.2">
      <c r="C29" s="33" t="s">
        <v>62</v>
      </c>
      <c r="M29" s="25">
        <v>0.7</v>
      </c>
      <c r="N29" s="27">
        <v>0.72</v>
      </c>
      <c r="O29" s="27">
        <v>0.75</v>
      </c>
      <c r="P29" s="27">
        <v>0.82</v>
      </c>
      <c r="Q29" s="27">
        <v>0.93</v>
      </c>
      <c r="R29" s="27">
        <v>1.05</v>
      </c>
      <c r="S29" s="27">
        <v>1.2</v>
      </c>
      <c r="T29" s="28">
        <v>1.35</v>
      </c>
      <c r="U29" s="25">
        <f t="shared" si="4"/>
        <v>0.93</v>
      </c>
      <c r="AD29" s="51">
        <f t="shared" si="5"/>
        <v>10</v>
      </c>
      <c r="AE29" s="52">
        <f t="shared" si="6"/>
        <v>1.4137166941154069</v>
      </c>
      <c r="AF29" s="57">
        <f t="shared" si="0"/>
        <v>0.93860679024138549</v>
      </c>
      <c r="AG29" s="53">
        <f t="shared" si="1"/>
        <v>5.9261300435708266</v>
      </c>
      <c r="AH29" s="48">
        <f t="shared" si="2"/>
        <v>0.6257378601609237</v>
      </c>
      <c r="AI29" s="53">
        <f t="shared" si="3"/>
        <v>3.9507533623805511</v>
      </c>
      <c r="AJ29" s="48"/>
      <c r="AK29" s="48"/>
    </row>
    <row r="30" spans="3:37" x14ac:dyDescent="0.2">
      <c r="C30" s="5" t="s">
        <v>42</v>
      </c>
      <c r="D30" s="32">
        <f>D11+D26+D27</f>
        <v>462.75659787377651</v>
      </c>
      <c r="E30" s="5" t="s">
        <v>0</v>
      </c>
      <c r="M30" s="25">
        <v>0.75</v>
      </c>
      <c r="N30" s="27">
        <v>0.59</v>
      </c>
      <c r="O30" s="27">
        <v>0.6</v>
      </c>
      <c r="P30" s="27">
        <v>0.64</v>
      </c>
      <c r="Q30" s="27">
        <v>0.72</v>
      </c>
      <c r="R30" s="27">
        <v>0.85</v>
      </c>
      <c r="S30" s="27">
        <v>0.98</v>
      </c>
      <c r="T30" s="28">
        <v>1.1499999999999999</v>
      </c>
      <c r="U30" s="25">
        <f t="shared" si="4"/>
        <v>0.72</v>
      </c>
      <c r="AD30" s="51">
        <f t="shared" si="5"/>
        <v>11</v>
      </c>
      <c r="AE30" s="52">
        <f t="shared" si="6"/>
        <v>1.5707963267948966</v>
      </c>
      <c r="AF30" s="57">
        <f t="shared" si="0"/>
        <v>3.67544536472586E-16</v>
      </c>
      <c r="AG30" s="53">
        <f t="shared" si="1"/>
        <v>6</v>
      </c>
      <c r="AH30" s="48">
        <f t="shared" si="2"/>
        <v>2.45029690981724E-16</v>
      </c>
      <c r="AI30" s="53">
        <f t="shared" si="3"/>
        <v>4</v>
      </c>
      <c r="AJ30" s="48"/>
      <c r="AK30" s="48"/>
    </row>
    <row r="31" spans="3:37" x14ac:dyDescent="0.2">
      <c r="C31" s="5" t="s">
        <v>43</v>
      </c>
      <c r="D31" s="32">
        <f>D13+D12*(D16+D17)</f>
        <v>1143.5</v>
      </c>
      <c r="E31" s="5" t="s">
        <v>24</v>
      </c>
      <c r="F31" s="45" t="str">
        <f>IF(J35&gt;=D21,"Excentricidad excesiva","")</f>
        <v/>
      </c>
      <c r="M31" s="25">
        <v>0.8</v>
      </c>
      <c r="N31" s="27">
        <v>0.47</v>
      </c>
      <c r="O31" s="27">
        <v>0.47</v>
      </c>
      <c r="P31" s="27">
        <v>0.48</v>
      </c>
      <c r="Q31" s="27">
        <v>0.52</v>
      </c>
      <c r="R31" s="27">
        <v>0.61</v>
      </c>
      <c r="S31" s="27">
        <v>0.77</v>
      </c>
      <c r="T31" s="28">
        <v>0.94</v>
      </c>
      <c r="U31" s="25">
        <f t="shared" si="4"/>
        <v>0.52</v>
      </c>
      <c r="AD31" s="51">
        <f t="shared" si="5"/>
        <v>12</v>
      </c>
      <c r="AE31" s="52">
        <f t="shared" si="6"/>
        <v>1.7278759594743862</v>
      </c>
      <c r="AF31" s="57">
        <f t="shared" si="0"/>
        <v>-0.93860679024138483</v>
      </c>
      <c r="AG31" s="53">
        <f t="shared" si="1"/>
        <v>5.9261300435708266</v>
      </c>
      <c r="AH31" s="48">
        <f t="shared" si="2"/>
        <v>-0.62573786016092325</v>
      </c>
      <c r="AI31" s="53">
        <f t="shared" si="3"/>
        <v>3.9507533623805511</v>
      </c>
      <c r="AJ31" s="48"/>
      <c r="AK31" s="48"/>
    </row>
    <row r="32" spans="3:37" x14ac:dyDescent="0.2">
      <c r="M32" s="25">
        <v>0.85</v>
      </c>
      <c r="N32" s="27">
        <v>0.35</v>
      </c>
      <c r="O32" s="27">
        <f t="shared" ref="O32:P34" si="7">N32</f>
        <v>0.35</v>
      </c>
      <c r="P32" s="27">
        <f t="shared" si="7"/>
        <v>0.35</v>
      </c>
      <c r="Q32" s="27">
        <v>0.36</v>
      </c>
      <c r="R32" s="27">
        <v>0.42</v>
      </c>
      <c r="S32" s="27">
        <v>0.55000000000000004</v>
      </c>
      <c r="T32" s="28">
        <v>0.72</v>
      </c>
      <c r="U32" s="25">
        <f t="shared" si="4"/>
        <v>0.36</v>
      </c>
      <c r="AD32" s="51">
        <f t="shared" si="5"/>
        <v>13</v>
      </c>
      <c r="AE32" s="52">
        <f t="shared" si="6"/>
        <v>1.8849555921538759</v>
      </c>
      <c r="AF32" s="57">
        <f t="shared" si="0"/>
        <v>-1.854101966249684</v>
      </c>
      <c r="AG32" s="53">
        <f t="shared" si="1"/>
        <v>5.7063390977709219</v>
      </c>
      <c r="AH32" s="48">
        <f t="shared" si="2"/>
        <v>-1.2360679774997894</v>
      </c>
      <c r="AI32" s="53">
        <f t="shared" si="3"/>
        <v>3.8042260651806146</v>
      </c>
      <c r="AJ32" s="48"/>
      <c r="AK32" s="48"/>
    </row>
    <row r="33" spans="3:37" x14ac:dyDescent="0.2">
      <c r="C33" s="30" t="str">
        <f>"==&gt;  "&amp;IF(N12&gt;=N13,"100% apoyado","Existen tracciones")</f>
        <v>==&gt;  Existen tracciones</v>
      </c>
      <c r="I33" s="5" t="s">
        <v>44</v>
      </c>
      <c r="J33" s="32">
        <f>PI()*(D21^2-D22^2)</f>
        <v>62.831853071795862</v>
      </c>
      <c r="K33" s="5" t="s">
        <v>40</v>
      </c>
      <c r="M33" s="25">
        <v>0.9</v>
      </c>
      <c r="N33" s="27">
        <v>0.24</v>
      </c>
      <c r="O33" s="27">
        <f t="shared" si="7"/>
        <v>0.24</v>
      </c>
      <c r="P33" s="27">
        <f t="shared" si="7"/>
        <v>0.24</v>
      </c>
      <c r="Q33" s="27">
        <f>P33</f>
        <v>0.24</v>
      </c>
      <c r="R33" s="27">
        <f>Q33</f>
        <v>0.24</v>
      </c>
      <c r="S33" s="27">
        <v>0.32</v>
      </c>
      <c r="T33" s="28">
        <v>0.49</v>
      </c>
      <c r="U33" s="25">
        <f t="shared" si="4"/>
        <v>0.24</v>
      </c>
      <c r="AD33" s="51">
        <f t="shared" si="5"/>
        <v>14</v>
      </c>
      <c r="AE33" s="52">
        <f t="shared" si="6"/>
        <v>2.0420352248333655</v>
      </c>
      <c r="AF33" s="57">
        <f t="shared" si="0"/>
        <v>-2.72394299843728</v>
      </c>
      <c r="AG33" s="53">
        <f t="shared" si="1"/>
        <v>5.3460391451302076</v>
      </c>
      <c r="AH33" s="48">
        <f t="shared" si="2"/>
        <v>-1.8159619989581868</v>
      </c>
      <c r="AI33" s="53">
        <f t="shared" si="3"/>
        <v>3.5640260967534716</v>
      </c>
      <c r="AJ33" s="48"/>
      <c r="AK33" s="48"/>
    </row>
    <row r="34" spans="3:37" ht="12" thickBot="1" x14ac:dyDescent="0.25">
      <c r="I34" s="5" t="s">
        <v>45</v>
      </c>
      <c r="J34" s="32">
        <f>PI()*(D21^4-D22^4)/4/D21</f>
        <v>136.1356816555577</v>
      </c>
      <c r="K34" s="5" t="s">
        <v>32</v>
      </c>
      <c r="M34" s="34">
        <v>0.95</v>
      </c>
      <c r="N34" s="35">
        <v>0.12</v>
      </c>
      <c r="O34" s="35">
        <f t="shared" si="7"/>
        <v>0.12</v>
      </c>
      <c r="P34" s="35">
        <f t="shared" si="7"/>
        <v>0.12</v>
      </c>
      <c r="Q34" s="35">
        <f>P34</f>
        <v>0.12</v>
      </c>
      <c r="R34" s="35">
        <f>Q34</f>
        <v>0.12</v>
      </c>
      <c r="S34" s="35">
        <f>R34</f>
        <v>0.12</v>
      </c>
      <c r="T34" s="36">
        <v>0.25</v>
      </c>
      <c r="U34" s="34">
        <f t="shared" si="4"/>
        <v>0.12</v>
      </c>
      <c r="AD34" s="51">
        <f t="shared" si="5"/>
        <v>15</v>
      </c>
      <c r="AE34" s="52">
        <f t="shared" si="6"/>
        <v>2.1991148575128552</v>
      </c>
      <c r="AF34" s="57">
        <f t="shared" si="0"/>
        <v>-3.5267115137548384</v>
      </c>
      <c r="AG34" s="53">
        <f t="shared" si="1"/>
        <v>4.8541019662496847</v>
      </c>
      <c r="AH34" s="48">
        <f t="shared" si="2"/>
        <v>-2.3511410091698921</v>
      </c>
      <c r="AI34" s="53">
        <f t="shared" si="3"/>
        <v>3.2360679774997898</v>
      </c>
      <c r="AJ34" s="48"/>
      <c r="AK34" s="48"/>
    </row>
    <row r="35" spans="3:37" ht="12" thickBot="1" x14ac:dyDescent="0.25">
      <c r="C35" s="33" t="s">
        <v>66</v>
      </c>
      <c r="I35" s="5" t="s">
        <v>11</v>
      </c>
      <c r="J35" s="32">
        <f>D31/D30</f>
        <v>2.4710614721735551</v>
      </c>
      <c r="K35" s="5" t="s">
        <v>4</v>
      </c>
      <c r="U35" s="37"/>
      <c r="AD35" s="51">
        <f t="shared" si="5"/>
        <v>16</v>
      </c>
      <c r="AE35" s="52">
        <f t="shared" si="6"/>
        <v>2.3561944901923448</v>
      </c>
      <c r="AF35" s="57">
        <f t="shared" si="0"/>
        <v>-4.2426406871192848</v>
      </c>
      <c r="AG35" s="53">
        <f t="shared" si="1"/>
        <v>4.2426406871192857</v>
      </c>
      <c r="AH35" s="48">
        <f t="shared" si="2"/>
        <v>-2.8284271247461898</v>
      </c>
      <c r="AI35" s="53">
        <f t="shared" si="3"/>
        <v>2.8284271247461903</v>
      </c>
      <c r="AJ35" s="48"/>
      <c r="AK35" s="48"/>
    </row>
    <row r="36" spans="3:37" ht="12" thickBot="1" x14ac:dyDescent="0.25">
      <c r="C36" s="5" t="s">
        <v>15</v>
      </c>
      <c r="D36" s="38">
        <f>N59</f>
        <v>1.9060000000000001</v>
      </c>
      <c r="E36" s="44"/>
      <c r="I36" s="46" t="s">
        <v>49</v>
      </c>
      <c r="J36" s="32">
        <f>D30/J33</f>
        <v>7.3650000000000002</v>
      </c>
      <c r="K36" s="5" t="s">
        <v>41</v>
      </c>
      <c r="M36" s="20" t="s">
        <v>16</v>
      </c>
      <c r="U36" s="37"/>
      <c r="AD36" s="51">
        <f t="shared" si="5"/>
        <v>17</v>
      </c>
      <c r="AE36" s="52">
        <f t="shared" si="6"/>
        <v>2.5132741228718345</v>
      </c>
      <c r="AF36" s="57">
        <f t="shared" si="0"/>
        <v>-4.8541019662496838</v>
      </c>
      <c r="AG36" s="53">
        <f t="shared" si="1"/>
        <v>3.5267115137548393</v>
      </c>
      <c r="AH36" s="48">
        <f t="shared" si="2"/>
        <v>-3.2360679774997894</v>
      </c>
      <c r="AI36" s="53">
        <f t="shared" si="3"/>
        <v>2.351141009169893</v>
      </c>
      <c r="AJ36" s="48"/>
      <c r="AK36" s="48"/>
    </row>
    <row r="37" spans="3:37" x14ac:dyDescent="0.2">
      <c r="C37" s="46" t="s">
        <v>51</v>
      </c>
      <c r="D37" s="38">
        <f>N60</f>
        <v>2.1019999999999999</v>
      </c>
      <c r="E37" s="44"/>
      <c r="I37" s="5" t="s">
        <v>13</v>
      </c>
      <c r="J37" s="32">
        <f>ROUND(J35/D21,2)</f>
        <v>0.41</v>
      </c>
      <c r="M37" s="21" t="s">
        <v>13</v>
      </c>
      <c r="N37" s="108" t="s">
        <v>14</v>
      </c>
      <c r="O37" s="106"/>
      <c r="P37" s="106"/>
      <c r="Q37" s="106"/>
      <c r="R37" s="106"/>
      <c r="S37" s="106"/>
      <c r="T37" s="107"/>
      <c r="U37" s="21" t="str">
        <f>N37</f>
        <v>Ri/R</v>
      </c>
      <c r="AD37" s="51">
        <f t="shared" si="5"/>
        <v>18</v>
      </c>
      <c r="AE37" s="52">
        <f t="shared" si="6"/>
        <v>2.6703537555513241</v>
      </c>
      <c r="AF37" s="57">
        <f t="shared" si="0"/>
        <v>-5.3460391451302067</v>
      </c>
      <c r="AG37" s="53">
        <f t="shared" si="1"/>
        <v>2.7239429984372814</v>
      </c>
      <c r="AH37" s="48">
        <f t="shared" si="2"/>
        <v>-3.5640260967534712</v>
      </c>
      <c r="AI37" s="53">
        <f t="shared" si="3"/>
        <v>1.8159619989581874</v>
      </c>
      <c r="AJ37" s="48"/>
      <c r="AK37" s="48"/>
    </row>
    <row r="38" spans="3:37" ht="12" thickBot="1" x14ac:dyDescent="0.25">
      <c r="C38" s="5" t="s">
        <v>17</v>
      </c>
      <c r="D38" s="38">
        <f>N61</f>
        <v>11.436</v>
      </c>
      <c r="E38" s="44" t="s">
        <v>4</v>
      </c>
      <c r="F38" s="44"/>
      <c r="G38" s="44"/>
      <c r="I38" s="5" t="s">
        <v>14</v>
      </c>
      <c r="J38" s="32">
        <f>D22/D21</f>
        <v>0.66666666666666663</v>
      </c>
      <c r="M38" s="22"/>
      <c r="N38" s="23">
        <v>0</v>
      </c>
      <c r="O38" s="23">
        <v>0.5</v>
      </c>
      <c r="P38" s="23">
        <v>0.6</v>
      </c>
      <c r="Q38" s="23">
        <v>0.7</v>
      </c>
      <c r="R38" s="23">
        <v>0.8</v>
      </c>
      <c r="S38" s="23">
        <v>0.9</v>
      </c>
      <c r="T38" s="24">
        <v>1</v>
      </c>
      <c r="U38" s="25">
        <f>ROUND(J38,1)</f>
        <v>0.7</v>
      </c>
      <c r="AD38" s="51">
        <f t="shared" si="5"/>
        <v>19</v>
      </c>
      <c r="AE38" s="52">
        <f t="shared" si="6"/>
        <v>2.8274333882308138</v>
      </c>
      <c r="AF38" s="57">
        <f t="shared" si="0"/>
        <v>-5.706339097770921</v>
      </c>
      <c r="AG38" s="53">
        <f t="shared" si="1"/>
        <v>1.8541019662496852</v>
      </c>
      <c r="AH38" s="48">
        <f t="shared" si="2"/>
        <v>-3.8042260651806141</v>
      </c>
      <c r="AI38" s="53">
        <f t="shared" si="3"/>
        <v>1.23606797749979</v>
      </c>
      <c r="AJ38" s="48"/>
      <c r="AK38" s="48"/>
    </row>
    <row r="39" spans="3:37" x14ac:dyDescent="0.2">
      <c r="C39" s="46" t="s">
        <v>63</v>
      </c>
      <c r="D39" s="38">
        <f>N62</f>
        <v>15.481</v>
      </c>
      <c r="E39" s="44" t="s">
        <v>41</v>
      </c>
      <c r="F39" s="44"/>
      <c r="G39" s="44"/>
      <c r="M39" s="25">
        <v>0</v>
      </c>
      <c r="N39" s="27">
        <v>1</v>
      </c>
      <c r="O39" s="27">
        <v>1</v>
      </c>
      <c r="P39" s="27">
        <v>1</v>
      </c>
      <c r="Q39" s="27">
        <v>1</v>
      </c>
      <c r="R39" s="27">
        <v>1</v>
      </c>
      <c r="S39" s="27">
        <v>1</v>
      </c>
      <c r="T39" s="28">
        <v>1</v>
      </c>
      <c r="U39" s="25">
        <f>lininterp($N$38:$T$38,N39:T39,$U$38)</f>
        <v>1</v>
      </c>
      <c r="AD39" s="51">
        <f t="shared" si="5"/>
        <v>20</v>
      </c>
      <c r="AE39" s="52">
        <f t="shared" si="6"/>
        <v>2.9845130209103035</v>
      </c>
      <c r="AF39" s="57">
        <f t="shared" si="0"/>
        <v>-5.9261300435708257</v>
      </c>
      <c r="AG39" s="53">
        <f t="shared" si="1"/>
        <v>0.93860679024138594</v>
      </c>
      <c r="AH39" s="48">
        <f t="shared" si="2"/>
        <v>-3.9507533623805506</v>
      </c>
      <c r="AI39" s="53">
        <f t="shared" si="3"/>
        <v>0.62573786016092392</v>
      </c>
      <c r="AJ39" s="48"/>
      <c r="AK39" s="48"/>
    </row>
    <row r="40" spans="3:37" x14ac:dyDescent="0.2">
      <c r="C40" s="5" t="s">
        <v>50</v>
      </c>
      <c r="D40" s="66">
        <f>IF(N12&gt;=N13,J33,N67)</f>
        <v>60.903316968614725</v>
      </c>
      <c r="E40" s="5" t="s">
        <v>40</v>
      </c>
      <c r="F40" s="44"/>
      <c r="G40" s="44"/>
      <c r="H40" s="7"/>
      <c r="M40" s="25">
        <v>0.05</v>
      </c>
      <c r="N40" s="27">
        <v>1.2</v>
      </c>
      <c r="O40" s="27">
        <f>O39+0.16</f>
        <v>1.1599999999999999</v>
      </c>
      <c r="P40" s="27">
        <f>P39+0.15</f>
        <v>1.1499999999999999</v>
      </c>
      <c r="Q40" s="27">
        <f>Q39+0.13</f>
        <v>1.1299999999999999</v>
      </c>
      <c r="R40" s="27">
        <f>R39+0.12</f>
        <v>1.1200000000000001</v>
      </c>
      <c r="S40" s="27">
        <f>S39+0.11</f>
        <v>1.1100000000000001</v>
      </c>
      <c r="T40" s="28">
        <f>T39+0.1</f>
        <v>1.1000000000000001</v>
      </c>
      <c r="U40" s="25">
        <f t="shared" ref="U40:U58" si="8">lininterp($N$38:$T$38,N40:T40,$U$38)</f>
        <v>1.1299999999999999</v>
      </c>
      <c r="AD40" s="51">
        <f t="shared" si="5"/>
        <v>21</v>
      </c>
      <c r="AE40" s="52">
        <f t="shared" si="6"/>
        <v>3.1415926535897931</v>
      </c>
      <c r="AF40" s="57">
        <f t="shared" si="0"/>
        <v>-6</v>
      </c>
      <c r="AG40" s="53">
        <f t="shared" si="1"/>
        <v>7.3508907294517201E-16</v>
      </c>
      <c r="AH40" s="48">
        <f t="shared" si="2"/>
        <v>-4</v>
      </c>
      <c r="AI40" s="53">
        <f t="shared" si="3"/>
        <v>4.90059381963448E-16</v>
      </c>
      <c r="AJ40" s="48"/>
      <c r="AK40" s="48"/>
    </row>
    <row r="41" spans="3:37" x14ac:dyDescent="0.2">
      <c r="D41" s="65">
        <f>D40/J33</f>
        <v>0.9693063946247541</v>
      </c>
      <c r="E41" s="30" t="str">
        <f>IF(D41&gt;=0.8,"OK","No Cumple")</f>
        <v>OK</v>
      </c>
      <c r="F41" s="30"/>
      <c r="G41" s="30"/>
      <c r="M41" s="25">
        <v>0.1</v>
      </c>
      <c r="N41" s="27">
        <v>1.4</v>
      </c>
      <c r="O41" s="27">
        <f t="shared" ref="O41:O46" si="9">O40+0.16</f>
        <v>1.3199999999999998</v>
      </c>
      <c r="P41" s="27">
        <f>P40+0.15</f>
        <v>1.2999999999999998</v>
      </c>
      <c r="Q41" s="27">
        <v>1.27</v>
      </c>
      <c r="R41" s="27">
        <f t="shared" ref="R41:R46" si="10">R40+0.12</f>
        <v>1.2400000000000002</v>
      </c>
      <c r="S41" s="27">
        <f t="shared" ref="S41:S49" si="11">S40+0.11</f>
        <v>1.2200000000000002</v>
      </c>
      <c r="T41" s="28">
        <f t="shared" ref="T41:T49" si="12">T40+0.1</f>
        <v>1.2000000000000002</v>
      </c>
      <c r="U41" s="25">
        <f t="shared" si="8"/>
        <v>1.27</v>
      </c>
      <c r="AD41" s="51">
        <f t="shared" ref="AD41:AD60" si="13">AD40+1</f>
        <v>22</v>
      </c>
      <c r="AE41" s="52">
        <f t="shared" ref="AE41:AE60" si="14">AE40+PI()/20</f>
        <v>3.2986722862692828</v>
      </c>
      <c r="AF41" s="57">
        <f t="shared" si="0"/>
        <v>-5.9261300435708266</v>
      </c>
      <c r="AG41" s="53">
        <f t="shared" si="1"/>
        <v>-0.93860679024138438</v>
      </c>
      <c r="AH41" s="48">
        <f t="shared" si="2"/>
        <v>-3.9507533623805511</v>
      </c>
      <c r="AI41" s="53">
        <f t="shared" si="3"/>
        <v>-0.62573786016092292</v>
      </c>
      <c r="AJ41" s="48"/>
      <c r="AK41" s="48"/>
    </row>
    <row r="42" spans="3:37" x14ac:dyDescent="0.2">
      <c r="D42" s="47"/>
      <c r="M42" s="25">
        <v>0.15</v>
      </c>
      <c r="N42" s="27">
        <v>1.6</v>
      </c>
      <c r="O42" s="27">
        <f t="shared" si="9"/>
        <v>1.4799999999999998</v>
      </c>
      <c r="P42" s="27">
        <f>P41+0.15</f>
        <v>1.4499999999999997</v>
      </c>
      <c r="Q42" s="27">
        <f>Q41+0.13</f>
        <v>1.4</v>
      </c>
      <c r="R42" s="27">
        <v>1.37</v>
      </c>
      <c r="S42" s="27">
        <f t="shared" si="11"/>
        <v>1.3300000000000003</v>
      </c>
      <c r="T42" s="28">
        <f t="shared" si="12"/>
        <v>1.3000000000000003</v>
      </c>
      <c r="U42" s="25">
        <f t="shared" si="8"/>
        <v>1.4</v>
      </c>
      <c r="AD42" s="51">
        <f t="shared" si="13"/>
        <v>23</v>
      </c>
      <c r="AE42" s="52">
        <f t="shared" si="14"/>
        <v>3.4557519189487724</v>
      </c>
      <c r="AF42" s="57">
        <f t="shared" si="0"/>
        <v>-5.7063390977709219</v>
      </c>
      <c r="AG42" s="53">
        <f t="shared" si="1"/>
        <v>-1.8541019662496838</v>
      </c>
      <c r="AH42" s="48">
        <f t="shared" si="2"/>
        <v>-3.8042260651806146</v>
      </c>
      <c r="AI42" s="53">
        <f t="shared" si="3"/>
        <v>-1.2360679774997891</v>
      </c>
      <c r="AJ42" s="48"/>
      <c r="AK42" s="48"/>
    </row>
    <row r="43" spans="3:37" x14ac:dyDescent="0.2">
      <c r="F43" s="30"/>
      <c r="G43" s="30"/>
      <c r="M43" s="25">
        <v>0.2</v>
      </c>
      <c r="N43" s="27">
        <v>1.8</v>
      </c>
      <c r="O43" s="27">
        <f t="shared" si="9"/>
        <v>1.6399999999999997</v>
      </c>
      <c r="P43" s="27">
        <v>1.59</v>
      </c>
      <c r="Q43" s="27">
        <v>1.54</v>
      </c>
      <c r="R43" s="27">
        <f t="shared" si="10"/>
        <v>1.4900000000000002</v>
      </c>
      <c r="S43" s="27">
        <f t="shared" si="11"/>
        <v>1.4400000000000004</v>
      </c>
      <c r="T43" s="28">
        <f t="shared" si="12"/>
        <v>1.4000000000000004</v>
      </c>
      <c r="U43" s="25">
        <f t="shared" si="8"/>
        <v>1.54</v>
      </c>
      <c r="AD43" s="51">
        <f t="shared" si="13"/>
        <v>24</v>
      </c>
      <c r="AE43" s="52">
        <f t="shared" si="14"/>
        <v>3.6128315516282621</v>
      </c>
      <c r="AF43" s="57">
        <f t="shared" si="0"/>
        <v>-5.3460391451302076</v>
      </c>
      <c r="AG43" s="53">
        <f t="shared" si="1"/>
        <v>-2.72394299843728</v>
      </c>
      <c r="AH43" s="48">
        <f t="shared" si="2"/>
        <v>-3.5640260967534716</v>
      </c>
      <c r="AI43" s="53">
        <f t="shared" si="3"/>
        <v>-1.8159619989581868</v>
      </c>
      <c r="AJ43" s="48"/>
      <c r="AK43" s="48"/>
    </row>
    <row r="44" spans="3:37" x14ac:dyDescent="0.2">
      <c r="M44" s="25">
        <v>0.25</v>
      </c>
      <c r="N44" s="27">
        <v>2</v>
      </c>
      <c r="O44" s="27">
        <f t="shared" si="9"/>
        <v>1.7999999999999996</v>
      </c>
      <c r="P44" s="27">
        <v>1.73</v>
      </c>
      <c r="Q44" s="27">
        <f>Q43+0.13</f>
        <v>1.67</v>
      </c>
      <c r="R44" s="27">
        <f t="shared" si="10"/>
        <v>1.6100000000000003</v>
      </c>
      <c r="S44" s="27">
        <f t="shared" si="11"/>
        <v>1.5500000000000005</v>
      </c>
      <c r="T44" s="28">
        <f t="shared" si="12"/>
        <v>1.5000000000000004</v>
      </c>
      <c r="U44" s="25">
        <f t="shared" si="8"/>
        <v>1.67</v>
      </c>
      <c r="AD44" s="51">
        <f t="shared" si="13"/>
        <v>25</v>
      </c>
      <c r="AE44" s="52">
        <f t="shared" si="14"/>
        <v>3.7699111843077517</v>
      </c>
      <c r="AF44" s="57">
        <f t="shared" si="0"/>
        <v>-4.8541019662496856</v>
      </c>
      <c r="AG44" s="53">
        <f t="shared" si="1"/>
        <v>-3.5267115137548384</v>
      </c>
      <c r="AH44" s="48">
        <f t="shared" si="2"/>
        <v>-3.2360679774997902</v>
      </c>
      <c r="AI44" s="53">
        <f t="shared" si="3"/>
        <v>-2.3511410091698921</v>
      </c>
      <c r="AJ44" s="48"/>
      <c r="AK44" s="48"/>
    </row>
    <row r="45" spans="3:37" x14ac:dyDescent="0.2">
      <c r="M45" s="25">
        <v>0.3</v>
      </c>
      <c r="N45" s="27">
        <v>2.23</v>
      </c>
      <c r="O45" s="27">
        <f t="shared" si="9"/>
        <v>1.9599999999999995</v>
      </c>
      <c r="P45" s="27">
        <f>P44+0.15</f>
        <v>1.88</v>
      </c>
      <c r="Q45" s="27">
        <v>1.81</v>
      </c>
      <c r="R45" s="27">
        <f t="shared" si="10"/>
        <v>1.7300000000000004</v>
      </c>
      <c r="S45" s="27">
        <f t="shared" si="11"/>
        <v>1.6600000000000006</v>
      </c>
      <c r="T45" s="28">
        <f t="shared" si="12"/>
        <v>1.6000000000000005</v>
      </c>
      <c r="U45" s="25">
        <f t="shared" si="8"/>
        <v>1.81</v>
      </c>
      <c r="AD45" s="51">
        <f t="shared" si="13"/>
        <v>26</v>
      </c>
      <c r="AE45" s="52">
        <f t="shared" si="14"/>
        <v>3.9269908169872414</v>
      </c>
      <c r="AF45" s="57">
        <f t="shared" si="0"/>
        <v>-4.2426406871192857</v>
      </c>
      <c r="AG45" s="53">
        <f t="shared" si="1"/>
        <v>-4.2426406871192848</v>
      </c>
      <c r="AH45" s="48">
        <f t="shared" si="2"/>
        <v>-2.8284271247461907</v>
      </c>
      <c r="AI45" s="53">
        <f t="shared" si="3"/>
        <v>-2.8284271247461898</v>
      </c>
      <c r="AJ45" s="48"/>
      <c r="AK45" s="48"/>
    </row>
    <row r="46" spans="3:37" x14ac:dyDescent="0.2">
      <c r="M46" s="25">
        <v>0.35</v>
      </c>
      <c r="N46" s="27">
        <v>2.4300000000000002</v>
      </c>
      <c r="O46" s="27">
        <f t="shared" si="9"/>
        <v>2.1199999999999997</v>
      </c>
      <c r="P46" s="27">
        <v>2.04</v>
      </c>
      <c r="Q46" s="27">
        <f>Q45+0.13</f>
        <v>1.94</v>
      </c>
      <c r="R46" s="27">
        <f t="shared" si="10"/>
        <v>1.8500000000000005</v>
      </c>
      <c r="S46" s="27">
        <f t="shared" si="11"/>
        <v>1.7700000000000007</v>
      </c>
      <c r="T46" s="28">
        <f t="shared" si="12"/>
        <v>1.7000000000000006</v>
      </c>
      <c r="U46" s="25">
        <f t="shared" si="8"/>
        <v>1.94</v>
      </c>
      <c r="AD46" s="51">
        <f t="shared" si="13"/>
        <v>27</v>
      </c>
      <c r="AE46" s="52">
        <f t="shared" si="14"/>
        <v>4.0840704496667311</v>
      </c>
      <c r="AF46" s="57">
        <f t="shared" si="0"/>
        <v>-3.5267115137548393</v>
      </c>
      <c r="AG46" s="53">
        <f t="shared" si="1"/>
        <v>-4.8541019662496838</v>
      </c>
      <c r="AH46" s="48">
        <f t="shared" si="2"/>
        <v>-2.351141009169893</v>
      </c>
      <c r="AI46" s="53">
        <f t="shared" si="3"/>
        <v>-3.2360679774997894</v>
      </c>
      <c r="AJ46" s="48"/>
      <c r="AK46" s="48"/>
    </row>
    <row r="47" spans="3:37" x14ac:dyDescent="0.2">
      <c r="F47" s="44"/>
      <c r="G47" s="44"/>
      <c r="M47" s="25">
        <v>0.4</v>
      </c>
      <c r="N47" s="27">
        <v>2.76</v>
      </c>
      <c r="O47" s="27">
        <v>2.29</v>
      </c>
      <c r="P47" s="27">
        <v>2.2000000000000002</v>
      </c>
      <c r="Q47" s="27">
        <f>Q46+0.13</f>
        <v>2.0699999999999998</v>
      </c>
      <c r="R47" s="27">
        <v>1.98</v>
      </c>
      <c r="S47" s="27">
        <f t="shared" si="11"/>
        <v>1.8800000000000008</v>
      </c>
      <c r="T47" s="28">
        <f t="shared" si="12"/>
        <v>1.8000000000000007</v>
      </c>
      <c r="U47" s="25">
        <f t="shared" si="8"/>
        <v>2.0699999999999998</v>
      </c>
      <c r="AD47" s="51">
        <f t="shared" si="13"/>
        <v>28</v>
      </c>
      <c r="AE47" s="52">
        <f t="shared" si="14"/>
        <v>4.2411500823462207</v>
      </c>
      <c r="AF47" s="57">
        <f t="shared" si="0"/>
        <v>-2.7239429984372814</v>
      </c>
      <c r="AG47" s="53">
        <f t="shared" si="1"/>
        <v>-5.3460391451302067</v>
      </c>
      <c r="AH47" s="48">
        <f t="shared" si="2"/>
        <v>-1.8159619989581877</v>
      </c>
      <c r="AI47" s="53">
        <f t="shared" si="3"/>
        <v>-3.5640260967534712</v>
      </c>
      <c r="AJ47" s="48"/>
      <c r="AK47" s="48"/>
    </row>
    <row r="48" spans="3:37" x14ac:dyDescent="0.2">
      <c r="F48" s="30"/>
      <c r="G48" s="30"/>
      <c r="M48" s="25">
        <v>0.45</v>
      </c>
      <c r="N48" s="27">
        <v>3.11</v>
      </c>
      <c r="O48" s="27">
        <v>2.5099999999999998</v>
      </c>
      <c r="P48" s="27">
        <v>2.39</v>
      </c>
      <c r="Q48" s="27">
        <v>2.23</v>
      </c>
      <c r="R48" s="27">
        <f>R47+0.12</f>
        <v>2.1</v>
      </c>
      <c r="S48" s="27">
        <f t="shared" si="11"/>
        <v>1.9900000000000009</v>
      </c>
      <c r="T48" s="28">
        <f t="shared" si="12"/>
        <v>1.9000000000000008</v>
      </c>
      <c r="U48" s="25">
        <f t="shared" si="8"/>
        <v>2.23</v>
      </c>
      <c r="AD48" s="51">
        <f t="shared" si="13"/>
        <v>29</v>
      </c>
      <c r="AE48" s="52">
        <f t="shared" si="14"/>
        <v>4.3982297150257104</v>
      </c>
      <c r="AF48" s="57">
        <f t="shared" si="0"/>
        <v>-1.8541019662496854</v>
      </c>
      <c r="AG48" s="53">
        <f t="shared" si="1"/>
        <v>-5.706339097770921</v>
      </c>
      <c r="AH48" s="48">
        <f t="shared" si="2"/>
        <v>-1.2360679774997902</v>
      </c>
      <c r="AI48" s="53">
        <f t="shared" si="3"/>
        <v>-3.8042260651806141</v>
      </c>
      <c r="AJ48" s="48"/>
      <c r="AK48" s="48"/>
    </row>
    <row r="49" spans="6:37" x14ac:dyDescent="0.2">
      <c r="M49" s="25">
        <v>0.5</v>
      </c>
      <c r="N49" s="27">
        <v>3.55</v>
      </c>
      <c r="O49" s="27">
        <v>2.8</v>
      </c>
      <c r="P49" s="27">
        <v>2.61</v>
      </c>
      <c r="Q49" s="27">
        <v>2.42</v>
      </c>
      <c r="R49" s="27">
        <v>2.2599999999999998</v>
      </c>
      <c r="S49" s="27">
        <f t="shared" si="11"/>
        <v>2.100000000000001</v>
      </c>
      <c r="T49" s="28">
        <f t="shared" si="12"/>
        <v>2.0000000000000009</v>
      </c>
      <c r="U49" s="25">
        <f t="shared" si="8"/>
        <v>2.42</v>
      </c>
      <c r="AD49" s="51">
        <f t="shared" si="13"/>
        <v>30</v>
      </c>
      <c r="AE49" s="52">
        <f t="shared" si="14"/>
        <v>4.5553093477052</v>
      </c>
      <c r="AF49" s="57">
        <f t="shared" si="0"/>
        <v>-0.93860679024138616</v>
      </c>
      <c r="AG49" s="53">
        <f t="shared" si="1"/>
        <v>-5.9261300435708257</v>
      </c>
      <c r="AH49" s="48">
        <f t="shared" si="2"/>
        <v>-0.62573786016092414</v>
      </c>
      <c r="AI49" s="53">
        <f t="shared" si="3"/>
        <v>-3.9507533623805506</v>
      </c>
      <c r="AJ49" s="48"/>
      <c r="AK49" s="48"/>
    </row>
    <row r="50" spans="6:37" x14ac:dyDescent="0.2">
      <c r="F50" s="30"/>
      <c r="G50" s="30"/>
      <c r="M50" s="25">
        <v>0.55000000000000004</v>
      </c>
      <c r="N50" s="27">
        <v>4.1500000000000004</v>
      </c>
      <c r="O50" s="27">
        <v>3.14</v>
      </c>
      <c r="P50" s="27">
        <v>2.89</v>
      </c>
      <c r="Q50" s="27">
        <v>2.67</v>
      </c>
      <c r="R50" s="27">
        <v>2.42</v>
      </c>
      <c r="S50" s="27">
        <v>2.25</v>
      </c>
      <c r="T50" s="28">
        <v>2.17</v>
      </c>
      <c r="U50" s="25">
        <f t="shared" si="8"/>
        <v>2.67</v>
      </c>
      <c r="AD50" s="51">
        <f t="shared" si="13"/>
        <v>31</v>
      </c>
      <c r="AE50" s="52">
        <f t="shared" si="14"/>
        <v>4.7123889803846897</v>
      </c>
      <c r="AF50" s="57">
        <f t="shared" si="0"/>
        <v>-1.102633609417758E-15</v>
      </c>
      <c r="AG50" s="53">
        <f t="shared" si="1"/>
        <v>-6</v>
      </c>
      <c r="AH50" s="48">
        <f t="shared" si="2"/>
        <v>-7.3508907294517201E-16</v>
      </c>
      <c r="AI50" s="53">
        <f t="shared" si="3"/>
        <v>-4</v>
      </c>
      <c r="AJ50" s="48"/>
      <c r="AK50" s="48"/>
    </row>
    <row r="51" spans="6:37" x14ac:dyDescent="0.2">
      <c r="M51" s="25">
        <v>0.6</v>
      </c>
      <c r="N51" s="27">
        <v>4.96</v>
      </c>
      <c r="O51" s="27">
        <v>3.58</v>
      </c>
      <c r="P51" s="27">
        <v>3.24</v>
      </c>
      <c r="Q51" s="27">
        <v>2.92</v>
      </c>
      <c r="R51" s="27">
        <v>2.64</v>
      </c>
      <c r="S51" s="27">
        <v>2.42</v>
      </c>
      <c r="T51" s="28">
        <v>2.2000000000000002</v>
      </c>
      <c r="U51" s="25">
        <f t="shared" si="8"/>
        <v>2.92</v>
      </c>
      <c r="AD51" s="51">
        <f t="shared" si="13"/>
        <v>32</v>
      </c>
      <c r="AE51" s="52">
        <f t="shared" si="14"/>
        <v>4.8694686130641793</v>
      </c>
      <c r="AF51" s="57">
        <f t="shared" si="0"/>
        <v>0.93860679024138405</v>
      </c>
      <c r="AG51" s="53">
        <f t="shared" si="1"/>
        <v>-5.9261300435708266</v>
      </c>
      <c r="AH51" s="48">
        <f t="shared" si="2"/>
        <v>0.6257378601609227</v>
      </c>
      <c r="AI51" s="53">
        <f t="shared" si="3"/>
        <v>-3.9507533623805511</v>
      </c>
      <c r="AJ51" s="5"/>
      <c r="AK51" s="5"/>
    </row>
    <row r="52" spans="6:37" x14ac:dyDescent="0.2">
      <c r="M52" s="25">
        <v>0.65</v>
      </c>
      <c r="N52" s="27">
        <v>6</v>
      </c>
      <c r="O52" s="27">
        <v>4.34</v>
      </c>
      <c r="P52" s="27">
        <v>3.8</v>
      </c>
      <c r="Q52" s="27">
        <v>3.3</v>
      </c>
      <c r="R52" s="27">
        <v>2.95</v>
      </c>
      <c r="S52" s="27">
        <v>2.64</v>
      </c>
      <c r="T52" s="28">
        <v>2.42</v>
      </c>
      <c r="U52" s="25">
        <f t="shared" si="8"/>
        <v>3.3</v>
      </c>
      <c r="AD52" s="51">
        <f t="shared" si="13"/>
        <v>33</v>
      </c>
      <c r="AE52" s="52">
        <f t="shared" si="14"/>
        <v>5.026548245743669</v>
      </c>
      <c r="AF52" s="57">
        <f t="shared" si="0"/>
        <v>1.8541019662496834</v>
      </c>
      <c r="AG52" s="53">
        <f t="shared" si="1"/>
        <v>-5.7063390977709219</v>
      </c>
      <c r="AH52" s="48">
        <f t="shared" si="2"/>
        <v>1.2360679774997889</v>
      </c>
      <c r="AI52" s="53">
        <f t="shared" si="3"/>
        <v>-3.8042260651806146</v>
      </c>
      <c r="AJ52" s="5"/>
      <c r="AK52" s="5"/>
    </row>
    <row r="53" spans="6:37" x14ac:dyDescent="0.2">
      <c r="M53" s="25">
        <v>0.7</v>
      </c>
      <c r="N53" s="27">
        <v>7.43</v>
      </c>
      <c r="O53" s="27">
        <v>5.4</v>
      </c>
      <c r="P53" s="27">
        <v>4.25</v>
      </c>
      <c r="Q53" s="27">
        <v>3.8</v>
      </c>
      <c r="R53" s="27">
        <v>3.33</v>
      </c>
      <c r="S53" s="27">
        <v>2.95</v>
      </c>
      <c r="T53" s="28">
        <v>2.54</v>
      </c>
      <c r="U53" s="25">
        <f t="shared" si="8"/>
        <v>3.8</v>
      </c>
      <c r="AD53" s="51">
        <f t="shared" si="13"/>
        <v>34</v>
      </c>
      <c r="AE53" s="52">
        <f t="shared" si="14"/>
        <v>5.1836278784231586</v>
      </c>
      <c r="AF53" s="57">
        <f t="shared" si="0"/>
        <v>2.7239429984372796</v>
      </c>
      <c r="AG53" s="53">
        <f t="shared" si="1"/>
        <v>-5.3460391451302076</v>
      </c>
      <c r="AH53" s="48">
        <f t="shared" si="2"/>
        <v>1.8159619989581866</v>
      </c>
      <c r="AI53" s="53">
        <f t="shared" si="3"/>
        <v>-3.5640260967534716</v>
      </c>
      <c r="AJ53" s="5"/>
      <c r="AK53" s="5"/>
    </row>
    <row r="54" spans="6:37" x14ac:dyDescent="0.2">
      <c r="M54" s="25">
        <v>0.75</v>
      </c>
      <c r="N54" s="27">
        <v>9.93</v>
      </c>
      <c r="O54" s="27">
        <v>7.23</v>
      </c>
      <c r="P54" s="27">
        <v>5.97</v>
      </c>
      <c r="Q54" s="27">
        <v>4.8099999999999996</v>
      </c>
      <c r="R54" s="27">
        <v>3.93</v>
      </c>
      <c r="S54" s="27">
        <v>3.33</v>
      </c>
      <c r="T54" s="28">
        <v>2.89</v>
      </c>
      <c r="U54" s="25">
        <f t="shared" si="8"/>
        <v>4.8099999999999996</v>
      </c>
      <c r="AD54" s="51">
        <f t="shared" si="13"/>
        <v>35</v>
      </c>
      <c r="AE54" s="52">
        <f t="shared" si="14"/>
        <v>5.3407075111026483</v>
      </c>
      <c r="AF54" s="57">
        <f t="shared" si="0"/>
        <v>3.5267115137548375</v>
      </c>
      <c r="AG54" s="53">
        <f t="shared" si="1"/>
        <v>-4.8541019662496856</v>
      </c>
      <c r="AH54" s="48">
        <f t="shared" si="2"/>
        <v>2.3511410091698917</v>
      </c>
      <c r="AI54" s="53">
        <f t="shared" si="3"/>
        <v>-3.2360679774997902</v>
      </c>
      <c r="AJ54" s="5"/>
      <c r="AK54" s="5"/>
    </row>
    <row r="55" spans="6:37" x14ac:dyDescent="0.2">
      <c r="M55" s="25">
        <v>0.8</v>
      </c>
      <c r="N55" s="27">
        <v>13.87</v>
      </c>
      <c r="O55" s="27">
        <v>10.050000000000001</v>
      </c>
      <c r="P55" s="27">
        <v>8.82</v>
      </c>
      <c r="Q55" s="27">
        <v>6.53</v>
      </c>
      <c r="R55" s="27">
        <v>4.93</v>
      </c>
      <c r="S55" s="27">
        <v>3.96</v>
      </c>
      <c r="T55" s="28">
        <v>3.27</v>
      </c>
      <c r="U55" s="25">
        <f t="shared" si="8"/>
        <v>6.53</v>
      </c>
      <c r="AD55" s="51">
        <f t="shared" si="13"/>
        <v>36</v>
      </c>
      <c r="AE55" s="52">
        <f t="shared" si="14"/>
        <v>5.497787143782138</v>
      </c>
      <c r="AF55" s="57">
        <f t="shared" si="0"/>
        <v>4.2426406871192839</v>
      </c>
      <c r="AG55" s="53">
        <f t="shared" si="1"/>
        <v>-4.2426406871192857</v>
      </c>
      <c r="AH55" s="48">
        <f t="shared" si="2"/>
        <v>2.8284271247461894</v>
      </c>
      <c r="AI55" s="53">
        <f t="shared" si="3"/>
        <v>-2.8284271247461907</v>
      </c>
      <c r="AJ55" s="5"/>
      <c r="AK55" s="5"/>
    </row>
    <row r="56" spans="6:37" x14ac:dyDescent="0.2">
      <c r="M56" s="25">
        <v>0.85</v>
      </c>
      <c r="N56" s="27">
        <v>21.08</v>
      </c>
      <c r="O56" s="27">
        <v>15.55</v>
      </c>
      <c r="P56" s="27">
        <v>13.32</v>
      </c>
      <c r="Q56" s="27">
        <v>10.43</v>
      </c>
      <c r="R56" s="27">
        <v>7.16</v>
      </c>
      <c r="S56" s="27">
        <v>4.9000000000000004</v>
      </c>
      <c r="T56" s="28">
        <v>3.77</v>
      </c>
      <c r="U56" s="25">
        <f t="shared" si="8"/>
        <v>10.43</v>
      </c>
      <c r="AD56" s="51">
        <f t="shared" si="13"/>
        <v>37</v>
      </c>
      <c r="AE56" s="52">
        <f t="shared" si="14"/>
        <v>5.6548667764616276</v>
      </c>
      <c r="AF56" s="57">
        <f t="shared" si="0"/>
        <v>4.8541019662496838</v>
      </c>
      <c r="AG56" s="53">
        <f t="shared" si="1"/>
        <v>-3.5267115137548402</v>
      </c>
      <c r="AH56" s="48">
        <f t="shared" si="2"/>
        <v>3.2360679774997894</v>
      </c>
      <c r="AI56" s="53">
        <f t="shared" si="3"/>
        <v>-2.3511410091698934</v>
      </c>
      <c r="AJ56" s="5"/>
      <c r="AK56" s="5"/>
    </row>
    <row r="57" spans="6:37" x14ac:dyDescent="0.2">
      <c r="M57" s="25">
        <v>0.9</v>
      </c>
      <c r="N57" s="27">
        <v>38.25</v>
      </c>
      <c r="O57" s="27">
        <v>30.8</v>
      </c>
      <c r="P57" s="27">
        <v>25.8</v>
      </c>
      <c r="Q57" s="27">
        <v>19.850000000000001</v>
      </c>
      <c r="R57" s="27">
        <v>14.6</v>
      </c>
      <c r="S57" s="27">
        <v>7.13</v>
      </c>
      <c r="T57" s="28">
        <v>4.71</v>
      </c>
      <c r="U57" s="25">
        <f t="shared" si="8"/>
        <v>19.850000000000001</v>
      </c>
      <c r="AD57" s="51">
        <f t="shared" si="13"/>
        <v>38</v>
      </c>
      <c r="AE57" s="52">
        <f t="shared" si="14"/>
        <v>5.8119464091411173</v>
      </c>
      <c r="AF57" s="57">
        <f t="shared" si="0"/>
        <v>5.3460391451302067</v>
      </c>
      <c r="AG57" s="53">
        <f t="shared" si="1"/>
        <v>-2.7239429984372818</v>
      </c>
      <c r="AH57" s="48">
        <f t="shared" si="2"/>
        <v>3.5640260967534712</v>
      </c>
      <c r="AI57" s="53">
        <f t="shared" si="3"/>
        <v>-1.8159619989581879</v>
      </c>
      <c r="AJ57" s="5"/>
      <c r="AK57" s="5"/>
    </row>
    <row r="58" spans="6:37" ht="12" thickBot="1" x14ac:dyDescent="0.25">
      <c r="M58" s="34">
        <v>0.95</v>
      </c>
      <c r="N58" s="35">
        <v>99.1</v>
      </c>
      <c r="O58" s="35">
        <v>72.72</v>
      </c>
      <c r="P58" s="35">
        <v>62.2</v>
      </c>
      <c r="Q58" s="35">
        <v>50.2</v>
      </c>
      <c r="R58" s="35">
        <v>34.6</v>
      </c>
      <c r="S58" s="35">
        <v>19.8</v>
      </c>
      <c r="T58" s="36">
        <v>6.72</v>
      </c>
      <c r="U58" s="34">
        <f t="shared" si="8"/>
        <v>50.2</v>
      </c>
      <c r="AD58" s="51">
        <f t="shared" si="13"/>
        <v>39</v>
      </c>
      <c r="AE58" s="52">
        <f t="shared" si="14"/>
        <v>5.9690260418206069</v>
      </c>
      <c r="AF58" s="57">
        <f t="shared" si="0"/>
        <v>5.706339097770921</v>
      </c>
      <c r="AG58" s="53">
        <f t="shared" si="1"/>
        <v>-1.8541019662496856</v>
      </c>
      <c r="AH58" s="48">
        <f t="shared" si="2"/>
        <v>3.8042260651806141</v>
      </c>
      <c r="AI58" s="53">
        <f t="shared" si="3"/>
        <v>-1.2360679774997905</v>
      </c>
      <c r="AJ58" s="5"/>
      <c r="AK58" s="5"/>
    </row>
    <row r="59" spans="6:37" x14ac:dyDescent="0.2">
      <c r="M59" s="26" t="s">
        <v>15</v>
      </c>
      <c r="N59" s="39">
        <f>lininterp($M$20:$M$34,U20:U34,$J$37)</f>
        <v>1.9060000000000001</v>
      </c>
      <c r="O59" s="9"/>
      <c r="AD59" s="51">
        <f t="shared" si="13"/>
        <v>40</v>
      </c>
      <c r="AE59" s="52">
        <f t="shared" si="14"/>
        <v>6.1261056745000966</v>
      </c>
      <c r="AF59" s="57">
        <f t="shared" si="0"/>
        <v>5.9261300435708257</v>
      </c>
      <c r="AG59" s="53">
        <f t="shared" si="1"/>
        <v>-0.93860679024138671</v>
      </c>
      <c r="AH59" s="48">
        <f t="shared" si="2"/>
        <v>3.9507533623805506</v>
      </c>
      <c r="AI59" s="53">
        <f t="shared" si="3"/>
        <v>-0.62573786016092448</v>
      </c>
      <c r="AJ59" s="5"/>
      <c r="AK59" s="5"/>
    </row>
    <row r="60" spans="6:37" x14ac:dyDescent="0.2">
      <c r="M60" s="31" t="s">
        <v>37</v>
      </c>
      <c r="N60" s="32">
        <f>lininterp($M$39:$M$58,U39:U58,$J$37)</f>
        <v>2.1019999999999999</v>
      </c>
      <c r="O60" s="11"/>
      <c r="AD60" s="51">
        <f t="shared" si="13"/>
        <v>41</v>
      </c>
      <c r="AE60" s="52">
        <f t="shared" si="14"/>
        <v>6.2831853071795862</v>
      </c>
      <c r="AF60" s="57">
        <f t="shared" si="0"/>
        <v>6</v>
      </c>
      <c r="AG60" s="53">
        <f t="shared" si="1"/>
        <v>-1.470178145890344E-15</v>
      </c>
      <c r="AH60" s="48">
        <f t="shared" si="2"/>
        <v>4</v>
      </c>
      <c r="AI60" s="53">
        <f t="shared" si="3"/>
        <v>-9.8011876392689601E-16</v>
      </c>
      <c r="AJ60" s="5"/>
      <c r="AK60" s="5"/>
    </row>
    <row r="61" spans="6:37" x14ac:dyDescent="0.2">
      <c r="M61" s="10" t="s">
        <v>17</v>
      </c>
      <c r="N61" s="29">
        <f>N59*D21</f>
        <v>11.436</v>
      </c>
      <c r="O61" s="11" t="s">
        <v>4</v>
      </c>
      <c r="AD61" s="54"/>
      <c r="AE61" s="55"/>
      <c r="AF61" s="58"/>
      <c r="AG61" s="56"/>
      <c r="AH61" s="55"/>
      <c r="AI61" s="56"/>
      <c r="AJ61" s="5"/>
      <c r="AK61" s="5"/>
    </row>
    <row r="62" spans="6:37" x14ac:dyDescent="0.2">
      <c r="M62" s="31" t="s">
        <v>38</v>
      </c>
      <c r="N62" s="29">
        <f>ROUND(N60*J36,3)</f>
        <v>15.481</v>
      </c>
      <c r="O62" s="11" t="s">
        <v>8</v>
      </c>
    </row>
    <row r="63" spans="6:37" x14ac:dyDescent="0.2">
      <c r="M63" s="40" t="s">
        <v>3</v>
      </c>
      <c r="N63" s="41">
        <f>IF(ABS((N61-D21)/D21)&gt;1,0,ACOS((N61-D21)/D21))</f>
        <v>0.43706003139860372</v>
      </c>
      <c r="O63" s="42" t="s">
        <v>6</v>
      </c>
    </row>
    <row r="64" spans="6:37" x14ac:dyDescent="0.2">
      <c r="M64" s="40" t="s">
        <v>39</v>
      </c>
      <c r="N64" s="41">
        <f>IF(D22=0,0,IF(ABS((N61-D21)/D22)&gt;1,0,ACOS((N61-D21)/D22)))</f>
        <v>0</v>
      </c>
      <c r="O64" s="42" t="s">
        <v>6</v>
      </c>
    </row>
    <row r="65" spans="13:15" x14ac:dyDescent="0.2">
      <c r="M65" s="43" t="s">
        <v>21</v>
      </c>
      <c r="N65" s="41">
        <f>D21^2*(N63-SIN(N63)*COS(N63))</f>
        <v>1.9285361031811368</v>
      </c>
      <c r="O65" s="42" t="s">
        <v>12</v>
      </c>
    </row>
    <row r="66" spans="13:15" x14ac:dyDescent="0.2">
      <c r="M66" s="43" t="s">
        <v>22</v>
      </c>
      <c r="N66" s="41">
        <f>IF(N61&gt;=D21+D22,0,D22^2*(N64-SIN(N64)*COS(N64)))</f>
        <v>0</v>
      </c>
      <c r="O66" s="42" t="s">
        <v>12</v>
      </c>
    </row>
    <row r="67" spans="13:15" ht="12" thickBot="1" x14ac:dyDescent="0.25">
      <c r="M67" s="8" t="s">
        <v>20</v>
      </c>
      <c r="N67" s="16">
        <f>J33-N65+N66</f>
        <v>60.903316968614725</v>
      </c>
      <c r="O67" s="17" t="s">
        <v>12</v>
      </c>
    </row>
    <row r="69" spans="13:15" x14ac:dyDescent="0.2">
      <c r="M69" s="67" t="s">
        <v>30</v>
      </c>
      <c r="N69" s="68">
        <f>D18</f>
        <v>0.5</v>
      </c>
      <c r="O69" s="69" t="s">
        <v>4</v>
      </c>
    </row>
    <row r="70" spans="13:15" x14ac:dyDescent="0.2">
      <c r="M70" s="70" t="s">
        <v>31</v>
      </c>
      <c r="N70" s="1">
        <f>MAX(D21-D19,D20-D22)</f>
        <v>0.75</v>
      </c>
      <c r="O70" s="71" t="s">
        <v>4</v>
      </c>
    </row>
    <row r="71" spans="13:15" x14ac:dyDescent="0.2">
      <c r="M71" s="70" t="s">
        <v>65</v>
      </c>
      <c r="N71" s="1">
        <v>230</v>
      </c>
      <c r="O71" s="71" t="s">
        <v>25</v>
      </c>
    </row>
    <row r="72" spans="13:15" x14ac:dyDescent="0.2">
      <c r="M72" s="72" t="s">
        <v>64</v>
      </c>
      <c r="N72" s="73">
        <f>10*N71*N69^3/N70^4/3</f>
        <v>302.88065843621399</v>
      </c>
      <c r="O72" s="74" t="s">
        <v>28</v>
      </c>
    </row>
  </sheetData>
  <sheetProtection algorithmName="SHA-512" hashValue="wQTsi3zTZPqyr3kLCPeGQGPSbnJ0ViZlFylbCaNR15G3q6u0rMuVmIoOXLm9ci1XjygfCCK/d/iCML21HoC8yQ==" saltValue="31c8aANlUlru8kftjea9Wg==" spinCount="100000" sheet="1" objects="1" scenarios="1"/>
  <mergeCells count="9">
    <mergeCell ref="AJ18:AK18"/>
    <mergeCell ref="N18:T18"/>
    <mergeCell ref="N37:T37"/>
    <mergeCell ref="C8:K8"/>
    <mergeCell ref="B4:D4"/>
    <mergeCell ref="B5:D5"/>
    <mergeCell ref="B6:D6"/>
    <mergeCell ref="AF18:AG18"/>
    <mergeCell ref="AH18:AI18"/>
  </mergeCells>
  <phoneticPr fontId="0" type="noConversion"/>
  <printOptions horizontalCentered="1"/>
  <pageMargins left="0.39370078740157483" right="0.39370078740157483" top="0.19685039370078741" bottom="0.59055118110236227" header="0" footer="0"/>
  <pageSetup scale="9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91" r:id="rId4" name="Button 31">
              <controlPr defaultSize="0" print="0" autoFill="0" autoPict="0" macro="[0]!Hoja7.grafico1">
                <anchor moveWithCells="1" sizeWithCells="1">
                  <from>
                    <xdr:col>10</xdr:col>
                    <xdr:colOff>190500</xdr:colOff>
                    <xdr:row>31</xdr:row>
                    <xdr:rowOff>19050</xdr:rowOff>
                  </from>
                  <to>
                    <xdr:col>11</xdr:col>
                    <xdr:colOff>428625</xdr:colOff>
                    <xdr:row>33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"/>
  <sheetViews>
    <sheetView workbookViewId="0">
      <selection activeCell="B13" sqref="B13"/>
    </sheetView>
  </sheetViews>
  <sheetFormatPr baseColWidth="10" defaultRowHeight="12.75" x14ac:dyDescent="0.2"/>
  <cols>
    <col min="1" max="16384" width="11.42578125" style="77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Anillo de fundacion</vt:lpstr>
      <vt:lpstr>'Anillo de fundacion'!Área_de_impresión</vt:lpstr>
      <vt:lpstr>'Anillo de fundacion'!Títulos_a_imprimir</vt:lpstr>
    </vt:vector>
  </TitlesOfParts>
  <Company>ARA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Peña L.</dc:creator>
  <cp:lastModifiedBy>Carlos Peña L.</cp:lastModifiedBy>
  <cp:lastPrinted>2011-06-07T19:11:48Z</cp:lastPrinted>
  <dcterms:created xsi:type="dcterms:W3CDTF">2002-03-12T12:34:10Z</dcterms:created>
  <dcterms:modified xsi:type="dcterms:W3CDTF">2025-04-02T00:29:26Z</dcterms:modified>
</cp:coreProperties>
</file>